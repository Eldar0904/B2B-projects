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писок сводный д.сад" sheetId="1" r:id="rId5"/>
  </sheets>
  <definedNames/>
  <calcPr/>
</workbook>
</file>

<file path=xl/sharedStrings.xml><?xml version="1.0" encoding="utf-8"?>
<sst xmlns="http://schemas.openxmlformats.org/spreadsheetml/2006/main" count="3600" uniqueCount="3503">
  <si>
    <t>Код</t>
  </si>
  <si>
    <t>Наименование товара</t>
  </si>
  <si>
    <t>Описание</t>
  </si>
  <si>
    <t>Цена с НДС, в тенге</t>
  </si>
  <si>
    <t>SUM из Кол-во</t>
  </si>
  <si>
    <t>поисковый текст</t>
  </si>
  <si>
    <t>поисковая маска</t>
  </si>
  <si>
    <t>Аппарат для гальванизации и лекарственного электрофореза (портативный)</t>
  </si>
  <si>
    <t>Аппарат электротерапии Поток-1
 предназначен воздействия постоянным
 током на организм человека, а также
 проведения лекарственного
 электрофореза.</t>
  </si>
  <si>
    <t>Аппарат для дарсонвализации (ультратонотерапии)</t>
  </si>
  <si>
    <t>Аппарат дарсонвализации «Ультрадар - Мед ТеКо» (Д) - предназначен для лечебного воздействия импульсным переменным током средней частоты высокого напряжения.</t>
  </si>
  <si>
    <t>Аппарат для ингаляционной терапии (небулайзер компрессорный)</t>
  </si>
  <si>
    <t>Компрессорный небулайзер, ингалятор Omron Comp Air NE-C28, модель NE-C28-RU,
 предназначен для лечения различных
 респираторных заболеваний путем вдыхания
 специальных лекарственных средств.</t>
  </si>
  <si>
    <t>Аппарат для магнитотерапии (низкочастотной)</t>
  </si>
  <si>
    <t>Аппарат для низкочастотной
 магнитотерапии переносной Полюс-101
 Для лечения конечностей больного
 магнитным полем повышенной частоты</t>
  </si>
  <si>
    <t>Аппарат для терапии ультравысокой частоты (УВЧ-терапия)</t>
  </si>
  <si>
    <t>Аппарат УВЧ-терапии УВЧ - 30 «Мед ТеКо»</t>
  </si>
  <si>
    <t>Ведро для воды 10 л</t>
  </si>
  <si>
    <t>ведро для воды 10 л</t>
  </si>
  <si>
    <t xml:space="preserve">Ветоши </t>
  </si>
  <si>
    <t>Ткань обтирочная нетканая холстопрошивная
ширина:140см</t>
  </si>
  <si>
    <t>Грелка резиновая</t>
  </si>
  <si>
    <t>Грелка резиновая - это резиновый баллон с объемом 2000 мл с завинчивающейся крышкой.</t>
  </si>
  <si>
    <t>Дозатор для антисептика</t>
  </si>
  <si>
    <t>Медицинский локтевой дозатор для антисептика 1000 мл.</t>
  </si>
  <si>
    <t>Дозатор для житкого мыла</t>
  </si>
  <si>
    <t>Дозатор для жидкого мыла</t>
  </si>
  <si>
    <t>Емкости для дезинфекции инструментов и поверхностей</t>
  </si>
  <si>
    <t>Емкость-контейнер для дезинфекции и
 предстерилизационной обработки</t>
  </si>
  <si>
    <t>Емкость для дезинфицирующих растворов</t>
  </si>
  <si>
    <t>Емкость-контейнер</t>
  </si>
  <si>
    <t>Емкость для уничтожения остатков вакцин</t>
  </si>
  <si>
    <t>Габаритные размеры:496х328х195 мм
 Масса не более — (3,7±0,185)кг
 Внутренний размер поддона по диагонали – 470мм
 Внутренние размеры поддона 320х252х165 мм
 Полезный объём — 10 литров
 Полный объём — (15 ±0, 75) литров</t>
  </si>
  <si>
    <t>Емкость для хранения ветошей</t>
  </si>
  <si>
    <t xml:space="preserve">Ларь имеет жесткую модульную конструкцию, изготовленную из стального листа толщиной 1,2 мм. покрыт экологически чистой полимерно-порошковой краской;
Одна дверка с ручкой;
Поставляется в собранном виде </t>
  </si>
  <si>
    <t>Жгут резиновый</t>
  </si>
  <si>
    <t>Используется для временной остановки кровотечения и при проведении медицинских процедур.</t>
  </si>
  <si>
    <t>Зонт вытяжной вентиляционный</t>
  </si>
  <si>
    <t>Зонт вытяжной вентиляционный размерами 1200х700 мм</t>
  </si>
  <si>
    <t>Зонт вытяжной вентиляционный размерами 1200х700мм</t>
  </si>
  <si>
    <t>Зонт вытяжной вентиляционный размерами 1600х800мм</t>
  </si>
  <si>
    <t>Зонт вытяжной вентиляционный размерами 600х300мм</t>
  </si>
  <si>
    <t>Контейнер для отходов класса А</t>
  </si>
  <si>
    <t>Бак с крышкой для сбора медицинских отходов (класс А) 10 литров</t>
  </si>
  <si>
    <t>Контейнер для отходов класса Б</t>
  </si>
  <si>
    <t>Бак для сбора медицинских отходов (класс Б) 1 литр</t>
  </si>
  <si>
    <t>Корзина для мусора с педалью</t>
  </si>
  <si>
    <t>Контейнер для мусора с педальным механизмом открывания крышки. Обеспечивает гигиеничное использование без контакта рук с крышкой.</t>
  </si>
  <si>
    <t>Лоток медицинский почкообразный</t>
  </si>
  <si>
    <t>Предназначен для размещения инструментов и расходных материалов во время процедур.</t>
  </si>
  <si>
    <t>Маски одноразовые</t>
  </si>
  <si>
    <t>Маска на резинках медицинская 3-х слойная</t>
  </si>
  <si>
    <t>Мойка двойная</t>
  </si>
  <si>
    <t>Мойка 120х60 (F147 (L) МОЙКА ДВОЙНАЯ ) (УГЛУБЛЕННАЯ )</t>
  </si>
  <si>
    <t>Облучатель ультрафиолетовый (кварцевая лампа) с комплектом тубусов</t>
  </si>
  <si>
    <t>Облучатель ультрафиолетовый
 кварцевый ОУФК-01 Солнышко (Стандартная комплектация)</t>
  </si>
  <si>
    <t>Перчатки из резины</t>
  </si>
  <si>
    <t>Полотенца одноразовые</t>
  </si>
  <si>
    <t>Полотенца одноразовые из спанлейса, 35*70 см, 40 г/м2, 50 шт/упак</t>
  </si>
  <si>
    <t>Простыни одноразовые</t>
  </si>
  <si>
    <t>Простыня 140*80, пл. 40, нестер. — это медицинский расходный материал, который используется для защиты операционного стола, инструментов и пациента от инфекций и загрязнений. Эта простыня имеет следующие характеристики:</t>
  </si>
  <si>
    <t>СТОЛ С 2 МОЙКАМИ CE-TCE120X70</t>
  </si>
  <si>
    <t>Нержавеющая сталь AISI 430; С бортиком без полки; Мойка: 50x40x25 см; Параметры: 1200x700x850 мм</t>
  </si>
  <si>
    <t>Термометр</t>
  </si>
  <si>
    <t>Термометр исп.1 (-20+70С) с
 поверкой (комнатный,скл.помещения) 
  применяется для измерения
 температуры в складских и производственных
 помещениях</t>
  </si>
  <si>
    <t>Халаты темные для уборки</t>
  </si>
  <si>
    <t>Халат рабочий.
 Цвет серый.
 Рекомендован для защиты от незначительных загрязнений,бытовой и производственной пыли. Подробнее: https://largo.kz/p75874235-halat-seryj.html</t>
  </si>
  <si>
    <t>Шины Крамера - транспортные проволочные для ног</t>
  </si>
  <si>
    <t>Шина проволочная для нижних конечностей (Шина Крамера) предназначена для фиксации нижней конечности, тазо-бедренного, коленного, голеностопного сустава с костями бедра и голени.</t>
  </si>
  <si>
    <t>Шины Крамера - транспортные проволочные для рук</t>
  </si>
  <si>
    <t>Шина Крамера при переломах нередко прибегают к способу иммобилизации – креплению бинтами поврежденной верхней конечности к туловищу.</t>
  </si>
  <si>
    <t>Ширмы медицинские (металлический каркас + моющаяся ткань/пластик</t>
  </si>
  <si>
    <t>Ширма 2-створчатая (ткань болонь) на колесах</t>
  </si>
  <si>
    <t>Шприцы одноразовые с иглами 10,0</t>
  </si>
  <si>
    <t>Стерильные трехкомпонентные шприцы объемом 10 мл с иглой размером 21G (0, 8 × 40 мм).</t>
  </si>
  <si>
    <t>Шприцы одноразовые с иглами 2,0</t>
  </si>
  <si>
    <t>Стерильные трехкомпонентные шприцы объемом 2 мл с установленной иглой 23G (0, 6 × 30 мм).</t>
  </si>
  <si>
    <t>Шприцы одноразовые с иглами 5,0</t>
  </si>
  <si>
    <t>Одноразовые стерильные шприцы объёмом 5 мл с иглой 22G (0,7 мм × 30 мм)</t>
  </si>
  <si>
    <t/>
  </si>
  <si>
    <t>Групповая</t>
  </si>
  <si>
    <t>Дополнительные товары</t>
  </si>
  <si>
    <t>Кладовая овощей</t>
  </si>
  <si>
    <t>Компьютерная техника и устройства</t>
  </si>
  <si>
    <t>Материалы для гончарки</t>
  </si>
  <si>
    <t>Мебель</t>
  </si>
  <si>
    <t>Мебель для гончарки</t>
  </si>
  <si>
    <t>Мебель для ИЗО и Ателье</t>
  </si>
  <si>
    <t>Оборудование для гончарки</t>
  </si>
  <si>
    <t>Помещение камеры охлаждения</t>
  </si>
  <si>
    <t>1</t>
  </si>
  <si>
    <t>Ролл шторы</t>
  </si>
  <si>
    <t>Ролл шторы белые однотонные, ШхВхКв.м2               2410х1810х4360 мм</t>
  </si>
  <si>
    <t>2</t>
  </si>
  <si>
    <t>Ролл шторы белые однотонные, ШхВхКв.м2               1810х1810х3280 мм</t>
  </si>
  <si>
    <t>3</t>
  </si>
  <si>
    <t>Ролл шторы белые однотонные, ШхВхКв.м2               1210х1810х2190 мм</t>
  </si>
  <si>
    <t>4</t>
  </si>
  <si>
    <t>Ролл шторы белые однотонные, ШхВхКв.м2               2000х1200х3240 мм</t>
  </si>
  <si>
    <t>5</t>
  </si>
  <si>
    <t>Ролл шторы белые однотонные, ШхВхКв.м2               2410х3300х7950 мм</t>
  </si>
  <si>
    <t>6</t>
  </si>
  <si>
    <t>Ролл шторы белые однотонные, ШхВхКв.м2               910х1650х1500 мм</t>
  </si>
  <si>
    <t>7</t>
  </si>
  <si>
    <t>Ролл шторы белые однотонные, ШхВхКв.м2               1310х1650х2160 мм</t>
  </si>
  <si>
    <t>д1</t>
  </si>
  <si>
    <t>"Ақылды" боямақ. Жаз. "Умная" раскраска. Раскрась по коду. Лето</t>
  </si>
  <si>
    <t>Бенаги С.</t>
  </si>
  <si>
    <t>д10</t>
  </si>
  <si>
    <t>«Көркем өрнек» (Интеллектум)</t>
  </si>
  <si>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</si>
  <si>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д100</t>
  </si>
  <si>
    <t>Демонстрационные картинки «Домашние животные»</t>
  </si>
  <si>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</si>
  <si>
    <t>д1000</t>
  </si>
  <si>
    <t>Пакет расходных материалов для инструментов Makerspace</t>
  </si>
  <si>
    <t>д1001</t>
  </si>
  <si>
    <t>3D принтер A1 Combo</t>
  </si>
  <si>
    <t xml:space="preserve">3D принтер </t>
  </si>
  <si>
    <t>д1002</t>
  </si>
  <si>
    <t xml:space="preserve">Верстак для сборки </t>
  </si>
  <si>
    <t>Основная рабочая зона для конструирования моделей и работы с инструментами.</t>
  </si>
  <si>
    <t>д1003</t>
  </si>
  <si>
    <t xml:space="preserve">Стулья </t>
  </si>
  <si>
    <t>Высота сиденья: 25 – 26 см
Ширина сиденья: 29 см
Глубина сиденья: 27 см
Высота спинки (общая): 52 см</t>
  </si>
  <si>
    <t>д1004</t>
  </si>
  <si>
    <t xml:space="preserve">Система хранения </t>
  </si>
  <si>
    <t>Стеллаж для организации лотков с деталями роботов и микросхемами.</t>
  </si>
  <si>
    <t>д1005</t>
  </si>
  <si>
    <t xml:space="preserve">Глубокие лотки </t>
  </si>
  <si>
    <t>Контейнеры для сортировки конструкторов по типам деталей.</t>
  </si>
  <si>
    <t>д1006</t>
  </si>
  <si>
    <t>Настенная механика</t>
  </si>
  <si>
    <t>Интерактивный стенд для изучения передач, вращения и крутящего момента</t>
  </si>
  <si>
    <t>д1007</t>
  </si>
  <si>
    <t xml:space="preserve">Основы алгоритмики </t>
  </si>
  <si>
    <t>Игра для развития логического мышления (база перед программированием)</t>
  </si>
  <si>
    <t>д1008</t>
  </si>
  <si>
    <t>Лаборатория шестеренок</t>
  </si>
  <si>
    <t>Настольный набор для понимания принципов работы механических узлов.</t>
  </si>
  <si>
    <t>д1009</t>
  </si>
  <si>
    <t xml:space="preserve">Испытательный полигон </t>
  </si>
  <si>
    <t>Мягкая зона для запуска мобильных роботов и групповых обсуждений.</t>
  </si>
  <si>
    <t>д101</t>
  </si>
  <si>
    <t>Демонстрационные картинки «Животные жарких стран»</t>
  </si>
  <si>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</si>
  <si>
    <t>д1010</t>
  </si>
  <si>
    <t xml:space="preserve">Базовый набор робототехники для детей,
 </t>
  </si>
  <si>
    <t>Конструктор Lego Education FLL Discover</t>
  </si>
  <si>
    <t>д1011</t>
  </si>
  <si>
    <t xml:space="preserve"> Robo Wunderkind Education Kit</t>
  </si>
  <si>
    <t>Базовый набор Robowunderkind для начальных классов</t>
  </si>
  <si>
    <t>д1012</t>
  </si>
  <si>
    <t>Robo Wunderkind Extension Kit</t>
  </si>
  <si>
    <t>Базовый набор Robo wunderkind для начальных классов</t>
  </si>
  <si>
    <t>д1013</t>
  </si>
  <si>
    <t>Набор для изучения управлению роботом Кубо</t>
  </si>
  <si>
    <t>д102</t>
  </si>
  <si>
    <t>Демонстрационные картинки «Животные холодных широт»</t>
  </si>
  <si>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</si>
  <si>
    <t>д103</t>
  </si>
  <si>
    <t>Демонстрационные картинки «Игрушки»</t>
  </si>
  <si>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</si>
  <si>
    <t>д104</t>
  </si>
  <si>
    <t>Демонстрационные картинки «Комнатные растения»</t>
  </si>
  <si>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</si>
  <si>
    <t>д105</t>
  </si>
  <si>
    <t>Демонстрационные картинки «Мебель»</t>
  </si>
  <si>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</si>
  <si>
    <t>д106</t>
  </si>
  <si>
    <t>Демонстрационные картинки «Мир морей и океанов»</t>
  </si>
  <si>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</si>
  <si>
    <t>д107</t>
  </si>
  <si>
    <t>Демонстрационные картинки «Музыкальные инструменты»</t>
  </si>
  <si>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</si>
  <si>
    <t>д108</t>
  </si>
  <si>
    <t>Демонстрационные картинки «Насекомые»</t>
  </si>
  <si>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</si>
  <si>
    <t>д109</t>
  </si>
  <si>
    <t>Демонстрационные картинки «Овощи»</t>
  </si>
  <si>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</si>
  <si>
    <t>д11</t>
  </si>
  <si>
    <t>«Піл мен жолбарыс. Ертегі. Боямақ»</t>
  </si>
  <si>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</si>
  <si>
    <t>д110</t>
  </si>
  <si>
    <t>Демонстрационные картинки «Одежда»</t>
  </si>
  <si>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</si>
  <si>
    <t>д111</t>
  </si>
  <si>
    <t>Демонстрационные картинки «Посуда»</t>
  </si>
  <si>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</si>
  <si>
    <t>д112</t>
  </si>
  <si>
    <t>Демонстрационные картинки «Продукты питания»</t>
  </si>
  <si>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</si>
  <si>
    <t>д113</t>
  </si>
  <si>
    <t>Демонстрационные картинки «Профессии»</t>
  </si>
  <si>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</si>
  <si>
    <t>д114</t>
  </si>
  <si>
    <t>Демонстрационные картинки «Птицы домашние и декоративные»</t>
  </si>
  <si>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</si>
  <si>
    <t>д115</t>
  </si>
  <si>
    <t>Демонстрационные картинки «Птицы разных широт»</t>
  </si>
  <si>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</si>
  <si>
    <t>д116</t>
  </si>
  <si>
    <t>Демонстрационные картинки «Птицы России»</t>
  </si>
  <si>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</si>
  <si>
    <t>д117</t>
  </si>
  <si>
    <t>Демонстрационные картинки «Транспорт»</t>
  </si>
  <si>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</si>
  <si>
    <t>д118</t>
  </si>
  <si>
    <t>Демонстрационные картинки «Фрукты»</t>
  </si>
  <si>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</si>
  <si>
    <t>д119</t>
  </si>
  <si>
    <t>Демонстрационные картинки «Цветы полевые»</t>
  </si>
  <si>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</si>
  <si>
    <t>д12</t>
  </si>
  <si>
    <t>«Пішіндер» (Интеллектум)</t>
  </si>
  <si>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</si>
  <si>
    <t>д120</t>
  </si>
  <si>
    <t>Демонстрационные картинки «Цветы садовые»</t>
  </si>
  <si>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</si>
  <si>
    <t>д121</t>
  </si>
  <si>
    <t>Демонстрационные картинки «Электроприборы»</t>
  </si>
  <si>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</si>
  <si>
    <t>д122</t>
  </si>
  <si>
    <t>Демонстрационные картинки «Ягоды»</t>
  </si>
  <si>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</si>
  <si>
    <t>д123</t>
  </si>
  <si>
    <t xml:space="preserve">Световой стол </t>
  </si>
  <si>
    <t>Стол для опытов и изучения цвета/света</t>
  </si>
  <si>
    <t>д124</t>
  </si>
  <si>
    <t>Демонстрационные материалы по формированию математических представлений (электронная версия)</t>
  </si>
  <si>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</si>
  <si>
    <t>д125</t>
  </si>
  <si>
    <t>Денсаулықты қалай сақтауға болады. Как сохранить здоровье. How to stay fit (каз., рус., англ.яз.)</t>
  </si>
  <si>
    <t>д126</t>
  </si>
  <si>
    <t>Деревянная дудочка (свистковый духовой инструмент)</t>
  </si>
  <si>
    <t>Деревянная дудочка используется как детский духовой музыкальный инструмент для извлечения простых звуков. В процессе игры выполняются действия по выдоху воздуха и смене положения губ, что связано с формированием дыхательных навыков и слухового восприятия. Изделие изготовлено из дерева. Длина дудочки составляет не менее 13 см. Предназначена для многократного использования.</t>
  </si>
  <si>
    <t>д127</t>
  </si>
  <si>
    <t>Деревянные 3D-пазлы для сборки фигур животных</t>
  </si>
  <si>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</si>
  <si>
    <t>д128</t>
  </si>
  <si>
    <t>Деревянные квадратные блоки для сборки (набор)</t>
  </si>
  <si>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</si>
  <si>
    <t>д129</t>
  </si>
  <si>
    <t>Деревянный балансир для двигательной активности</t>
  </si>
  <si>
    <t>Деревянный балансир используется для выполнения упражнений на удержание равновесия и координацию движений. В процессе использования выполняются действия по сохранению устойчивого положения тела. Такая активность способствует развитию координации, концентрации внимания и пространственного восприятия. Изделие выполнено из дерева и предназначено для напольного использования.</t>
  </si>
  <si>
    <t>д13</t>
  </si>
  <si>
    <t>«Сан сауалдың жауабы. Энциклопедиясы»</t>
  </si>
  <si>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</si>
  <si>
    <t>д130</t>
  </si>
  <si>
    <t>Деревянный конструктор неокрашенный «Строим сами», 66 деталей</t>
  </si>
  <si>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</si>
  <si>
    <t>д131</t>
  </si>
  <si>
    <t>Деревянный конструктор, 66 деталей</t>
  </si>
  <si>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</si>
  <si>
    <t>д132</t>
  </si>
  <si>
    <t>Деревянный набор Монтессори для математических действий и магнитных заданий</t>
  </si>
  <si>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</si>
  <si>
    <t>д133</t>
  </si>
  <si>
    <t>Детская железная дорога «Сортировочный центр», комплект 70 элементов</t>
  </si>
  <si>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</si>
  <si>
    <t>д134</t>
  </si>
  <si>
    <t>Детская железная дорога (набор)</t>
  </si>
  <si>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</si>
  <si>
    <t>д135</t>
  </si>
  <si>
    <t>Детский горшок пластиковый</t>
  </si>
  <si>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</si>
  <si>
    <t>д136</t>
  </si>
  <si>
    <t>Детский игровой комплект «Строитель» с жилетом</t>
  </si>
  <si>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</si>
  <si>
    <t>д137</t>
  </si>
  <si>
    <t>Детский фартук для творческих занятий</t>
  </si>
  <si>
    <t>Фартук используется для защиты одежды при выполнении творческих и художественных работ. Оснащён завязками и передними карманами для мелких принадлежностей. Изделие многоразового использования, легко очищается. Предназначен для применения в помещениях.</t>
  </si>
  <si>
    <t>д138</t>
  </si>
  <si>
    <t>Детям о Конституции Республики Казахстан</t>
  </si>
  <si>
    <t>Оспанова Б.</t>
  </si>
  <si>
    <t>д139</t>
  </si>
  <si>
    <t>Дидактическая игра на липучках «Цифры и количество»</t>
  </si>
  <si>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</si>
  <si>
    <t>д14</t>
  </si>
  <si>
    <t>«Сөйлеуді дамыту және көркем әдебиет»</t>
  </si>
  <si>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</si>
  <si>
    <t>д140</t>
  </si>
  <si>
    <t>Дидактическая игрушка для развития мелкой моторики</t>
  </si>
  <si>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</si>
  <si>
    <t>д141</t>
  </si>
  <si>
    <t>Дидактическая фигура человека из изогнутого дерева</t>
  </si>
  <si>
    <t>Фигура человека выполнена из изогнутых деревянных элементов и используется для работы с представлениями о теле и его положении. В процессе взаимодействия выполняется изменение позы и ориентации фигуры. Применяется при игровых и проективных заданиях. Материал изготовления — дерево.</t>
  </si>
  <si>
    <t>д142</t>
  </si>
  <si>
    <t>Дидактические игры по формированию представлений (счёт, форма, время, природа)</t>
  </si>
  <si>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</si>
  <si>
    <t>д143</t>
  </si>
  <si>
    <t>Дидактические материалы (комплект)</t>
  </si>
  <si>
    <t>Комплект дидактических материалов используется при организации учебно-игровой деятельности. Применяется для выполнения заданий различной направленности. Используется в образовательной практике в зависимости от содержания комплекта.</t>
  </si>
  <si>
    <t>д144</t>
  </si>
  <si>
    <t>Дидактические материалы для сенсорного развития</t>
  </si>
  <si>
    <t>Комплект используется для организации заданий, направленных на работу с визуальными, тактильными и аудиальными ощущениями. Применяется при индивидуальной и подгрупповой деятельности. Состав материалов подбирается в зависимости от вида сенсорных упражнений.</t>
  </si>
  <si>
    <t>д145</t>
  </si>
  <si>
    <t>Дидактическое пособие-панно «Моё тело»</t>
  </si>
  <si>
    <t>Пособие «Моё тело» предназначено для формирования представлений о строении человека и базовых навыков гигиены в доступной игровой форме. Основа выполнена из плотного картона/дерева/пластика, размер панно — не менее 40×60 см для демонстрации группе детей. Комплект включает перемещаемые элементы (части тела, органы чувств, предметы гигиены) в количестве не менее 10 шт., которые ребёнок прикрепляет, сопоставляет и называет. Пособие применяется для упражнений на называние, классификацию и ориентацию «где находится», что развивает речь и внимание. Игровые задания помогают обсуждать безопасность (что можно/нельзя), уход за собой и эмоциональное самочувствие через тело. Элементы имеют закруглённые края, поверхность допускает регулярную очистку, используется под контролем педагога.</t>
  </si>
  <si>
    <t>д146</t>
  </si>
  <si>
    <t>Динмухамед Кунаев. Книга-альбом к 110-летию со дня рождения</t>
  </si>
  <si>
    <t>Сужикова А.</t>
  </si>
  <si>
    <t>д147</t>
  </si>
  <si>
    <t>Динозаврлар. Жалықтырмайтын энциклопедия</t>
  </si>
  <si>
    <t>Богаэр К.</t>
  </si>
  <si>
    <t>д148</t>
  </si>
  <si>
    <t>Добро пожаловать, Наурыз! (книга - сундучок)</t>
  </si>
  <si>
    <t>Б. Оспанова</t>
  </si>
  <si>
    <t>д149</t>
  </si>
  <si>
    <t>Домино деревянное «Животные» (28 фишек)</t>
  </si>
  <si>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</si>
  <si>
    <t>д15</t>
  </si>
  <si>
    <t>«Таяқшалар» (Интеллектум)</t>
  </si>
  <si>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</si>
  <si>
    <t>д150</t>
  </si>
  <si>
    <t>Домино деревянное «На ферме»</t>
  </si>
  <si>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</si>
  <si>
    <t>д151</t>
  </si>
  <si>
    <t>Домино деревянное «Транспорт»</t>
  </si>
  <si>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</si>
  <si>
    <t>д152</t>
  </si>
  <si>
    <t>Домино деревянное «Транспорт» (картинки-половинки)</t>
  </si>
  <si>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</si>
  <si>
    <t>д153</t>
  </si>
  <si>
    <t>Домино деревянное (классическое)</t>
  </si>
  <si>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</si>
  <si>
    <t>д154</t>
  </si>
  <si>
    <t>Домино деревянное с картинками (28 фишек)</t>
  </si>
  <si>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</si>
  <si>
    <t>д155</t>
  </si>
  <si>
    <t>Домино с картинками</t>
  </si>
  <si>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</si>
  <si>
    <t>д156</t>
  </si>
  <si>
    <t>Доска для работы с эмоциями</t>
  </si>
  <si>
    <t>Доска используется для наглядной работы с эмоциональными состояниями. В процессе занятий выполняется распознавание, называние и обсуждение эмоций. Применяется при индивидуальной и групповой работе. Предназначена для формирования эмоциональной осознанности.</t>
  </si>
  <si>
    <t>д157</t>
  </si>
  <si>
    <t>Доска маркерная</t>
  </si>
  <si>
    <t>Маркерная доска используется для письма, рисования и наглядных записей. Подходит для проведения занятий, инструктажей и демонстрации информации. Предназначена для использования с маркерами сухого стирания.</t>
  </si>
  <si>
    <t>д158</t>
  </si>
  <si>
    <t>Доска пробковая</t>
  </si>
  <si>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</si>
  <si>
    <t>д159</t>
  </si>
  <si>
    <t>Достарды қалай таңдаймын. Как завести друзей. How to make friends (каз., рус., англ.яз.)</t>
  </si>
  <si>
    <t>д16</t>
  </si>
  <si>
    <t>«Түрлі түсті бөлшектер» (Интеллектум)</t>
  </si>
  <si>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</si>
  <si>
    <t>д160</t>
  </si>
  <si>
    <t>Дуги для подлезания</t>
  </si>
  <si>
    <t>Дуги используются для организации двигательных упражнений с элементами подлезания. В процессе выполнения заданий задействуются координация движений и ориентировка в пространстве. Изделия выполнены из фанеры толщиной не менее 10 мм и покрыты безопасной краской. В комплект входят дуги разных размеров.</t>
  </si>
  <si>
    <t>д161</t>
  </si>
  <si>
    <t>Душевой комплект для ручной мойки посуды</t>
  </si>
  <si>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</si>
  <si>
    <t>д162</t>
  </si>
  <si>
    <t>Дыхательный тренажёр «Тучка»</t>
  </si>
  <si>
    <t>Дыхательный тренажёр используется для выполнения упражнений на формирование плавного и длительного выдоха. В процессе игры выполняются дыхательные действия с контролем воздушной струи. Дополнительные элементы на липучках используются для игровых заданий. Применяется при логопедической работе.</t>
  </si>
  <si>
    <t>д163</t>
  </si>
  <si>
    <t>Егіздер. Өлендер жинағы</t>
  </si>
  <si>
    <t>Баянбай Қ.</t>
  </si>
  <si>
    <t>д164</t>
  </si>
  <si>
    <t>Ер Таргын (рус., англ.)</t>
  </si>
  <si>
    <t>Адапт. Кумисбаев Ш.</t>
  </si>
  <si>
    <t>д165</t>
  </si>
  <si>
    <t>Ер Тарғын (каз., агылш.)</t>
  </si>
  <si>
    <t>Бейімдеген Ш.Кумісбаев</t>
  </si>
  <si>
    <t>д166</t>
  </si>
  <si>
    <t>Ертегілер. Ата-анамен оқимыз (1 бөлім)</t>
  </si>
  <si>
    <t>Құрастырған А.Жусупова</t>
  </si>
  <si>
    <t>д167</t>
  </si>
  <si>
    <t>Ертегілер. Ата-анамен оқимыз (2 бөлім)</t>
  </si>
  <si>
    <t>д168</t>
  </si>
  <si>
    <t>Ертегілер. Ата-анамен оқимыз (3 бөлім)</t>
  </si>
  <si>
    <t>д169</t>
  </si>
  <si>
    <t>Ертегілер. Буынға бөліп оқимыз (1 бөлім)</t>
  </si>
  <si>
    <t>д17</t>
  </si>
  <si>
    <t>10 историй о пиратах</t>
  </si>
  <si>
    <t>Бертолет К.</t>
  </si>
  <si>
    <t>д170</t>
  </si>
  <si>
    <t>Ертегілер. Буынға бөліп оқимыз (2 бөлім)</t>
  </si>
  <si>
    <t>д171</t>
  </si>
  <si>
    <t>Ертегілер. Буынға бөліп оқимыз (3 бөлім)</t>
  </si>
  <si>
    <t>д172</t>
  </si>
  <si>
    <t>Ертегілер. Өзіміз оқимыз (1 бөлім)</t>
  </si>
  <si>
    <t>д173</t>
  </si>
  <si>
    <t>Ертегілер. Өзіміз оқимыз (2 бөлім)</t>
  </si>
  <si>
    <t>д174</t>
  </si>
  <si>
    <t>Ертегілер. Өзіміз оқимыз (3 бөлім)</t>
  </si>
  <si>
    <t>д175</t>
  </si>
  <si>
    <t>Ескерткіш орнаттым мен қолдан келмес....</t>
  </si>
  <si>
    <t>А.Пушкин (құрастырушы: Сужикова А.)</t>
  </si>
  <si>
    <t>д176</t>
  </si>
  <si>
    <t>Жабайы жануарларды білесің бе? Ақылды боямақ</t>
  </si>
  <si>
    <t>Сахипова Ф.,Солтанғазина М.</t>
  </si>
  <si>
    <t>д177</t>
  </si>
  <si>
    <t>Жалықтырмайтын астрономия. Балалар энциклопедиясы</t>
  </si>
  <si>
    <t>А.Вайнберг</t>
  </si>
  <si>
    <t>д178</t>
  </si>
  <si>
    <t>Жануарлар. Энциклопедиясы</t>
  </si>
  <si>
    <t>Арлон П.</t>
  </si>
  <si>
    <t>д179</t>
  </si>
  <si>
    <t>Жаңғырық</t>
  </si>
  <si>
    <t>Ж Смақов</t>
  </si>
  <si>
    <t>д18</t>
  </si>
  <si>
    <t>10 историй о принцессах</t>
  </si>
  <si>
    <t>д180</t>
  </si>
  <si>
    <t>Жауапкершілікті сезіну. Как стать ответственным. How to be responsible</t>
  </si>
  <si>
    <t>д181</t>
  </si>
  <si>
    <t>Жәнібек пен атасы</t>
  </si>
  <si>
    <t>С.Иманасов</t>
  </si>
  <si>
    <t>д182</t>
  </si>
  <si>
    <t>Жгут кровоостанавливающий</t>
  </si>
  <si>
    <t>д183</t>
  </si>
  <si>
    <t>Жер ғаламшарының антологиясы</t>
  </si>
  <si>
    <t>Олдершоу К.</t>
  </si>
  <si>
    <t>д184</t>
  </si>
  <si>
    <t>Жол бағдар</t>
  </si>
  <si>
    <t>Интеллектум</t>
  </si>
  <si>
    <t>д185</t>
  </si>
  <si>
    <t>Жылдар және жаңа жорамалдар (Қазақ оркестрі, Ойыншықтар)</t>
  </si>
  <si>
    <t>Е.Өтетілеуұлы</t>
  </si>
  <si>
    <t>д186</t>
  </si>
  <si>
    <t>Жыраулардан жыр мұра</t>
  </si>
  <si>
    <t>Адилбеков А.Б.</t>
  </si>
  <si>
    <t>д187</t>
  </si>
  <si>
    <t>Знаю ли я своего ребенка? Практикум по детской психологии в помощь родителям</t>
  </si>
  <si>
    <t>Кэри Т.</t>
  </si>
  <si>
    <t>д188</t>
  </si>
  <si>
    <t>Зона гидропоники</t>
  </si>
  <si>
    <t>Зона гидропоники предназначена для размещения установок по выращиванию растений без почвы. Используется для наблюдения за ростом растений и ухода за ними. Оснащается специализированным оборудованием.</t>
  </si>
  <si>
    <t>д189</t>
  </si>
  <si>
    <t>Иглы с тупым концом (набор)</t>
  </si>
  <si>
    <t>Набор игл используется для шитья и ручных работ. Тупой конец обеспечивает безопасность при выполнении операций. Применяются при работе с тканью и другими мягкими материалами.</t>
  </si>
  <si>
    <t>д19</t>
  </si>
  <si>
    <t>3 Д ұшбұрыш</t>
  </si>
  <si>
    <t>д190</t>
  </si>
  <si>
    <t>Игра «Забивалка. Радужные столбики»</t>
  </si>
  <si>
    <t>Игра включает игровое поле, цветные столбики и молоток. В процессе игры выполняются удары по столбикам для их перемещения. Такая деятельность способствует развитию координации движений и точности действий. Материал изготовления — пластик.</t>
  </si>
  <si>
    <t>д191</t>
  </si>
  <si>
    <t>Игра «Катящийся шар. Барабан»</t>
  </si>
  <si>
    <t>Игровое изделие выполнено в форме барабана с размещёнными внутри цветными шарами. В процессе игры выполняется перекатывание и вращение корпуса. Такая деятельность способствует развитию зрительного восприятия и координации движений. Материал изготовления — дерево.</t>
  </si>
  <si>
    <t>д192</t>
  </si>
  <si>
    <t>Игра «Ключи и замки»</t>
  </si>
  <si>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</si>
  <si>
    <t>д193</t>
  </si>
  <si>
    <t>Игра «Куб-сортировка»</t>
  </si>
  <si>
    <t>Сортер выполнен в виде куба с отверстиями различной формы и набора фигур. В процессе игры выполняется подбор фигур по форме и размеру. Материал изготовления — пластик.</t>
  </si>
  <si>
    <t>д194</t>
  </si>
  <si>
    <t>Игра для развития мелкой моторики (антистресс)</t>
  </si>
  <si>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</si>
  <si>
    <t>д195</t>
  </si>
  <si>
    <t>Игра для сортировки «Шарики»</t>
  </si>
  <si>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</si>
  <si>
    <t>д196</t>
  </si>
  <si>
    <t>Игра на липучках «Одень девочку»</t>
  </si>
  <si>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</si>
  <si>
    <t>д197</t>
  </si>
  <si>
    <t>Игровая зона «Парикмахерская»</t>
  </si>
  <si>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</si>
  <si>
    <t>д198</t>
  </si>
  <si>
    <t>Игровая зона «Центр песка и воды»</t>
  </si>
  <si>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</si>
  <si>
    <t>д199</t>
  </si>
  <si>
    <t>Игровая парковка для машин</t>
  </si>
  <si>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</si>
  <si>
    <t>д2</t>
  </si>
  <si>
    <t>"Ақылды" боямақ. Көлік. "Умная" раскраска. Раскрась по коду. Транспорт</t>
  </si>
  <si>
    <t>д20</t>
  </si>
  <si>
    <t>Абай. Қара сөздер</t>
  </si>
  <si>
    <t>Абай (Ибрагим) Кунанбаев</t>
  </si>
  <si>
    <t>д200</t>
  </si>
  <si>
    <t>Игровой дом с куклой, мебелью и аксессуарами</t>
  </si>
  <si>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</si>
  <si>
    <t>д201</t>
  </si>
  <si>
    <t>Игровой кассовый аппарат</t>
  </si>
  <si>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</si>
  <si>
    <t>д202</t>
  </si>
  <si>
    <t>Игровой комплект для изучения основ электричества</t>
  </si>
  <si>
    <t>Игровой комплект используется для сборки простых электрических схем без пайки. В процессе работы выполняется соединение элементов и выполнение экспериментальных заданий. Набор включает не менее 17 деталей и позволяет собрать до 15 проектов. Материал изготовления — полимер.</t>
  </si>
  <si>
    <t>д203</t>
  </si>
  <si>
    <t>Игровой кукольный набор</t>
  </si>
  <si>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</si>
  <si>
    <t>д204</t>
  </si>
  <si>
    <t>Игровой набор «Блендер» со светом и звуком</t>
  </si>
  <si>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</si>
  <si>
    <t>д205</t>
  </si>
  <si>
    <t>Игровой набор «Весы»</t>
  </si>
  <si>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</si>
  <si>
    <t>д206</t>
  </si>
  <si>
    <t>Игровой набор «Доктор»</t>
  </si>
  <si>
    <t>Игровой набор используется для сюжетно-ролевых игр на тему медицинской помощи. Включает игровые инструменты врача. Материал изготовления — пластик.</t>
  </si>
  <si>
    <t>д207</t>
  </si>
  <si>
    <t>Игровой набор «Кассовый аппарат»</t>
  </si>
  <si>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</si>
  <si>
    <t>д208</t>
  </si>
  <si>
    <t>Игровой набор «Корзина с продуктами»</t>
  </si>
  <si>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</si>
  <si>
    <t>д209</t>
  </si>
  <si>
    <t>Игровой набор «Монеты и купюры»</t>
  </si>
  <si>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</si>
  <si>
    <t>д21</t>
  </si>
  <si>
    <t>Абай. Слова назидания</t>
  </si>
  <si>
    <t>д210</t>
  </si>
  <si>
    <t>Игровой набор «Моя мастерская»</t>
  </si>
  <si>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</si>
  <si>
    <t>д211</t>
  </si>
  <si>
    <t>Игровой набор «Пицца» на липучках (дерево)</t>
  </si>
  <si>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</si>
  <si>
    <t>д212</t>
  </si>
  <si>
    <t>Игровой набор «Пожарный»</t>
  </si>
  <si>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</si>
  <si>
    <t>д213</t>
  </si>
  <si>
    <t>Игровой набор «Полиция», 12 предметов</t>
  </si>
  <si>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</si>
  <si>
    <t>д214</t>
  </si>
  <si>
    <t>Игровой набор «Праздничное чаепитие» со светом и музыкой</t>
  </si>
  <si>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</si>
  <si>
    <t>д215</t>
  </si>
  <si>
    <t>Игровой набор «Стилист»</t>
  </si>
  <si>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</si>
  <si>
    <t>д216</t>
  </si>
  <si>
    <t>Игровой набор «Фастфуд»</t>
  </si>
  <si>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</si>
  <si>
    <t>д217</t>
  </si>
  <si>
    <t>Игровой набор «Холодильник» с продуктами</t>
  </si>
  <si>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</si>
  <si>
    <t>д218</t>
  </si>
  <si>
    <t>Игровой набор декоративной косметики, 10 предметов</t>
  </si>
  <si>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</si>
  <si>
    <t>д219</t>
  </si>
  <si>
    <t>Игровой набор инструментов</t>
  </si>
  <si>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</si>
  <si>
    <t>д22</t>
  </si>
  <si>
    <t>Адам денесi. Жалықтырмайтын анатомия</t>
  </si>
  <si>
    <t>Родригес-Вида А</t>
  </si>
  <si>
    <t>д220</t>
  </si>
  <si>
    <t>Игровой набор фигурок животных и птиц, комплект</t>
  </si>
  <si>
    <t>Комплект включает несколько фигурок животных и птиц. Используется для групповых и индивидуальных игр. Материал изготовления — резина.</t>
  </si>
  <si>
    <t>д221</t>
  </si>
  <si>
    <t>Игровой пазл в форме машинки</t>
  </si>
  <si>
    <t>Игрушка выполнена в форме машинки с набором фигур. В процессе игры выполняется сборка и разборка элементов. Материал изготовления — дерево.</t>
  </si>
  <si>
    <t>д222</t>
  </si>
  <si>
    <t>Игровые фигурки диких животных</t>
  </si>
  <si>
    <t>Набор включает фигурки диких животных. Используется для сюжетных игр и тематических занятий. В комплект входит не менее 12 фигурок.</t>
  </si>
  <si>
    <t>д223</t>
  </si>
  <si>
    <t>Игровые фигурки животных и птиц</t>
  </si>
  <si>
    <t>Фигурки используются для сюжетно-ролевых игр и тематических занятий. Изображают животных и птиц. Применяются для разыгрывания сцен и классификации.</t>
  </si>
  <si>
    <t>д224</t>
  </si>
  <si>
    <t>Игрушечная ванна для кукол</t>
  </si>
  <si>
    <t>Аксессуар предназначен для сюжетно-ролевых игр с куклами. Используется для имитации гигиенических процедур. Материал изготовления — пластик.</t>
  </si>
  <si>
    <t>д225</t>
  </si>
  <si>
    <t>Игрушечная корзинка</t>
  </si>
  <si>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</si>
  <si>
    <t>д226</t>
  </si>
  <si>
    <t>Игрушечная микроволновая печь</t>
  </si>
  <si>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</si>
  <si>
    <t>д227</t>
  </si>
  <si>
    <t>Игрушечная стиральная машина</t>
  </si>
  <si>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</si>
  <si>
    <t>д228</t>
  </si>
  <si>
    <t>Игрушечный кран крупногабаритный</t>
  </si>
  <si>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</si>
  <si>
    <t>д229</t>
  </si>
  <si>
    <t>Игрушечный музыкальный телефон с кнопками</t>
  </si>
  <si>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</si>
  <si>
    <t>д23</t>
  </si>
  <si>
    <t>Адамдарға қалай көмектесуге болады. Как помогать людям. How to help people (каз., рус., англ.яз.)</t>
  </si>
  <si>
    <t>д230</t>
  </si>
  <si>
    <t>Игрушечный набор фруктов и овощей на магните</t>
  </si>
  <si>
    <t>Набор используется для сюжетных игр и сортировки. Элементы снабжены магнитной основой, что позволяет закреплять их на металлических поверхностях.</t>
  </si>
  <si>
    <t>д231</t>
  </si>
  <si>
    <t xml:space="preserve">Игрушка "Спасательный вертолет" </t>
  </si>
  <si>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</si>
  <si>
    <t>д232</t>
  </si>
  <si>
    <t>Игрушка «Бетономешалка»</t>
  </si>
  <si>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</si>
  <si>
    <t>д233</t>
  </si>
  <si>
    <t xml:space="preserve">Игрушка Монтессори  Бизиборд 3D </t>
  </si>
  <si>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</si>
  <si>
    <t>д234</t>
  </si>
  <si>
    <t>Игрушка-забава</t>
  </si>
  <si>
    <t>Игрушка используется для свободной игровой деятельности. Назначение зависит от конструкции изделия.</t>
  </si>
  <si>
    <t>д235</t>
  </si>
  <si>
    <t>Игрушка-каталка</t>
  </si>
  <si>
    <t>Игрушка предназначена для перемещения по поверхности путём толкания. Используется в подвижных играх. Материал изготовления — пластик.</t>
  </si>
  <si>
    <t>д236</t>
  </si>
  <si>
    <t>Игрушка-каталка «Вертолёт» на палочке</t>
  </si>
  <si>
    <t>Каталка используется в подвижной игре при движении ребёнка по помещению. Конструкция включает колёсную базу и ручку (палочку) для ведения. В процессе игры выполняется координированное движение «идти–вести», что поддерживает развитие общей моторики. Материал изготовления — пластик.</t>
  </si>
  <si>
    <t>д237</t>
  </si>
  <si>
    <t>Игрушка-каталка «Улитка» на палочке</t>
  </si>
  <si>
    <t>Каталка предназначена для сопровождения движения при ходьбе. Оснащена колёсами и ручкой для управления. В процессе игры формируется согласованность действий рук и ног. Материал изготовления — пластик, рассчитан на регулярную эксплуатацию.</t>
  </si>
  <si>
    <t>д238</t>
  </si>
  <si>
    <t>Игрушка-пупс с аксессуарами</t>
  </si>
  <si>
    <t>Пупс используется для сюжетно-ролевых игр, связанных с уходом. В комплект входят бутылочка и пустышка. Материалы изготовления — винил, пластик и текстиль.</t>
  </si>
  <si>
    <t>д239</t>
  </si>
  <si>
    <t>Игрушки-животные (набор)</t>
  </si>
  <si>
    <t>Набор игрушек используется для сюжетных и настольных игр. Фигурки имеют размеры, удобные для удержания. Предназначены для многократного использования.</t>
  </si>
  <si>
    <t>д24</t>
  </si>
  <si>
    <t>Акварельные краски для занятий по рисованию</t>
  </si>
  <si>
    <t>Акварельные краски используются при выполнении художественных работ и упражнений по рисованию. Применяются для нанесения цветовых пятен, смешивания оттенков и освоения приёмов работы с кистью. В процессе рисования формируются навыки аккуратности и цветового восприятия. Краски безвредны и предназначены для использования в детской среде.</t>
  </si>
  <si>
    <t>д240</t>
  </si>
  <si>
    <t>Иллюстративные альбомы родного края</t>
  </si>
  <si>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</si>
  <si>
    <t>д241</t>
  </si>
  <si>
    <t>Иллюстрированное издание «Животные и птицы»</t>
  </si>
  <si>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</si>
  <si>
    <t>д242</t>
  </si>
  <si>
    <t>Инерционные машинки (набор)</t>
  </si>
  <si>
    <t>Набор включает инерционные машинки. Используются для свободных сюжетных и подвижных игр. Материал изготовления — пластик.</t>
  </si>
  <si>
    <t>д243</t>
  </si>
  <si>
    <t>Интерактивная дидактическая игра "Азбука" для составления слов</t>
  </si>
  <si>
    <t>Интерактивная дидактическая игра включает задания по составлению слов и слогов из отдельных букв. В процессе работы выполняется подбор букв и их размещение в правильной последовательности. Такая деятельность направлена на формирование представлений о буквах, слогах и структуре слова, а также развитие речевых навыков. Комплект содержит карточки с заданиями и подставку для их размещения.</t>
  </si>
  <si>
    <t>д244</t>
  </si>
  <si>
    <t>Интерактивная книжка</t>
  </si>
  <si>
    <t>Книжка используется для рассматривания и выполнения игровых заданий. Содержит сюжетные изображения. Материал страниц — картон.</t>
  </si>
  <si>
    <t>д245</t>
  </si>
  <si>
    <t>Интерактивное зеркало</t>
  </si>
  <si>
    <t>Интерактивное зеркало используется в коррекционно-развивающей работе. Применяется совместно с логопедическим оборудованием.</t>
  </si>
  <si>
    <t>д246</t>
  </si>
  <si>
    <t>Интерактивный глобус</t>
  </si>
  <si>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</si>
  <si>
    <t>д247</t>
  </si>
  <si>
    <t>Информационно-творческое панно для детских работ и целей</t>
  </si>
  <si>
    <t>Панно предназначено для размещения детских рисунков, творческих работ и визуализации индивидуальных и групповых целей. Способствует развитию уверенности в себе, положительной самооценки и мотивации к творческой и познавательной деятельности.</t>
  </si>
  <si>
    <t>д248</t>
  </si>
  <si>
    <t>Искусственные декоративные горшечные растения</t>
  </si>
  <si>
    <t>Искусственные горшечные растения используются для декоративного оформления интерьера. Применяются при создании визуально комфортной среды. Не требуют ухода и полива. В комплект входит не менее 3 изделий.</t>
  </si>
  <si>
    <t>д249</t>
  </si>
  <si>
    <t>Искусство. Аннотированное</t>
  </si>
  <si>
    <t>Мамирова Ғ.Б.</t>
  </si>
  <si>
    <t>д25</t>
  </si>
  <si>
    <t>Аквариум декоративный с подсветкой, фильтрацией и обогревом</t>
  </si>
  <si>
    <t>Аквариум используется для размещения и содержания водных обитателей. Применяется как элемент интерьерного и наглядного оформления помещений. Оснащён подсветкой, фильтром и обогревателем для поддержания условий содержания. Объём аквариума составляет не менее 48 л. Габаритные размеры — не менее 55×30×29 см.</t>
  </si>
  <si>
    <t>д250</t>
  </si>
  <si>
    <t>Казахские сказки</t>
  </si>
  <si>
    <t>Составитель Раева С.К.</t>
  </si>
  <si>
    <t>д251</t>
  </si>
  <si>
    <t>Как все работает. Энциклопедия</t>
  </si>
  <si>
    <t>под ред. П. Френсис, Р. Хьюстон (перевод Баталова А.)</t>
  </si>
  <si>
    <t>д252</t>
  </si>
  <si>
    <t>Калейдоскоп детский</t>
  </si>
  <si>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</si>
  <si>
    <t>д253</t>
  </si>
  <si>
    <t>Календарь погоды (наглядное пособие)</t>
  </si>
  <si>
    <t>Календарь используется для ежедневного фиксации наблюдений за погодой и обсуждения сезонных изменений. Применяется при утренних беседах и тематических занятиях. Формат календаря — не менее 13×18 см. Конструкция предусматривает размещение обозначений (температура, осадки, облачность) в удобной форме. Рассчитан на регулярное использование в помещении.</t>
  </si>
  <si>
    <t>д254</t>
  </si>
  <si>
    <t>Костюм «Пожарный»</t>
  </si>
  <si>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</si>
  <si>
    <t>д256</t>
  </si>
  <si>
    <t>Капитан Кук. Captain Cook (каз., рус., англ.яз.)</t>
  </si>
  <si>
    <t>Р.Левин (перевод Сужикова А., Асанова М.)</t>
  </si>
  <si>
    <t>д257</t>
  </si>
  <si>
    <t>Каракусбай. Казахская сказка</t>
  </si>
  <si>
    <t>д258</t>
  </si>
  <si>
    <t>Карнавальный костюм "Заяц"</t>
  </si>
  <si>
    <t xml:space="preserve"> Заяц серый р 110-56 /мех /Батик/” можно в интернет-магазине Murzilka. Выгодные цены. Быстрая доставка по Казахстану.</t>
  </si>
  <si>
    <t>д259</t>
  </si>
  <si>
    <t>Карнавальный костюм "Лиса"</t>
  </si>
  <si>
    <t>Костюм «Лисичка» для девочки, рост не менее 110 см, размер не менее 28. Выполнен из искусственного меха, комплект включает пелерину с белыми вставками и завязками, юбку на резинке и шапочку-маску с ушками и набивным носиком. Предназначен для ролевых игр и развивает воображение детей.</t>
  </si>
  <si>
    <t>д26</t>
  </si>
  <si>
    <t>Алдар Көсе. Сборник сказок (каз., рус., англ.яз.)</t>
  </si>
  <si>
    <t>каз.адаптац. Мырза Али К.</t>
  </si>
  <si>
    <t>д260</t>
  </si>
  <si>
    <t>Карнавальный костюм "Снеговик"</t>
  </si>
  <si>
    <t>Костюм Снеговичок Снежок подойдет как мальчикам, так и девочкам. Замечательный новогодний образ станет отличной альтернативой стандартным костюмам Снегурочки и Деда Мороза. В таком наряде можно участвовать в спектакле или просто прийти на новогоднюю елку. Комплект состоит из комбинезона с внутренним каркасом, ведерка и носа. Особенности: Костюм белый с серебристыми снежинками и пышным воротником Длинные объемные рукава на резинках Внутренний каркас придает комбинезону объем Синие помпоны спереди Серебристое текстильное ведерко на голову Оранжевый нос-морковка на резинке.</t>
  </si>
  <si>
    <t>д261</t>
  </si>
  <si>
    <t>Карнавальный костюм «Дед Мороз» (комплект)</t>
  </si>
  <si>
    <t>Костюм предназначен для проведения праздничных мероприятий и сценических выступлений. Комплект включает шубу, шапку, варежки и мешок для подарков. Элементы костюма выполнены из износостойких материалов, рассчитанных на многократное использование. Подходит для организации новогодних представлений и игровых сценариев.</t>
  </si>
  <si>
    <t>д262</t>
  </si>
  <si>
    <t>Карнавальный костюм «Ёжик» для девочки (сарафан и шапка)</t>
  </si>
  <si>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</si>
  <si>
    <t>д263</t>
  </si>
  <si>
    <t>Карнавальный костюм «Петух» (маска, безрукавка, шорты)</t>
  </si>
  <si>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</si>
  <si>
    <t>д264</t>
  </si>
  <si>
    <t>Карнавальный костюм «Снегурочка» (комплект)</t>
  </si>
  <si>
    <t>Костюм предназначен для участия в праздничных мероприятиях и театрализованных сценках. В комплект входит шубка, шапочка и рукавицы-варежки. Материал — лёгкая ткань (например, атлас или аналог), удобная для активного движения. Изделие рассчитано на многократное использование.</t>
  </si>
  <si>
    <t>д265</t>
  </si>
  <si>
    <t>Картон цветной (набор для творчества)</t>
  </si>
  <si>
    <t>Цветной картон используется для аппликаций, конструирования и изготовления поделок. Применяется при вырезании, сгибании и наклеивании деталей. Подходит для изготовления макетов, открыток и элементов декора. Поставляется в виде набора листов. Рассчитан на использование в творческих занятиях.</t>
  </si>
  <si>
    <t>д266</t>
  </si>
  <si>
    <t>Карточки «Кто как говорит» (набор звукоподражаний)</t>
  </si>
  <si>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</si>
  <si>
    <t>д267</t>
  </si>
  <si>
    <t>Карточки «Моя ежедневная рутина»</t>
  </si>
  <si>
    <t>Набор карточек используется для закрепления последовательности действий дня и формирования речевых высказываний. В процессе работы выполняется выбор карточек по ситуации и составление коротких фраз. Применяется при обсуждении режимных моментов и навыков самоорганизации. Карточки выполнены из плотного материала для регулярного использования.</t>
  </si>
  <si>
    <t>д268</t>
  </si>
  <si>
    <t>Карточки Домана (набор тематических карточек)</t>
  </si>
  <si>
    <t>Набор карточек используется для показа и называния предметов по темам (транспорт, посуда, продукты питания, одежда, фрукты/ягоды, животные, насекомые, оттенки цветов). Применяется для рассматривания, расширения словаря и упражнений на классификацию. Карточки рассчитаны на регулярное использование и хранение в комплекте.</t>
  </si>
  <si>
    <t>д269</t>
  </si>
  <si>
    <t>Карточки с предложениями и рассказами</t>
  </si>
  <si>
    <t>Материал используется для работы над связной речью. В процессе занятий выполняется чтение/пересказ и составление рассказов по опорам. Применяется для упражнений на последовательность событий и построение фраз. Рассчитан на многократное использование.</t>
  </si>
  <si>
    <t>д27</t>
  </si>
  <si>
    <t>Алпамыс батыр (каз., ағылш.)</t>
  </si>
  <si>
    <t>д270</t>
  </si>
  <si>
    <t>Карынбай. Казахская сказка</t>
  </si>
  <si>
    <t>д271</t>
  </si>
  <si>
    <t>Касса цифр и счётного материала «Лёгкий счёт»</t>
  </si>
  <si>
    <t>Касса используется для упражнений на счёт и составление простых числовых комбинаций. В процессе работы выполняется подбор цифр и счётных элементов, раскладывание по заданиям и решение простых примеров. Подходит для настольной учебно-игровой деятельности. Материал рассчитан на регулярное использование.</t>
  </si>
  <si>
    <t>д272</t>
  </si>
  <si>
    <t>Касса-веер цифр от 0 до 9</t>
  </si>
  <si>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</si>
  <si>
    <t>д273</t>
  </si>
  <si>
    <t>Кел, ойнайық, балақай!</t>
  </si>
  <si>
    <t>Әлімжанов Б.</t>
  </si>
  <si>
    <t>д274</t>
  </si>
  <si>
    <t>Керек кітап</t>
  </si>
  <si>
    <t>Ақыпбекұлы Ө.</t>
  </si>
  <si>
    <t>д275</t>
  </si>
  <si>
    <t>Кинетический песок с контейнером</t>
  </si>
  <si>
    <t>Кинетический песок с контейнером, розового цвета или иного цвета, в комплекте не менее 786 г песка и не менее 4 фигурок, размер коробки не менее 19 × 14 × 9 см, предназначен для развивающих игр и формирования мелкой моторики у детей.</t>
  </si>
  <si>
    <t>д276</t>
  </si>
  <si>
    <t>Кисти для макияжа (набор 7 шт.)</t>
  </si>
  <si>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</si>
  <si>
    <t>д277</t>
  </si>
  <si>
    <t>Кисти художественные (набор)</t>
  </si>
  <si>
    <t>Набор кистей используется для рисования гуашью, акварелью и другими красками. Включает кисти разных размеров для прорисовки деталей и закрашивания больших поверхностей. Рукоятки выполнены из дерева или аналогичного материала. Кисти рассчитаны на многократное использование при соблюдении правил ухода.</t>
  </si>
  <si>
    <t>д278</t>
  </si>
  <si>
    <t>Кисти художественные с синтетическим ворсом (набор 10 шт.)</t>
  </si>
  <si>
    <t>Набор кистей предназначен для рисования различными видами красок. В комплект входит не менее 10 кистей разных форм и размеров, что позволяет выполнять фоновые заливки и тонкие линии. Ворс синтетический (нейлон), упругий и устойчивый к деформации. Рукоятки деревянные, удобные для удержания. Кисти подходят для регулярного использования при выполнении художественных работ.</t>
  </si>
  <si>
    <t>д279</t>
  </si>
  <si>
    <t>Клей ПВА детский</t>
  </si>
  <si>
    <t>Клей ПВА используется для приклеивания бумаги, картона и лёгких материалов в творческих работах. Подходит для аппликаций и изготовления поделок. Желательно наличие сертификата соответствия (РК). Используется дозировано, легко смывается с поверхностей при своевременной очистке.</t>
  </si>
  <si>
    <t>д28</t>
  </si>
  <si>
    <t>Алпамыс батыр (рус., англ.)</t>
  </si>
  <si>
    <t>д280</t>
  </si>
  <si>
    <t>Клей-карандаш</t>
  </si>
  <si>
    <t>Клей-карандаш используется для склеивания бумаги и тонкого картона. Удобен для точечного нанесения без излишков влаги. Подходит для аппликаций и офисно-учебных задач. Рассчитан на регулярное использование.</t>
  </si>
  <si>
    <t>д281</t>
  </si>
  <si>
    <t>Клеопатра. Cleopatra (каз., рус., англ.яз.)</t>
  </si>
  <si>
    <t>К.Дейнз (перевод Сужикова А., Асанова М.)</t>
  </si>
  <si>
    <t>д282</t>
  </si>
  <si>
    <t>Книга «Домашние животные» (картонная)</t>
  </si>
  <si>
    <t>Книга используется для знакомства с домашними животными через изображения и подписи. Применяется при рассматривании, назывании и обсуждении особенностей животных. Картонные страницы подходят для регулярного использования.</t>
  </si>
  <si>
    <t>д283</t>
  </si>
  <si>
    <t>Книга «Ертегілер. Ата-анамен оқимыз», часть 1</t>
  </si>
  <si>
    <t>Книга содержит тексты сказок для совместного чтения. Используется при чтении и обсуждении содержания. Подходит для спокойной совместной деятельности.</t>
  </si>
  <si>
    <t>д284</t>
  </si>
  <si>
    <t>Книга «Ертегілер. Ата-анамен оқимыз», часть 2</t>
  </si>
  <si>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</si>
  <si>
    <t>д285</t>
  </si>
  <si>
    <t>Книга «Ертегілер. Ата-анамен оқимыз», часть 3</t>
  </si>
  <si>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</si>
  <si>
    <t>д286</t>
  </si>
  <si>
    <t>Книга «Кел, ойнайық, балақай!»</t>
  </si>
  <si>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</si>
  <si>
    <t>д287</t>
  </si>
  <si>
    <t>Книга «Моя Родина — Казахстан»</t>
  </si>
  <si>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</si>
  <si>
    <t>д288</t>
  </si>
  <si>
    <t>Книга «Овощи и фрукты» (картонная)</t>
  </si>
  <si>
    <t>Книга используется для ознакомления с овощами и фруктами через изображения и подписи. Применяется при рассматривании, назывании и обсуждении признаков (цвет, форма, где растёт). Страницы выполнены из плотного картона. Подходит для тематических занятий.</t>
  </si>
  <si>
    <t>д289</t>
  </si>
  <si>
    <t>Книга «Цвета» (картонная)</t>
  </si>
  <si>
    <t>Книга предназначена для знакомства с основными цветами через персонажей и сюжетные изображения. Используется при рассматривании и назывании цветов. Страницы выполнены из плотного картона, удобного для частого перелистывания. Подходит для тематических занятий и спокойной деятельности.</t>
  </si>
  <si>
    <t>д29</t>
  </si>
  <si>
    <t>Альбомы с иллюстрациями и фотографиями сельскохозяйственного и бытового труда</t>
  </si>
  <si>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</si>
  <si>
    <t>д290</t>
  </si>
  <si>
    <t>Книга Pop-up «Космос» (панорамка)</t>
  </si>
  <si>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</si>
  <si>
    <t>д291</t>
  </si>
  <si>
    <t>Книга Pop-up «Транспорт» (панорамка)</t>
  </si>
  <si>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</si>
  <si>
    <t>д292</t>
  </si>
  <si>
    <t>Книга-раскладушка со звуками животных</t>
  </si>
  <si>
    <t>Книжка-раскладушка используется для знакомства с голосами животных и птиц. На страницах размещены иллюстрации и подписи со звукоподражанием. Формат раскладушки удобен для показа группе и индивидуального рассматривания. Картонные страницы рассчитаны на многократное использование.</t>
  </si>
  <si>
    <t>д293</t>
  </si>
  <si>
    <t>Книги по воспитанию и педагогике</t>
  </si>
  <si>
    <t>Комплект включает издания по педагогике, психологии и вопросам воспитания. Используется для методической подготовки и профессионального чтения. Подходит для размещения в методическом кабинете или библиотеке учреждения. Рассчитан на длительное хранение и использование.</t>
  </si>
  <si>
    <t>д294</t>
  </si>
  <si>
    <t>Книжные стеллажи (открытые)</t>
  </si>
  <si>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</si>
  <si>
    <t>Стеллаж двусторонний, 3 полки, размер не менее 800х600х1100 мм</t>
  </si>
  <si>
    <t>д295</t>
  </si>
  <si>
    <t>Ковёр с казахскими орнаментами</t>
  </si>
  <si>
    <t>Мягкий ковёр для зоны чтения и отдыха с традиционными казахскими узорами. Оснащён антискользящим основанием.</t>
  </si>
  <si>
    <t>д296</t>
  </si>
  <si>
    <t>Коврик для упражнений напольный (йога/ЛФК)</t>
  </si>
  <si>
    <t>Коврик используется для упражнений на полу, растяжки и спокойной двигательной активности. Размер коврика составляет не менее 180×60 см, толщина — не менее 0,6 см. Материал — TPE или аналог, устойчивый к скольжению и лёгкий в уходе. Рассчитан на регулярное использование.</t>
  </si>
  <si>
    <t>д297</t>
  </si>
  <si>
    <t>Коврики для лепки (набор 4 шт.)</t>
  </si>
  <si>
    <t>Коврики используются как рабочая поверхность при лепке и работе с пластичными материалами. Материал — силикон или пластик, водонепроницаемый и термостойкий. Поверхность предотвращает прилипание и облегчает уборку рабочего места. В комплект входит не менее 4 ковриков. Размер одного коврика — не менее 39×29 см (возможны дополнительные меньшие форматы).</t>
  </si>
  <si>
    <t>д298</t>
  </si>
  <si>
    <t>Ковролин напольный для игровой зоны</t>
  </si>
  <si>
    <t>Ковролин используется как основное покрытие игровой или рабочей зоны, снижая шум и делая поверхность более тёплой и безопасной. Материал должен быть гипоаллергенным и устойчивым к истиранию. Цвет — нейтральный (пастельные или светлые тона) для визуального спокойствия пространства. Размер подбирается по площади зоны, при этом покрытие обеспечивает сплошное перекрытие основной рабочей поверхности. Подходит для регулярной уборки пылесосом и локальной влажной очистки.</t>
  </si>
  <si>
    <t>д299</t>
  </si>
  <si>
    <t>Козы Корпеш - Баян сулу (рус., англ.)</t>
  </si>
  <si>
    <t>д3</t>
  </si>
  <si>
    <t>"Ақылды" боямақ. Үй. "Умная" раскраска. Раскрась по коду. Дом</t>
  </si>
  <si>
    <t>д30</t>
  </si>
  <si>
    <t>Антология планеты земля</t>
  </si>
  <si>
    <t>д300</t>
  </si>
  <si>
    <t>Коллекция семян и плодов (демонстрационный набор)</t>
  </si>
  <si>
    <t>Коллекция предназначена для ознакомления с разнообразием семян и плодов и их внешними признаками. Используется как демонстрационный материал при тематических занятиях и наблюдениях. В составе набора должны быть образцы разных форм и размеров для сравнения и классификации. Элементы размещаются в контейнере/коробке для хранения и систематизации. Материал рассчитан на многократное использование в помещении.</t>
  </si>
  <si>
    <t>д301</t>
  </si>
  <si>
    <t>Коллекция тканей (набор образцов)</t>
  </si>
  <si>
    <t>Набор образцов тканей используется для тактильного сравнения материалов и изучения их свойств (плотность, гладкость, фактура). Применяется при занятиях по ознакомлению с материалами и в творческих заданиях. Длина одного отреза ткани — не менее 1 м (при поставке единицей товара). Цветовая гамма допускает различные варианты по ассортименту.</t>
  </si>
  <si>
    <t>д302</t>
  </si>
  <si>
    <t>Колода для рубки мяса верх пэ ce-ekp70x70</t>
  </si>
  <si>
    <t>Нержавеющая сталь 430; Толщина  полиэтилена: 10 cm; С бортиком, без полки; Параметры: 700x700x850 мм</t>
  </si>
  <si>
    <t>д303</t>
  </si>
  <si>
    <t>Колокольчик детский (металл/пластик)</t>
  </si>
  <si>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</si>
  <si>
    <t>д304</t>
  </si>
  <si>
    <t>Коляска для куклы игровая (металл/пластик/текстиль)</t>
  </si>
  <si>
    <t>Игровая коляска используется как атрибут сюжетно-ролевых игр по уходу за куклой. В процессе игры выполняются действия по перевозке, укладыванию и «прогулке», что поддерживает развитие ролевых сценариев. Каркас изготовлен из металла, элементы — из пластика и текстиля. Конструкция должна быть устойчивой, с колёсами, обеспечивающими плавное перемещение. Цветовое исполнение — фиолетовый и красный (или близкий вариант по партии).</t>
  </si>
  <si>
    <t>д305</t>
  </si>
  <si>
    <t>Коляска для куклы с люлькой (со съёмной корзиной)</t>
  </si>
  <si>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</si>
  <si>
    <t>д306</t>
  </si>
  <si>
    <t>Комплект «Трио»</t>
  </si>
  <si>
    <t>Сенсорный светодинамический комплект, включающий три воздушно-пузырьковые колонны высотой 1,5 м и диаметром 10 см каждая, мягкое объединяющее основание и комплект зеркальных панелей. Используется для известной релаксации, визуальной стимуляции, развития внимания и снижения эмоционального напряжения. Конструкция устойчивая, предназначена для стационарного размещения в сенсорных и психологических зонах.</t>
  </si>
  <si>
    <t>д307</t>
  </si>
  <si>
    <t>Комплект безопасных световых фильтров для изучения цветов спектра</t>
  </si>
  <si>
    <t>Набор цветных прозрачных фильтров, предназначенных для изучения основных и составных цветов спектра. Применяется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Материалы безопасны для детского использования, фильтры подходят для индивидуальной и групповой работы.</t>
  </si>
  <si>
    <t>д308</t>
  </si>
  <si>
    <t>Комплект игрушечной мебели и домашнего оборудования</t>
  </si>
  <si>
    <t>Набор миниатюрных предметов мебели и бытовых аксессуаров, предназначенный для сюжетно-ролевых и коррекционно-развивающих занятий. Позволяет моделировать повседневные жизненные ситуации, развивать социальные навыки, речь, эмоциональный интеллект и навыки взаимодействия. Используется в психологических и игровых кабинетах.</t>
  </si>
  <si>
    <t>д309</t>
  </si>
  <si>
    <t>Комплект из 10 книг «Уроки логопеда»</t>
  </si>
  <si>
    <t>Методический книжный комплект для логопедической работы с детьми. Содержит материалы по развитию артикуляционной моторики, фонематического восприятия, лексико-грамматического строя речи и связной речи. Используется для индивидуальных и подгрупповых занятий, а также в коррекционно-развивающей практике.</t>
  </si>
  <si>
    <t>д31</t>
  </si>
  <si>
    <t>Аптечка</t>
  </si>
  <si>
    <t>Аптечка предназначена для хранения медицинских изделий и средств первой необходимости. Используется для оперативного доступа к медицинским принадлежностям. Комплектуется в соответствии с установленными требованиями. Предназначена для размещения в помещениях учреждения.</t>
  </si>
  <si>
    <t>д310</t>
  </si>
  <si>
    <t>Комплект карточек с изображениями (предметы/действия/животные)</t>
  </si>
  <si>
    <t>Карточки используются для упражнений на называние, описание и подбор по признакам. Тематика включает предметы, животных и действия. Применяется для игр на классификацию и составление фраз. Карточки рассчитаны на регулярное использование.</t>
  </si>
  <si>
    <t>д311</t>
  </si>
  <si>
    <t>Комплект книг (сказки, в том числе говорящие), не менее 15 шт.</t>
  </si>
  <si>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</si>
  <si>
    <t>д312</t>
  </si>
  <si>
    <t>Комплект мягкой мебели</t>
  </si>
  <si>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</si>
  <si>
    <t>д313</t>
  </si>
  <si>
    <t>Комплект постельного белья</t>
  </si>
  <si>
    <t>Комплект текстильных принадлежностей для оснащения спальных зон. Предназначен для ежедневного использования, обеспечивает гигиеничность, комфорт и простоту ухода. Подходит для детских учреждений и регулярной санитарной обработки.</t>
  </si>
  <si>
    <t>д314</t>
  </si>
  <si>
    <t>Компьютерлік программалау. Балаларға арналған</t>
  </si>
  <si>
    <t>Вордерман К.</t>
  </si>
  <si>
    <t>д315</t>
  </si>
  <si>
    <t>Конный мир казахов</t>
  </si>
  <si>
    <t>Токтабай А.</t>
  </si>
  <si>
    <t>д316</t>
  </si>
  <si>
    <t>Конструктор «камни»</t>
  </si>
  <si>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</si>
  <si>
    <t>д317</t>
  </si>
  <si>
    <t>Конструктор «Сәулетші»</t>
  </si>
  <si>
    <t>Развивающий конструктор предназначен для формирования пространственного мышления, логики, воображения и мелкой моторики. Используется в индивидуальной и групповой игровой деятельности детей дошкольного возраста.</t>
  </si>
  <si>
    <t>д318</t>
  </si>
  <si>
    <t>Конструктор «Сказка-театр»</t>
  </si>
  <si>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</si>
  <si>
    <t>д319</t>
  </si>
  <si>
    <t>Конструктор «Транспортная машина для мотоциклов»</t>
  </si>
  <si>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</si>
  <si>
    <t>д32</t>
  </si>
  <si>
    <t>Аптечка первой помощи</t>
  </si>
  <si>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</si>
  <si>
    <t>д320</t>
  </si>
  <si>
    <t>Конструктор «Ферма»</t>
  </si>
  <si>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</si>
  <si>
    <t>д321</t>
  </si>
  <si>
    <t>Конструктор блочный с крупными деталями</t>
  </si>
  <si>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</si>
  <si>
    <t>д322</t>
  </si>
  <si>
    <t>Конструктор деревянный (100 элементов)</t>
  </si>
  <si>
    <t>Набор деревянных деталей различной формы для свободного конструирования. Используется для развития творческого мышления, координации рук и глаз, а также навыков планирования и устойчивости построек.</t>
  </si>
  <si>
    <t>д323</t>
  </si>
  <si>
    <t>Конструктор деревянный цветной (65 деталей)</t>
  </si>
  <si>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</si>
  <si>
    <t>д324</t>
  </si>
  <si>
    <t>Конструктор крупный детский</t>
  </si>
  <si>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</si>
  <si>
    <t>д325</t>
  </si>
  <si>
    <t>Конструктор мягкий</t>
  </si>
  <si>
    <t>Конструктор из мягкого вспененного материала, безопасный для активной игры. Используется для построения объёмных форм, развития крупной моторики и пространственного восприятия. Подходит для младшего возраста.</t>
  </si>
  <si>
    <t>д326</t>
  </si>
  <si>
    <t>Конструктор с деревянными или пластмассовыми деталями</t>
  </si>
  <si>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</si>
  <si>
    <t>д327</t>
  </si>
  <si>
    <t>Конструктор с крупными деталями</t>
  </si>
  <si>
    <t>Набор крупных пластиковых и деревянных элементов, предназначенный для безопасной сборки объёмных конструкций. Развивает координацию, внимание и навыки совместной деятельности.</t>
  </si>
  <si>
    <t>д328</t>
  </si>
  <si>
    <t>Конструктор трубки</t>
  </si>
  <si>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</si>
  <si>
    <t>д329</t>
  </si>
  <si>
    <t>Конструкторная панель</t>
  </si>
  <si>
    <t>Конструкторная настенная панель предназначена для сборки конструкций, моделирования ситуаций, развития воображения и мелкой моторики. Оснащена встроенным контейнером для хранения элементов. Размер около 1000 × 1500 мм.</t>
  </si>
  <si>
    <t>д33</t>
  </si>
  <si>
    <t>Ахмет. Алаш ардақтысы</t>
  </si>
  <si>
    <t>Имаханбет Р.С.</t>
  </si>
  <si>
    <t>д330</t>
  </si>
  <si>
    <t>Контейнер для мусора 120 л с педалью</t>
  </si>
  <si>
    <t>Контейнер для мусора 120 л с педалью. Открывание крышки без использования рук с помощью широкой педали идеально исключает контакт бака и рук. Плотно закрывающаяся крышка предотвращает распространение запахов. Гладкая поверхность пластика обеспечивает легкость мытья</t>
  </si>
  <si>
    <t>д331</t>
  </si>
  <si>
    <t>Контейнер пластиковый</t>
  </si>
  <si>
    <t>Пластиковый контейнер, предназначенный для хранения и сортировки учебных, игровых и хозяйственных материалов. Лёгкий, прочный, устойчивый к влаге, удобен для регулярного использования в образовательной среде.</t>
  </si>
  <si>
    <t>д332</t>
  </si>
  <si>
    <t>Контейнеры для хранения</t>
  </si>
  <si>
    <t>Плоские пластиковые контейнеры с крышкой, предназначенные для хранения мелких предметов, канцелярии и дидактических материалов. Компактный формат позволяет эффективно использовать полки и ящики.</t>
  </si>
  <si>
    <t>д333</t>
  </si>
  <si>
    <t>Конусы и фишки для разметки</t>
  </si>
  <si>
    <t>Набор конусов и фишек для разметки пространства при проведении подвижных и спортивных игр. Используются для обозначения маршрутов, границ и игровых зон.</t>
  </si>
  <si>
    <t>д334</t>
  </si>
  <si>
    <t>Конусы с отверстиями для спортивных тренировок</t>
  </si>
  <si>
    <t>Спортивные пластиковые конусы с боковыми отверстиями, позволяющими создавать комбинированные препятствия и тренировочные элементы. Применяются для развития координации и ориентации в пространстве.</t>
  </si>
  <si>
    <t>д335</t>
  </si>
  <si>
    <t>Координационная лестница напольная</t>
  </si>
  <si>
    <t>Напольная координационная дорожка, предназначенная для упражнений на развитие ловкости, баланса и двигательной координации. Используется в спортивных и игровых занятиях.</t>
  </si>
  <si>
    <t>д336</t>
  </si>
  <si>
    <t>Кораблик (игрушка)</t>
  </si>
  <si>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</si>
  <si>
    <t>д337</t>
  </si>
  <si>
    <t>Корзина для мусора (пластиковая)</t>
  </si>
  <si>
    <t>Лёгкая пластиковая корзина для сбора бытового мусора и бумажных отходов. Подходит для использования в учебных и административных помещениях.</t>
  </si>
  <si>
    <t>д338</t>
  </si>
  <si>
    <t>Корзина для мусора (сетчатая)</t>
  </si>
  <si>
    <t>Сетчатая корзина для бумаги, обеспечивает вентиляцию и визуальный контроль наполнения. Используется в кабинетах и рабочих зонах.</t>
  </si>
  <si>
    <t>д339</t>
  </si>
  <si>
    <t>д34</t>
  </si>
  <si>
    <t>Ахмет. Гордость нации</t>
  </si>
  <si>
    <t>д340</t>
  </si>
  <si>
    <t>Корзина для теннисных мячей</t>
  </si>
  <si>
    <t>Компактная корзина предназначена для хранения и переноски небольших спортивных мячей во время занятий и подвижных игр. Размер изделия не менее 30 см по длине, что обеспечивает удобство размещения инвентаря. Жёсткая конструкция сохраняет форму и облегчает сортировку мячей после занятий. Используется педагогом или детьми под контролем взрослого.</t>
  </si>
  <si>
    <t>д341</t>
  </si>
  <si>
    <t>Корзины для мячей (комплект / разные типы)</t>
  </si>
  <si>
    <t>Набор корзин предназначен для хранения и систематизации спортивного инвентаря в физкультурных и игровых зонах. Позволяет разделять мячи по видам и размерам, поддерживая порядок в помещении. Использование корзин способствует формированию у детей навыков организации пространства и аккуратного обращения с оборудованием.</t>
  </si>
  <si>
    <t>д342</t>
  </si>
  <si>
    <t>Коробка архивная формата А4</t>
  </si>
  <si>
    <t>Архивная коробка из плотного картона используется для хранения документации, методических материалов и наглядных пособий. Формат А4 обеспечивает удобство размещения папок и листовых материалов без сгибов. Подходит для систематизации документов в административных и методических помещениях.</t>
  </si>
  <si>
    <t>д343</t>
  </si>
  <si>
    <t>Коробка для теневого театра</t>
  </si>
  <si>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</si>
  <si>
    <t>д344</t>
  </si>
  <si>
    <t>Коробка стерилизационная круглая (бикс)</t>
  </si>
  <si>
    <t>Используется для стерилизации и хранения медицинских инструментов.</t>
  </si>
  <si>
    <t>д345</t>
  </si>
  <si>
    <t>Коробка стерилизационная круглая (бикс) большая</t>
  </si>
  <si>
    <t>Предназначена для стерилизации и хранения большего объёма медицинских инструментов и материалов.</t>
  </si>
  <si>
    <t>д346</t>
  </si>
  <si>
    <t>Костюм «Волк»</t>
  </si>
  <si>
    <t>Карнавальный костюм предназначен для участия в сказочных постановках и игровых сценках. Выполнен из искусственного меха и текстильных материалов, включает элементы маски и одежды персонажа. Используется для развития актёрских навыков, мимики и образного мышления.</t>
  </si>
  <si>
    <t>д347</t>
  </si>
  <si>
    <t>Костюм «Доктор / Врач»</t>
  </si>
  <si>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</si>
  <si>
    <t>д348</t>
  </si>
  <si>
    <t>Костюм «Космонавт / Космос»</t>
  </si>
  <si>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</si>
  <si>
    <t>д349</t>
  </si>
  <si>
    <t>Костюм «Повар»</t>
  </si>
  <si>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</si>
  <si>
    <t>д35</t>
  </si>
  <si>
    <t>Ашуды қалай жеңуге болады. Как подавить злость. How to control anger (каз., рус., англ.яз.)</t>
  </si>
  <si>
    <t>д351</t>
  </si>
  <si>
    <t>Костюм «Полицейский»</t>
  </si>
  <si>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</si>
  <si>
    <t>д352</t>
  </si>
  <si>
    <t>Костюм «Принцесса Золушка»</t>
  </si>
  <si>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</si>
  <si>
    <t>д353</t>
  </si>
  <si>
    <t>Костюм «Снежинка»</t>
  </si>
  <si>
    <t>Праздничный костюм применяется в новогодних и зимних утренниках. Лёгкая текстильная конструкция не сковывает движений ребёнка. Используется в танцевальных номерах и театрализованных композициях, развивая чувство ритма и сценическую выразительность.</t>
  </si>
  <si>
    <t>д354</t>
  </si>
  <si>
    <t>Костюм «Строитель»</t>
  </si>
  <si>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</si>
  <si>
    <t>д355</t>
  </si>
  <si>
    <t>Костюм врача</t>
  </si>
  <si>
    <t>Набор доктора детский MEGA TOYS костюм врача для детей карнавальный для утренника, сада / 3 предмета медика (халат, колпак, игрушка стетоскоп)</t>
  </si>
  <si>
    <t>д356</t>
  </si>
  <si>
    <t>Көксерек. Серый лютый (каз.рус.яз.)</t>
  </si>
  <si>
    <t>М.Әуезов</t>
  </si>
  <si>
    <t>д357</t>
  </si>
  <si>
    <t>Көктем күні көнілді</t>
  </si>
  <si>
    <t>Ж.Смаков</t>
  </si>
  <si>
    <t>д358</t>
  </si>
  <si>
    <t>Краски акриловые</t>
  </si>
  <si>
    <t>Акриловые краски на водной основе, предназначенные для детского творчества. Безопасны, легко наносятся и быстро высыхают.</t>
  </si>
  <si>
    <t>д36</t>
  </si>
  <si>
    <t>Әдебиет әлеміне саяхат. Хрестоматия 2-4 сыныпка арналған</t>
  </si>
  <si>
    <t>Құрастырған З.Мүфтибекова</t>
  </si>
  <si>
    <t>д360</t>
  </si>
  <si>
    <t>Крупные напольные растения (задний план)</t>
  </si>
  <si>
    <t>Крупные напольные растения используются для формирования визуального фона и зонирования пространства в интерьере. Размещаются вдоль стен, в углах помещений или за основными функциональными зонами, создавая ощущение уюта, завершённости и природной гармонии. Растения смягчают восприятие пространства, снижают визуальную перегруженность и способствуют формированию спокойной, комфортной атмосферы. Могут применяться как элемент экологического воспитания, а также как часть декоративного и сенсорного оформления среды. Подбираются с учётом устойчивости, безопасности и удобства ухода в условиях постоянного пребывания детей.</t>
  </si>
  <si>
    <t>д362</t>
  </si>
  <si>
    <t>Кубики деревянные</t>
  </si>
  <si>
    <t>Деревянный кубик, размер не менее 70 × 70 × 70 мм, 1 штука в комплекте, предназначен для строительных и развивающих игр в детском саду. Используется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</si>
  <si>
    <t>д363</t>
  </si>
  <si>
    <t>Кубики деревянные «Классика»</t>
  </si>
  <si>
    <t>Набор разноцветных деревянных кубиков для свободного конструирования. Используется в самостоятельной и совместной игре для построения простых и сложных форм. Развивает пространственное мышление, координацию движений и навыки классификации по цвету и форме.</t>
  </si>
  <si>
    <t>д364</t>
  </si>
  <si>
    <t>Кубики для малышей, 16 элементов</t>
  </si>
  <si>
    <t>Набор кубиков увеличенного размера, удобных для захвата детской рукой. Применяется в раннем возрасте для освоения базовых форм, цветов и простых конструкций. Материал лёгкий, устойчивый к ударам, рассчитан на активное использование.</t>
  </si>
  <si>
    <t>д365</t>
  </si>
  <si>
    <t>Кубики развивающие для малышей</t>
  </si>
  <si>
    <t>Разноцветные кубики для свободной игры и первых конструктивных действий. Используются для развития моторики рук, зрительного восприятия и координации. Подходят для индивидуальной и групповой игровой деятельности.</t>
  </si>
  <si>
    <t>д366</t>
  </si>
  <si>
    <t>Кукла "Мулатка"</t>
  </si>
  <si>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</si>
  <si>
    <t>д367</t>
  </si>
  <si>
    <t>Кукла в башкирском костюме</t>
  </si>
  <si>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</si>
  <si>
    <t>д368</t>
  </si>
  <si>
    <t>Кукла в казахском национальном костюме (45 см)</t>
  </si>
  <si>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</si>
  <si>
    <t>д369</t>
  </si>
  <si>
    <t>Кукла в национальном костюме</t>
  </si>
  <si>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</si>
  <si>
    <t>д37</t>
  </si>
  <si>
    <t>Әдептілік әдемілік</t>
  </si>
  <si>
    <t>Өтетілеуұлы Е.</t>
  </si>
  <si>
    <t>д370</t>
  </si>
  <si>
    <t>Кукла в национальном костюме (30 см)</t>
  </si>
  <si>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</si>
  <si>
    <t>д371</t>
  </si>
  <si>
    <t>Кукла говорящая</t>
  </si>
  <si>
    <t>Кукла с функцией воспроизведения звуков и фраз. Используется для стимулирования речевой активности и эмоционального отклика. Подходит для индивидуальной и совместной игры.</t>
  </si>
  <si>
    <t>д372</t>
  </si>
  <si>
    <t>Кукла коллекционная в народном костюме</t>
  </si>
  <si>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</si>
  <si>
    <t>д373</t>
  </si>
  <si>
    <t>Кукла коллекционная в праздничном костюме</t>
  </si>
  <si>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</si>
  <si>
    <t>д374</t>
  </si>
  <si>
    <t>Кукла мальчик в национальном костюме</t>
  </si>
  <si>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</si>
  <si>
    <t>д375</t>
  </si>
  <si>
    <t>Кукла мягкая тряпичная</t>
  </si>
  <si>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</si>
  <si>
    <t>д376</t>
  </si>
  <si>
    <t>Кукла озвученная (52 см)</t>
  </si>
  <si>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</si>
  <si>
    <t>д377</t>
  </si>
  <si>
    <t>Кукла пластмассовая для сюжетных игр</t>
  </si>
  <si>
    <t>Кукла среднего размера, предназначенная для активных ролевых игр. Может использоваться в игровых ситуациях, связанных с семьёй, профессиями и бытом. Поддерживает развитие речи и воображения.</t>
  </si>
  <si>
    <t>д378</t>
  </si>
  <si>
    <t>Кукла пупс</t>
  </si>
  <si>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</si>
  <si>
    <t>д379</t>
  </si>
  <si>
    <t>Кукла пупс с аксессуарами</t>
  </si>
  <si>
    <t>Игровой набор, включающий куклу-пупса и предметы ухода. Используется для разыгрывания бытовых ситуаций. Развивает последовательность действий и ролевое мышление.</t>
  </si>
  <si>
    <t>д38</t>
  </si>
  <si>
    <t>Әлемнің мәдени жауһарлары</t>
  </si>
  <si>
    <t>под ред. Ш. Данфорд (перевод Шарипова А.)</t>
  </si>
  <si>
    <t>д380</t>
  </si>
  <si>
    <t>Кукла пупс с коляской</t>
  </si>
  <si>
    <t>Кукла с элементом передвижения, применяемая в сюжетно-ролевых играх. Позволяет моделировать прогулки и бытовые ситуации. Развивает координацию движений и социальные навыки.</t>
  </si>
  <si>
    <t>д381</t>
  </si>
  <si>
    <t>Кукла с инвалидным креслом</t>
  </si>
  <si>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</si>
  <si>
    <t>д382</t>
  </si>
  <si>
    <t>Кукла с набором одежды</t>
  </si>
  <si>
    <t>Кукла с комплектом сменной одежды и аксессуаров. Используется для игр с переодеванием и сменой образов. Развивает мелкую моторику, воображение и навыки самостоятельности.</t>
  </si>
  <si>
    <t>д383</t>
  </si>
  <si>
    <t>Кукла-малышка шарнирная</t>
  </si>
  <si>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</si>
  <si>
    <t>д384</t>
  </si>
  <si>
    <t>Кукла-малышка шарнирная бьюти-блогер</t>
  </si>
  <si>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</si>
  <si>
    <t>д385</t>
  </si>
  <si>
    <t>Куклы</t>
  </si>
  <si>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</si>
  <si>
    <t>д386</t>
  </si>
  <si>
    <t>Кукольная марионетка (клоун)</t>
  </si>
  <si>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</si>
  <si>
    <t>д387</t>
  </si>
  <si>
    <t>Кукольный дом</t>
  </si>
  <si>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</si>
  <si>
    <t>д388</t>
  </si>
  <si>
    <t>Кукольный дом загородного типа</t>
  </si>
  <si>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</si>
  <si>
    <t>д389</t>
  </si>
  <si>
    <t>Кукольный клоун на верёвке (марионетка)</t>
  </si>
  <si>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</si>
  <si>
    <t>д39</t>
  </si>
  <si>
    <t>Әлемнің ұлы кереметтері</t>
  </si>
  <si>
    <t>Эш Р.</t>
  </si>
  <si>
    <t>д390</t>
  </si>
  <si>
    <t>Кукольный театр на руку «Козлята и волк»</t>
  </si>
  <si>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</si>
  <si>
    <t>д391</t>
  </si>
  <si>
    <t>Кукольный театр на руку «Репка»</t>
  </si>
  <si>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</si>
  <si>
    <t>д392</t>
  </si>
  <si>
    <t>Кулер для воды</t>
  </si>
  <si>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</si>
  <si>
    <t>д393</t>
  </si>
  <si>
    <t>Культурные сокровища мира</t>
  </si>
  <si>
    <t>под ред. Ш. Данфорд (перевод Асанова М.)</t>
  </si>
  <si>
    <t>д394</t>
  </si>
  <si>
    <t>Күн нұрындай Күнікей</t>
  </si>
  <si>
    <t>М Айымбетов</t>
  </si>
  <si>
    <t>д395</t>
  </si>
  <si>
    <t>Күштін сыры неде? Қызықты физика</t>
  </si>
  <si>
    <t>Хаммонд Р.</t>
  </si>
  <si>
    <t>д396</t>
  </si>
  <si>
    <t>Қазақ афоризмдері</t>
  </si>
  <si>
    <t>Шаймерденов Е.</t>
  </si>
  <si>
    <t>д397</t>
  </si>
  <si>
    <t>Қазақ ертегілері</t>
  </si>
  <si>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</si>
  <si>
    <t>д398</t>
  </si>
  <si>
    <t>Қазақ ертегілері / Казахские сказки</t>
  </si>
  <si>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</si>
  <si>
    <t>д399</t>
  </si>
  <si>
    <t>Қазақ ертегілері.</t>
  </si>
  <si>
    <t>Құрастарған: Раева С.К</t>
  </si>
  <si>
    <t>д4</t>
  </si>
  <si>
    <t>"Ақылды" боямақ. Фермада. "Умная" раскраска. Раскрась по коду. На ферме</t>
  </si>
  <si>
    <t>д40</t>
  </si>
  <si>
    <t>Балаларға аманат</t>
  </si>
  <si>
    <t>Т. Молдағалиев</t>
  </si>
  <si>
    <t>д400</t>
  </si>
  <si>
    <t>Қазақ мақал-мателдерi. Казахские пословицы и поговорки (каз., рус.яз.)</t>
  </si>
  <si>
    <t>сост.: Сужикова А.</t>
  </si>
  <si>
    <t>д401</t>
  </si>
  <si>
    <t>Қазақ оркестрі. Казахский оркестр (каз., рус., англ.яз.)</t>
  </si>
  <si>
    <t>д402</t>
  </si>
  <si>
    <t>Қазақ портреттерінің тарихы. Көпшілік - танымдық басылым</t>
  </si>
  <si>
    <t>Ескендір-Эбдешев М.</t>
  </si>
  <si>
    <t>д403</t>
  </si>
  <si>
    <t>Қазақ халқының салт-дәстурлерi. Традиции и обряды казахского народа. Kazakh traditions and customs (каз., рус., англ.яз.)</t>
  </si>
  <si>
    <t>С.Кенжеахметулы</t>
  </si>
  <si>
    <t>д404</t>
  </si>
  <si>
    <t>Қазақ халқының тұрмысы мен мәдениеті. Быт и культура казахского народа. Life and culture of the Kazakh people (каз., рус., англ.яз.)</t>
  </si>
  <si>
    <t>С.Кенжеахметұлы</t>
  </si>
  <si>
    <t>д405</t>
  </si>
  <si>
    <t>Қазақ халқының ұлттық киімдері. Национальная одежда казахского народа. National clofhes of Kazakh people (каз., рус., англ.яз.)</t>
  </si>
  <si>
    <t>Хинаят Б.</t>
  </si>
  <si>
    <t>д406</t>
  </si>
  <si>
    <t>Қазақстан қорықтары. Заповедный Казахстан.Kazakhstan protected wilderness (каз,рус,англ)</t>
  </si>
  <si>
    <t>Якушкин В.</t>
  </si>
  <si>
    <t>д407</t>
  </si>
  <si>
    <t>Қазақстан халқы ертегілері. 4-7 жас аралығындағы балаларға арналған</t>
  </si>
  <si>
    <t>Құрастарған К. Әлпейісова</t>
  </si>
  <si>
    <t>д408</t>
  </si>
  <si>
    <t>Қазақстан халқы ертегілері. 8-11 жас аралығындағы балаларға арналған</t>
  </si>
  <si>
    <t>д409</t>
  </si>
  <si>
    <t>Қазақстанның ғажайып табиғаты.Удивительная природа Казахстана The wondering nature of Kazakhstan (каз., рус., англ.яз.)</t>
  </si>
  <si>
    <t>д41</t>
  </si>
  <si>
    <t>Балаларға Қазақстан Республикасының Конституциясы туралы</t>
  </si>
  <si>
    <t>д410</t>
  </si>
  <si>
    <t>Қазақтың дарқан дастарқаны. Национальная кухня казахов</t>
  </si>
  <si>
    <t>Кенжеахметұлы С.</t>
  </si>
  <si>
    <t>д411</t>
  </si>
  <si>
    <t>Қазақтың дәстурлі кару-жарағының этнографиясы</t>
  </si>
  <si>
    <t>К. Ахметжан</t>
  </si>
  <si>
    <t>д412</t>
  </si>
  <si>
    <t>Қазақтың дәстурлі музыкалық аспаптары</t>
  </si>
  <si>
    <t>Жакишева З.</t>
  </si>
  <si>
    <t>д413</t>
  </si>
  <si>
    <t>Қазақтың дәстүрлі құрақ бұйымдары. Традиционные лоскутные изделия казахов. Kazakh traditional patchwork (каз., рус., англ.яз.)</t>
  </si>
  <si>
    <t>Секеева А.М.</t>
  </si>
  <si>
    <t>д414</t>
  </si>
  <si>
    <t>Қазақтың зергелік өнер. Ювелирное искусство казахов. Jeweler's art of Kazakhs (каз., рус., англ.яз.)</t>
  </si>
  <si>
    <t>Ш.Тохтабаева</t>
  </si>
  <si>
    <t>д415</t>
  </si>
  <si>
    <t>Қазақтың кесте тігу өнері. Вышивальное искусство казахов. Embroidery art of Kazakhs</t>
  </si>
  <si>
    <t>Тохтабаева Ш.</t>
  </si>
  <si>
    <t>д416</t>
  </si>
  <si>
    <t>Қалай сыпайы сөйлесуге болады. Как вести себя вежливо. How to speak well</t>
  </si>
  <si>
    <t>д417</t>
  </si>
  <si>
    <t>Қарақшылар туралы 10 оқиға</t>
  </si>
  <si>
    <t>д418</t>
  </si>
  <si>
    <t>Қобыланды батыр (каз., ағылш.)</t>
  </si>
  <si>
    <t>д419</t>
  </si>
  <si>
    <t>Қобыланды батыр (рус., англ.)</t>
  </si>
  <si>
    <t>д42</t>
  </si>
  <si>
    <t>Балансировочная доска «Улитка»</t>
  </si>
  <si>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</si>
  <si>
    <t>д420</t>
  </si>
  <si>
    <t>Қозы Корпеш - Баян сулу (каз., агылш.)</t>
  </si>
  <si>
    <t>д421</t>
  </si>
  <si>
    <t>Қош келдің, әз-Наурыз! (сандық- кітап)</t>
  </si>
  <si>
    <t>д422</t>
  </si>
  <si>
    <t>Қуырмаш (тақпақтар, жаңылтпаштар, жұмбактар мен мақал-мәтелдер)</t>
  </si>
  <si>
    <t>С.Раева</t>
  </si>
  <si>
    <t>д423</t>
  </si>
  <si>
    <t>Қуырмаш (тақпақтар, жаңылтпаштар, жұмбақтар мен мақал-мәтелдер)</t>
  </si>
  <si>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</si>
  <si>
    <t>д424</t>
  </si>
  <si>
    <t>Қыз Жiбек (каз.)</t>
  </si>
  <si>
    <t>Бейімдеген А.Файзуллаұлы</t>
  </si>
  <si>
    <t>д425</t>
  </si>
  <si>
    <t>Қыз Жiбек (рус.)</t>
  </si>
  <si>
    <t>Адапт. А. Файзуллаұлы</t>
  </si>
  <si>
    <t>д426</t>
  </si>
  <si>
    <t>Қызғаныштан қалай құтыламын. Как побороть в себе зависть. How to remove jealousy</t>
  </si>
  <si>
    <t>д427</t>
  </si>
  <si>
    <t>Лак защитный</t>
  </si>
  <si>
    <t>Акриловый лак на водной основе, предназначенный для защиты детских изделий и поделок. Используется в творческой деятельности для повышения износостойкости, защиты от влаги и придания аккуратного внешнего вида. Безопасен при использовании в детской среде.</t>
  </si>
  <si>
    <t>д428</t>
  </si>
  <si>
    <t>Леонардо да Винчи. Leonardo da Vinci (каз., рус., англ.яз.)</t>
  </si>
  <si>
    <t>Карен Бол (перевод Сужикова А., Асанова М.)</t>
  </si>
  <si>
    <t>д429</t>
  </si>
  <si>
    <t>Лепка (методическое руководство)</t>
  </si>
  <si>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</si>
  <si>
    <t>д43</t>
  </si>
  <si>
    <t>Балансировочная подушка</t>
  </si>
  <si>
    <t>Балансировочная подушка применяется при выполнении упражнений на равновесие и устойчивость. Используется как опора при стоянии, сидении и выполнении движений. Поверхность изделия обеспечивает нестабильную опору, стимулируя удержание баланса. Размер подушки составляет не менее 16×16 см. Материал водонепроницаемый и рассчитан на многократное использование.</t>
  </si>
  <si>
    <t>д430</t>
  </si>
  <si>
    <t>Лестница-стремянка</t>
  </si>
  <si>
    <t>Лестница-стремянка с 3–5 ступенями, предназначена для хозяйственных и обслуживающих работ в помещениях. Конструкция устойчивая, металлическая, с противоскользящими ступенями, обеспечивает безопасное использование.</t>
  </si>
  <si>
    <t>д431</t>
  </si>
  <si>
    <t>Логические деревянные игры</t>
  </si>
  <si>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</si>
  <si>
    <t>д432</t>
  </si>
  <si>
    <t>Логопедическая игра «Фишки со звуком Л»</t>
  </si>
  <si>
    <t>Дидактическое пособие для автоматизации звука и развития связной речи. Используется логопедом в коррекционных занятиях. Способствует развитию фонематического слуха и речевых навыков.</t>
  </si>
  <si>
    <t>д433</t>
  </si>
  <si>
    <t>Логопедические игры</t>
  </si>
  <si>
    <t>Набор игр и пособий для развития речи и коррекции звукопроизношения. Используются в индивидуальной и подгрупповой работе. Способствуют развитию фонематического слуха и речевого дыхания.</t>
  </si>
  <si>
    <t>д434</t>
  </si>
  <si>
    <t>Логопедический тренажёр «Аэробол»</t>
  </si>
  <si>
    <t>Дыхательный логопедический тренажёр предназначен для развития силы и плавности воздушной струи, дыхания и голоса. Используется в логопедических, психологических и развивающих занятиях. Материал — дерево. В комплекте 2 шарика.</t>
  </si>
  <si>
    <t>д435</t>
  </si>
  <si>
    <t>Логопедический тренажёр перекидной</t>
  </si>
  <si>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</si>
  <si>
    <t>д436</t>
  </si>
  <si>
    <t>Лотки пластиковые</t>
  </si>
  <si>
    <t>Настольные пластиковые лотки для хранения документов и дидактических материалов. Используются для организации рабочего пространства педагога и поддержания порядка.</t>
  </si>
  <si>
    <t>д437</t>
  </si>
  <si>
    <t>д438</t>
  </si>
  <si>
    <t>Лупа</t>
  </si>
  <si>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</si>
  <si>
    <t>д439</t>
  </si>
  <si>
    <t>Лупа детская увеличительная</t>
  </si>
  <si>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</si>
  <si>
    <t>д44</t>
  </si>
  <si>
    <t>Балансировочные дорожки</t>
  </si>
  <si>
    <t>Балансировочные дорожки используются для организации двигательной активности с элементами ходьбы и равновесия. Представляют собой последовательность элементов, по которым выполняется передвижение. Применяются для упражнений на координацию и устойчивость. Конструкция рассчитана на напольное размещение и использование в помещениях.</t>
  </si>
  <si>
    <t>д440</t>
  </si>
  <si>
    <t>Магнитная рыбалка</t>
  </si>
  <si>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</si>
  <si>
    <t>д441</t>
  </si>
  <si>
    <t>Магнитные блоки (49 шт.)</t>
  </si>
  <si>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</si>
  <si>
    <t>д442</t>
  </si>
  <si>
    <t>Магнитные палочки</t>
  </si>
  <si>
    <t>Развивающее пособие с магнитными элементами для соединения и построения конструкций. Используется для развития моторики, координации и логического мышления.</t>
  </si>
  <si>
    <t>д443</t>
  </si>
  <si>
    <t>Магнитный набор</t>
  </si>
  <si>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</si>
  <si>
    <t>д444</t>
  </si>
  <si>
    <t>Магнитный строительный конструктор (набор)</t>
  </si>
  <si>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</si>
  <si>
    <t>д445</t>
  </si>
  <si>
    <t>Магнитофон</t>
  </si>
  <si>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</si>
  <si>
    <t>д446</t>
  </si>
  <si>
    <t>Марионеточный театр</t>
  </si>
  <si>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</si>
  <si>
    <t>д447</t>
  </si>
  <si>
    <t>Масса для лепки на водной основе</t>
  </si>
  <si>
    <t>Воздушно-сушащаяся масса для лепки, предназначенная для творческих занятий. Используется без обжига, удобна для детского творчества. Способствует развитию моторики и воображения.</t>
  </si>
  <si>
    <t>д448</t>
  </si>
  <si>
    <t>Массажные мячи разной формы и текстуры</t>
  </si>
  <si>
    <t>Набор мячей с различной поверхностью для сенсорной стимуляции. Используется на занятиях по физическому развитию и релаксации. Способствует развитию тактильных ощущений.</t>
  </si>
  <si>
    <t>д449</t>
  </si>
  <si>
    <t>Математика. Оңай әрі жеңіл</t>
  </si>
  <si>
    <t>под ред. С. Маклауд (перевод Набиев Р.)</t>
  </si>
  <si>
    <t>д45</t>
  </si>
  <si>
    <t>Балансировочные подушки (набор)</t>
  </si>
  <si>
    <t>Набор балансировочных подушек используется для выполнения упражнений на развитие равновесия и устойчивости. Применяются в двигательной активности с различными вариантами опоры. Поверхность подушек обеспечивает нестабильную опору. Размер каждого изделия — не менее 16×16 см. Материалы рассчитаны на интенсивную эксплуатацию.</t>
  </si>
  <si>
    <t>д450</t>
  </si>
  <si>
    <t>Математика. Просто и легко</t>
  </si>
  <si>
    <t>под ред. С. Маклауд (перевод Шаяхметов А)</t>
  </si>
  <si>
    <t>д451</t>
  </si>
  <si>
    <t>Математические пазлы</t>
  </si>
  <si>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</si>
  <si>
    <t>д452</t>
  </si>
  <si>
    <t>Материалы для запуска речевой активности</t>
  </si>
  <si>
    <t>Материалы используются для выполнения упражнений, направленных на активизацию речевой деятельности. Применяются в индивидуальной и подгрупповой работе. В процессе использования выполняются задания на звукопроизношение, дыхание и артикуляцию. Рассчитаны на регулярное применение.</t>
  </si>
  <si>
    <t>д453</t>
  </si>
  <si>
    <t>Материалы и инструменты для апликации</t>
  </si>
  <si>
    <t xml:space="preserve"> цветная бумага, цветной и белый картон, ткань, клей, ножницы, клейкая лент</t>
  </si>
  <si>
    <t>д454</t>
  </si>
  <si>
    <t>Материалы и инструменты для аппликации</t>
  </si>
  <si>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</si>
  <si>
    <t>д455</t>
  </si>
  <si>
    <t>Материалы и инструменты для изобразительной деятельности</t>
  </si>
  <si>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</si>
  <si>
    <t>д456</t>
  </si>
  <si>
    <t>Материалы и инструменты для поделок</t>
  </si>
  <si>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</si>
  <si>
    <t>д457</t>
  </si>
  <si>
    <t>Матрёшки</t>
  </si>
  <si>
    <t>Деревянная разборная игрушка, используемая в игровой и образовательной деятельности. Применяется для развития мелкой моторики, логического мышления, навыков соотнесения размеров и знакомства с элементами народной культуры.</t>
  </si>
  <si>
    <t>д458</t>
  </si>
  <si>
    <t>Маты</t>
  </si>
  <si>
    <t>Спортивные маты для занятий физической культурой и подвижных игр. Используются для обеспечения безопасности при выполнении гимнастических упражнений, перекатов и кувырков. Обладают оптимальной амортизацией и подходят для регулярной дезинфекции.</t>
  </si>
  <si>
    <t>д459</t>
  </si>
  <si>
    <t>Маты гимнастические складные</t>
  </si>
  <si>
    <t>Гимнастические маты используются для обеспечения мягкой и амортизирующей поверхности при выполнении упражнений. Складная конструкция облегчает хранение и транспортировку. Размер одного мата составляет не менее 180×80×10 см. Материалы обеспечивают защиту от ударов и предотвращают скольжение.</t>
  </si>
  <si>
    <t>д46</t>
  </si>
  <si>
    <t>Балансировочные полусферы с массажной поверхностью</t>
  </si>
  <si>
    <t>Балансировочные полусферы используются при выполнении упражнений на равновесие и устойчивость. Поверхность с выступами обеспечивает дополнительное тактильное воздействие при опоре. Применяются в двигательной активности и физических упражнениях. Размер каждой полусферы — не менее 16×16 см. В комплект входит 2 изделия.</t>
  </si>
  <si>
    <t>д460</t>
  </si>
  <si>
    <t>Маты настенные, напольные</t>
  </si>
  <si>
    <t>Защитные маты для размещения на полу и стенах спортивных и игровых зон. Используются для снижения травмоопасности и создания безопасной среды при активной двигательной деятельности детей.</t>
  </si>
  <si>
    <t>д461</t>
  </si>
  <si>
    <t>Машина</t>
  </si>
  <si>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</si>
  <si>
    <t>д462</t>
  </si>
  <si>
    <t>Машина (набор машинок, мультиколор)</t>
  </si>
  <si>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</si>
  <si>
    <t>д463</t>
  </si>
  <si>
    <t>Машинка</t>
  </si>
  <si>
    <t>Детская машинка-толокар, предназначенная для активных игр. Используется для развития общей моторики, координации и ориентации в пространстве.</t>
  </si>
  <si>
    <t>д464</t>
  </si>
  <si>
    <t>Машинка (металлическая модель)</t>
  </si>
  <si>
    <t>Модель транспортного средства для игровых и коллекционных целей. Используется для расширения игровых сценариев и развития интереса к технике.</t>
  </si>
  <si>
    <t>д465</t>
  </si>
  <si>
    <t>Машинка автобус</t>
  </si>
  <si>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</si>
  <si>
    <t>д466</t>
  </si>
  <si>
    <t>Машинка полиция</t>
  </si>
  <si>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</si>
  <si>
    <t>д467</t>
  </si>
  <si>
    <t>Машинка с ковшом</t>
  </si>
  <si>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</si>
  <si>
    <t>д468</t>
  </si>
  <si>
    <t>Машинка самосвал</t>
  </si>
  <si>
    <t>Инерционная игрушечная машина, используемая в сюжетных играх. Развивает воображение, мелкую моторику и интерес к техническим объектам.</t>
  </si>
  <si>
    <t>д469</t>
  </si>
  <si>
    <t>Машинка-конструктор</t>
  </si>
  <si>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</si>
  <si>
    <t>д47</t>
  </si>
  <si>
    <t>Баластан</t>
  </si>
  <si>
    <t>д470</t>
  </si>
  <si>
    <t>Машинки (коллекция)</t>
  </si>
  <si>
    <t>Набор игрушечных машинок с простым механизмом движения. Используется для групповых игр, способствует развитию коммуникативных навыков и координации.</t>
  </si>
  <si>
    <t>д471</t>
  </si>
  <si>
    <t>Машинки деревянные</t>
  </si>
  <si>
    <t>Набор деревянных машинок без механизма. Используется для сюжетно-ролевых игр и развития тактильных ощущений, воображения и мелкой моторики.</t>
  </si>
  <si>
    <t>д472</t>
  </si>
  <si>
    <t>Машинки спецтехника</t>
  </si>
  <si>
    <t>Набор игрушечной специальной техники для моделирования трудовых и строительных процессов. Используется в сюжетно-ролевых играх и развивает представления о профессиях.</t>
  </si>
  <si>
    <t>д473</t>
  </si>
  <si>
    <t>Мәнгілік тұлға - ұлы Абай (книга-альбом)</t>
  </si>
  <si>
    <t>Әбубәкір Ж., Сужикова А., Кайрамбаева М.</t>
  </si>
  <si>
    <t>д474</t>
  </si>
  <si>
    <t>Мен баламды білемін бе? Бала психологиясы туралы ата-анаға көмек</t>
  </si>
  <si>
    <t>д475</t>
  </si>
  <si>
    <t>Мен бір жұмбақ. Адаммын оны да ойла....</t>
  </si>
  <si>
    <t>Абай Кунанбаев</t>
  </si>
  <si>
    <t>д476</t>
  </si>
  <si>
    <t>Менің Отаным – Қазақстан (юрта)</t>
  </si>
  <si>
    <t>А. Сужикова</t>
  </si>
  <si>
    <t>д477</t>
  </si>
  <si>
    <t>Менмендікті қалай жеңуге болады. Как преодолеть гордыню. How to overcome pride</t>
  </si>
  <si>
    <t>д478</t>
  </si>
  <si>
    <t>Мерные стаканы (набор)</t>
  </si>
  <si>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</si>
  <si>
    <t>д479</t>
  </si>
  <si>
    <t>Методические пособия</t>
  </si>
  <si>
    <t>Печатные и электронные материалы для педагогов и специалистов. Используются при планировании и проведении коррекционно-развивающих и образовательных занятий.</t>
  </si>
  <si>
    <t>д48</t>
  </si>
  <si>
    <t>Баскетбольное кольцо для подвижных игр</t>
  </si>
  <si>
    <t>Баскетбольное кольцо используется для организации подвижных игр с бросками мяча. Размещается на высоте, соответствующей использованию в детской среде. В процессе игры выполняются метательные движения и координация действий. Конструкция выполнена из прочного пластика и предназначена для эксплуатации в помещениях.</t>
  </si>
  <si>
    <t>д486</t>
  </si>
  <si>
    <t>Мешочек для хранения игрушек</t>
  </si>
  <si>
    <t>Текстильный мешочек для хранения мелких игрушек и дидактических материалов. Используется для поддержания порядка и удобной организации пространства.</t>
  </si>
  <si>
    <t>д487</t>
  </si>
  <si>
    <t>Мешочки с песком</t>
  </si>
  <si>
    <t>Утяжелённые мешочки для упражнений и сенсорных игр. Используются для развития координации, тактильных ощущений и мышечного контроля.</t>
  </si>
  <si>
    <t>д488</t>
  </si>
  <si>
    <t>Многофункциональная рамка-вкладыш «Часы» с элементами сортера и шнуровки</t>
  </si>
  <si>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</si>
  <si>
    <t>д489</t>
  </si>
  <si>
    <t>Мозаика детская, 240 элементов, 2 поля</t>
  </si>
  <si>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</si>
  <si>
    <t>д49</t>
  </si>
  <si>
    <t>Батпырауық</t>
  </si>
  <si>
    <t>Қ.А.Ахетов</t>
  </si>
  <si>
    <t>д490</t>
  </si>
  <si>
    <t>Мозаика классическая, 240 элементов, 2 поля</t>
  </si>
  <si>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</si>
  <si>
    <t>д491</t>
  </si>
  <si>
    <t>Мозаика крупная «Бабочка», 27 элементов</t>
  </si>
  <si>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</si>
  <si>
    <t>д493</t>
  </si>
  <si>
    <t>Мольберт детский складной, магнитная поверхность, размер не менее 480×630 мм</t>
  </si>
  <si>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</si>
  <si>
    <t>д494</t>
  </si>
  <si>
    <t>Мольберт магнитный многофункциональный с принадлежностями</t>
  </si>
  <si>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</si>
  <si>
    <t>д495</t>
  </si>
  <si>
    <t>Мольберт напольный двухсторонний регулируемый</t>
  </si>
  <si>
    <t>Напольный мольберт предназначен для рисования, письма и демонстрационных упражнений в группе. Конструкция двухсторонняя: одна сторона используется для рисования маркером/крепления магнитов, другая — для письма/рисования мелом или размещения бумаги (в зависимости от комплектации). Регулировка по высоте — не менее 2 положений, что позволяет адаптировать мольберт под рост детей. Материал стойки — дерево или аналогичный прочный материал, устойчивый к раскачиванию; углы и кромки обработаны для безопасного использования. Мольберт способствует развитию графомоторных навыков, координации, творческого воображения и навыков презентации работ. Предусмотрена полка/лоток для принадлежностей не менее 1 шт.</t>
  </si>
  <si>
    <t>д496</t>
  </si>
  <si>
    <t>Монстера (крупное напольное растение)</t>
  </si>
  <si>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</si>
  <si>
    <t>д497</t>
  </si>
  <si>
    <t>Монтессори деревянная игра-головоломка «Цвет–форма»</t>
  </si>
  <si>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</si>
  <si>
    <t>д498</t>
  </si>
  <si>
    <t>Монтессори для малышей, годовой курс, от 1 года до 6 лет,</t>
  </si>
  <si>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</si>
  <si>
    <t>д499</t>
  </si>
  <si>
    <t>Моя Родина – Казахстан (юрта)</t>
  </si>
  <si>
    <t>д5</t>
  </si>
  <si>
    <t>"Кел, балалар, оқылық" өлендер жинағы</t>
  </si>
  <si>
    <t>Ы.Алтынсарин</t>
  </si>
  <si>
    <t>д50</t>
  </si>
  <si>
    <t>Бизиборд настенный из дерева с игровыми элементами</t>
  </si>
  <si>
    <t>Бизиборд представляет собой настенную игровую панель с различными подвижными и функциональными элементами. В процессе взаимодействия выполняются действия по открыванию, вращению, переключению и перемещению деталей. Такая форма деятельности направлена на развитие мелкой моторики, координации движений и практических навыков обращения с предметами. Основа выполнена из дерева с элементами из пластика. Конструкция рассчитана на настенное размещение.</t>
  </si>
  <si>
    <t>д500</t>
  </si>
  <si>
    <t>Музыкальная игрушка микрофон</t>
  </si>
  <si>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</si>
  <si>
    <t>д501</t>
  </si>
  <si>
    <t>Музыкальная книга «Кто где живёт?»</t>
  </si>
  <si>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</si>
  <si>
    <t>д503</t>
  </si>
  <si>
    <t>Муляжи овощей и фруктов</t>
  </si>
  <si>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</si>
  <si>
    <t>д504</t>
  </si>
  <si>
    <t>Мусорная корзина</t>
  </si>
  <si>
    <t>Предназначена для сбора отходов, используется в медицинском кабинете и вспомогательных помещениях.</t>
  </si>
  <si>
    <t>д505</t>
  </si>
  <si>
    <t>Мусорное ведро</t>
  </si>
  <si>
    <t>Ведро для сбора отходов применяется в санитарно-бытовых и хозяйственных помещениях ДОУ. Обеспечивает соблюдение санитарно-гигиенических требований и организацию чистоты. Удобно для ежедневного использования и регулярной очистки.</t>
  </si>
  <si>
    <t>д506</t>
  </si>
  <si>
    <t>Мұрагерім- балайқайым. Моим юным наследникам.</t>
  </si>
  <si>
    <t>Қ.Баянбай</t>
  </si>
  <si>
    <t>д507</t>
  </si>
  <si>
    <t>Мысалдар</t>
  </si>
  <si>
    <t>И.Крылов (перевод А.Асылбек)</t>
  </si>
  <si>
    <t>д508</t>
  </si>
  <si>
    <t>Мягкие дизайнерские пуфики</t>
  </si>
  <si>
    <t>Мягкие пуфики для комфортного чтения и отдыха. Лёгкие, безопасные, без острых углов. Форма — фигурная. Размер — 400–500 мм, высота 300–350 мм.</t>
  </si>
  <si>
    <t>д509</t>
  </si>
  <si>
    <t>Мягкие игрушки для сюжетных игр</t>
  </si>
  <si>
    <t>Предназначены для сюжетно-ролевых, коммуникативных и терапевтических игр с детьми дошкольного возраста. Используются для развития воображения, эмоциональной сферы, речи и социальных навыков. Изготовлены из мягких, безопасных материалов, не имеют острых элементов, подходят для ежедневного использования в условиях ДОУ.</t>
  </si>
  <si>
    <t>д51</t>
  </si>
  <si>
    <t>Бизикуб развивающий «Классик»</t>
  </si>
  <si>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</si>
  <si>
    <t>д510</t>
  </si>
  <si>
    <t>Мягкие кубики</t>
  </si>
  <si>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</si>
  <si>
    <t>д511</t>
  </si>
  <si>
    <t>Мягкие модули (кубы, цилиндры, дорожки)</t>
  </si>
  <si>
    <t>Предназначены для организации двигательной активности, сенсорных упражнений и построения игровых маршрутов. Набор включает элементы различной формы и размера, позволяя использовать их для лазания, балансировки и сюжетных игр. Наполнитель мягкий и упругий, поверхность износостойкая и пригодна для регулярной очистки.</t>
  </si>
  <si>
    <t>д512</t>
  </si>
  <si>
    <t>Мягкий диван для ребёнка в кабинете психолога</t>
  </si>
  <si>
    <t>Диван divan. Размеры 500x1200x600 мм</t>
  </si>
  <si>
    <t>д513</t>
  </si>
  <si>
    <t>Мягкий классический диван для индивидуального приёма у психолога</t>
  </si>
  <si>
    <t xml:space="preserve">Диван 2-местный. Размеры: 129x70x71 (ШхГхВ) </t>
  </si>
  <si>
    <t>д514</t>
  </si>
  <si>
    <t>Мягкий конструктор</t>
  </si>
  <si>
    <t>Используется для развивающих и двигательных игр, направленных на формирование пространственного мышления, координации движений и творческих навыков. Элементы безопасны, легко соединяются и подходят для групповой и индивидуальной работы.</t>
  </si>
  <si>
    <t>д515</t>
  </si>
  <si>
    <t>Мягкий напольный коврик</t>
  </si>
  <si>
    <t>Мягкий напольный коврик размером 2,5х2 м, изготовлен из плотного, износостойкого и гипоаллергенного материала. Толщина покрытия обеспечивает высокую амортизацию и комфорт при ходьбе и играх. Поверхность коврика мягкая, нескользящая, легко очищается и устойчива к ежедневному использованию в детских учреждениях. Материал не впитывает влагу, сохраняет форму и цвет, безопасен для детей.</t>
  </si>
  <si>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</si>
  <si>
    <t>д517</t>
  </si>
  <si>
    <t>Мяч баскетбольный</t>
  </si>
  <si>
    <t>Используется для подвижных игр и физических упражнений, направленных на развитие ловкости, координации и командного взаимодействия. Подходит для занятий в помещении и на открытом воздухе.</t>
  </si>
  <si>
    <t>д518</t>
  </si>
  <si>
    <t>Мяч волейбольный</t>
  </si>
  <si>
    <t>Предназначен для игровых и тренировочных упражнений, способствует развитию реакции, координации движений и навыков взаимодействия в группе. Устойчив к регулярной эксплуатации.</t>
  </si>
  <si>
    <t>д519</t>
  </si>
  <si>
    <t>Мяч для большого тенниса (твёрдый)</t>
  </si>
  <si>
    <t>Используется в упражнениях на развитие силы хвата, точности движений и реакции. Подходит для индивидуальной и групповой работы с детьми и взрослыми, безопасен при использовании в помещении.</t>
  </si>
  <si>
    <t>д52</t>
  </si>
  <si>
    <t>Бизикуб с игровыми элементами</t>
  </si>
  <si>
    <t>Бизикуб представляет собой объёмную игровую конструкцию с размещёнными на гранях различными манипулятивными элементами. В процессе игры выполняются действия по вращению, открыванию и перемещению деталей. Такая деятельность способствует развитию мелкой моторики, сенсомоторной координации и концентрации внимания. Корпус выполнен из фанеры.</t>
  </si>
  <si>
    <t>д520</t>
  </si>
  <si>
    <t>Мяч для метания</t>
  </si>
  <si>
    <t>Предназначен для метательных упражнений и развития силы, координации и моторного контроля. Используется в спортивных и коррекционных занятиях.</t>
  </si>
  <si>
    <t>д521</t>
  </si>
  <si>
    <t>Мяч для настольного тенниса</t>
  </si>
  <si>
    <t>Лёгкий мяч для развивающих и координационных упражнений. Используется для развития реакции, внимания и мелкой моторики в дидактических и игровых заданиях.</t>
  </si>
  <si>
    <t>д522</t>
  </si>
  <si>
    <t>Мяч резиновый</t>
  </si>
  <si>
    <t>Универсальный мяч для свободных игр и физических упражнений. Используется в помещении и на улице, сохраняет форму и упругость при активной эксплуатации.</t>
  </si>
  <si>
    <t>д523</t>
  </si>
  <si>
    <t>Мяч резиновый 100 мм</t>
  </si>
  <si>
    <t>Мяч малого диаметра для игр и упражнений на координацию и метание. Удобен для детской руки, хорошо отскакивает от поверхности.</t>
  </si>
  <si>
    <t>д524</t>
  </si>
  <si>
    <t>Мяч с шипами (сенсорный)</t>
  </si>
  <si>
    <t>Используется для тактильной стимуляции, релаксации и развития мелкой моторики. Поверхность с мягкими шипами способствует активизации рецепторов и снятию напряжения.</t>
  </si>
  <si>
    <t>д525</t>
  </si>
  <si>
    <t>Мяч-прыгун с ручкой</t>
  </si>
  <si>
    <t>Применяется для активных игр и упражнений на развитие равновесия, координации и крупной моторики. Наличие ручки обеспечивает удобный и безопасный захват. Используется под контролем педагога.</t>
  </si>
  <si>
    <t>д526</t>
  </si>
  <si>
    <t>Мячи разных размеров (резиновые, мягкие, массажные)</t>
  </si>
  <si>
    <t>Комплект предназначен для организации разнообразной двигательной и коррекционной деятельности, сенсорных и игровых упражнений.</t>
  </si>
  <si>
    <t>д527</t>
  </si>
  <si>
    <t>Набор «Большой супермаркет»</t>
  </si>
  <si>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</si>
  <si>
    <t>д528</t>
  </si>
  <si>
    <t>Набор «Рыбалка»</t>
  </si>
  <si>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</si>
  <si>
    <t>д529</t>
  </si>
  <si>
    <t>Набор «Строительные машины» с коробом для хранения</t>
  </si>
  <si>
    <t>Используется в сюжетно-ролевых и конструктивных играх. Способствует развитию воображения, пространственного мышления и навыков совместной деятельности. Короб обеспечивает удобное хранение элементов.</t>
  </si>
  <si>
    <t>д53</t>
  </si>
  <si>
    <t>Биология. Оңай әрі жеңіл</t>
  </si>
  <si>
    <t>под ред. Д. Ганеш (перевод Қарт Ұ.М.)</t>
  </si>
  <si>
    <t>д530</t>
  </si>
  <si>
    <t>Набор анатомических моделей органов артикуляции: язык, зубы, губы</t>
  </si>
  <si>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</si>
  <si>
    <t>д531</t>
  </si>
  <si>
    <t>Набор балансирующих ступенек</t>
  </si>
  <si>
    <t>Используется для развития равновесия, координации движений и моторного контроля. Подходит для подвижных, физкультурных и коррекционных занятий.</t>
  </si>
  <si>
    <t>д532</t>
  </si>
  <si>
    <t>Набор восковых карандашей (9 шт.)</t>
  </si>
  <si>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</si>
  <si>
    <t>д533</t>
  </si>
  <si>
    <t>Набор гаек и болтов</t>
  </si>
  <si>
    <t>Развивающий набор для сборки и конструирования, направленный на тренировку мелкой моторики, силы пальцев, координации движений и понимания причинно-следственных связей (закручивание/откручивание). Цветовая маркировка помогает развивать восприятие цвета и навыки сортировки. Удобный контейнер обеспечивает хранение и профилактику потери деталей. Материал: пластик. Комплектация: гайки, болты, контейнер (по набору).</t>
  </si>
  <si>
    <t>д534</t>
  </si>
  <si>
    <t>Набор геометрических фигур и разверток (демонстрационный)</t>
  </si>
  <si>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</si>
  <si>
    <t>д535</t>
  </si>
  <si>
    <t>Набор гербариев</t>
  </si>
  <si>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</si>
  <si>
    <t>д536</t>
  </si>
  <si>
    <t>Набор декоративных фруктов и овощей (искусственные)</t>
  </si>
  <si>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</si>
  <si>
    <t>д537</t>
  </si>
  <si>
    <t>Набор деревянных игр для счета</t>
  </si>
  <si>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</si>
  <si>
    <t>д538</t>
  </si>
  <si>
    <t>Набор деревянных сенсорных инструментов</t>
  </si>
  <si>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</si>
  <si>
    <t>д539</t>
  </si>
  <si>
    <t>Набор деревянных фигурок «Люди и животные»</t>
  </si>
  <si>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</si>
  <si>
    <t>д54</t>
  </si>
  <si>
    <t>Биология. Просто и легко</t>
  </si>
  <si>
    <t>д540</t>
  </si>
  <si>
    <t>Набор детских музыкальных инструментов</t>
  </si>
  <si>
    <t>Комплект простых музыкальных инструментов предназначен для музыкально-ритмических игр, занятий по развитию слуха и чувства ритма. Используется в музыкальных занятиях, свободной деятельности и праздничных мероприятиях. Игра на инструментах способствует развитию координации движений, слухового восприятия и эмоциональной выразительности.</t>
  </si>
  <si>
    <t>д541</t>
  </si>
  <si>
    <t>Набор детских музыкальных инструментов (33 предмета)</t>
  </si>
  <si>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</si>
  <si>
    <t>д542</t>
  </si>
  <si>
    <t>Набор детских ударных и шумовых музыкальных инструментов с сумкой</t>
  </si>
  <si>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</si>
  <si>
    <t>д543</t>
  </si>
  <si>
    <t>Набор диатонических ручных колокольчиков (8 тонов)</t>
  </si>
  <si>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</si>
  <si>
    <t>д544</t>
  </si>
  <si>
    <t>Набор для игры в доктора (15 предметов)</t>
  </si>
  <si>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</si>
  <si>
    <t>д545</t>
  </si>
  <si>
    <t>Набор для игры с песком</t>
  </si>
  <si>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</si>
  <si>
    <t>д546</t>
  </si>
  <si>
    <t>Набор для конструирования роботизированный (тема «Домашние животные»)</t>
  </si>
  <si>
    <t>Роботизированный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В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передачи/шарниры — в зависимости от комплектации). Набор подходит для занятий в STEM/робоклассе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Материал: прочный пластик (конструктивные элементы), металлические крепёжные детали (при наличии), электронные компоненты (при наличии: мотор/блок управления/кабели). Комплектация: набор деталей для сборки нескольких моделей, элементы крепления, инструкция/методические карточки (по комплекту). Рекомендуемая организация хранения: контейнер/кейс с сортировкой деталей по секциям.</t>
  </si>
  <si>
    <t>д547</t>
  </si>
  <si>
    <t>Набор для опытов «Солнечная система»</t>
  </si>
  <si>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</si>
  <si>
    <t>д548</t>
  </si>
  <si>
    <t>Набор для песка «Семья»</t>
  </si>
  <si>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</si>
  <si>
    <t>д549</t>
  </si>
  <si>
    <t>Набор для песочницы</t>
  </si>
  <si>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</si>
  <si>
    <t>д55</t>
  </si>
  <si>
    <t>Біздің сүйікті қаламыз Алматы: деректі повесть</t>
  </si>
  <si>
    <t>Туреханова З.</t>
  </si>
  <si>
    <t>д550</t>
  </si>
  <si>
    <t>Набор для подвижных игр «Кольцеброс»</t>
  </si>
  <si>
    <t>Набор предназначен для метания колец на стойку/цель в подвижной игровой деятельности. В процессе игры выполняются действия на точность броска, прицеливание и контроль силы. Используется в помещении и на улице при организации двигательных игр. Материал изготовления — пластик, устойчивый к регулярному применению. Комплект включает основание и набор колец не менее 4–5 шт. (по типовой комплектации).</t>
  </si>
  <si>
    <t>д551</t>
  </si>
  <si>
    <t>Набор доктора «Волшебная аптечка» в чемоданчике (25 предметов)</t>
  </si>
  <si>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</si>
  <si>
    <t>д552</t>
  </si>
  <si>
    <t>Набор домашних животных</t>
  </si>
  <si>
    <t>Игровой набор фигурок домашних животных предназначен для познавательных и сюжетно-ролевых игр. Используется для ознакомления с животным миром, развития речи, классификации и формирования элементарных представлений об окружающей среде. Фигурки выполнены из эластичного безопасного материала, удобны для детской руки и подходят для систематического использования в условиях ДОУ.</t>
  </si>
  <si>
    <t>д553</t>
  </si>
  <si>
    <t>Набор домашних животных «Я играю в зоопарк» (6 фигур)</t>
  </si>
  <si>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</si>
  <si>
    <t>д554</t>
  </si>
  <si>
    <t>Набор дорожных знаков детских напольных (75 см)</t>
  </si>
  <si>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</si>
  <si>
    <t>д555</t>
  </si>
  <si>
    <t>Набор игровой «Динозавры» (6 предметов)</t>
  </si>
  <si>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</si>
  <si>
    <t>д556</t>
  </si>
  <si>
    <t>Набор игровой «Пожарная станция»</t>
  </si>
  <si>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</si>
  <si>
    <t>д557</t>
  </si>
  <si>
    <t>Набор игровой «Полицейская машина-кейс»</t>
  </si>
  <si>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</si>
  <si>
    <t>д558</t>
  </si>
  <si>
    <t>Набор игровой «Юрта и её убранство»</t>
  </si>
  <si>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</si>
  <si>
    <t>д559</t>
  </si>
  <si>
    <t>Набор игровых элементов с бусинами на шнурках</t>
  </si>
  <si>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</si>
  <si>
    <t>д56</t>
  </si>
  <si>
    <t>Бревно гимнастическое напольное мягкое</t>
  </si>
  <si>
    <t>Гимнастическое бревно используется для выполнения упражнений на равновесие и координацию движений. Представляет собой низкую напольную конструкцию с мягким покрытием. Верхняя часть выполнена из деревянного бруса с амортизирующим слоем и винилискожей. Длина изделия составляет не менее 5 м. Конструкция рассчитана на использование в помещениях.</t>
  </si>
  <si>
    <t>д560</t>
  </si>
  <si>
    <t>Набор игрушек «Большие игровые фигурки животных»</t>
  </si>
  <si>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</si>
  <si>
    <t>д561</t>
  </si>
  <si>
    <t>Набор игрушек «Птицы»</t>
  </si>
  <si>
    <t>Набор фигурок птиц предназначен для познавательных и сюжетно-ролевых игр, а также для занятий по ознакомлению с окружающим миром. Используется для расширения представлений о животном мире, развития речи, классификации и сравнения объектов. Фигурки выполнены в реалистичной форме, удобны для детской руки, подходят для индивидуальной и групповой работы.</t>
  </si>
  <si>
    <t>д562</t>
  </si>
  <si>
    <t>Набор игрушек для игры с песком</t>
  </si>
  <si>
    <t>Игровой набор предназначен для организации игр с песком в помещении и на открытом воздухе. Используется для развития мелкой моторики, координации движений, тактильных ощущений и элементарных трудовых навыков. Включает основные инструменты для пересыпания, просеивания и переливания песка. Элементы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t>
  </si>
  <si>
    <t>д563</t>
  </si>
  <si>
    <t>Набор игрушек для песка и воды</t>
  </si>
  <si>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</si>
  <si>
    <t>д564</t>
  </si>
  <si>
    <t>Набор игрушечной посуды</t>
  </si>
  <si>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</si>
  <si>
    <t>д565</t>
  </si>
  <si>
    <t>Набор игрушечных продуктов «Хлеб»</t>
  </si>
  <si>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</si>
  <si>
    <t>д566</t>
  </si>
  <si>
    <t>Набор из 20 игрушечных машинок</t>
  </si>
  <si>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</si>
  <si>
    <t>д567</t>
  </si>
  <si>
    <t>Набор из двух зеркал для опытов с симметрией</t>
  </si>
  <si>
    <t>Набор предназначен для проведения познавательных и экспериментальных занятий, изучения симметрии и отражения. Используется в образовательной деятельности и исследовательских играх. Конструкция обеспечивает устойчивую фиксацию зеркал. Материалы безопасны и подходят для использования детьми под контролем педагога.</t>
  </si>
  <si>
    <t>д568</t>
  </si>
  <si>
    <t>Набор камней "Минералы"</t>
  </si>
  <si>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</si>
  <si>
    <t>д569</t>
  </si>
  <si>
    <t>Набор камней для балансировки</t>
  </si>
  <si>
    <t>Развивающий набор предназначен для упражнений на равновесие, координацию и развитие крупной моторики. Используется в подвижных играх и сенсомоторных упражнениях. Элементы устойчивы, имеют безопасную форму и подходят для использования в помещении.</t>
  </si>
  <si>
    <t>д570</t>
  </si>
  <si>
    <t>Набор картонных книг «Животные», 4 шт.</t>
  </si>
  <si>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</si>
  <si>
    <t>д571</t>
  </si>
  <si>
    <t>Набор карточек «Цифры и цвета»</t>
  </si>
  <si>
    <t>Дидактический набор предназначен для запуска и развития речи, формирования навыков коммуникации и обучения базовым понятиям. Используется в индивидуальной и групповой логопедической работе. Карточки ламинированы, устойчивы к износу и удобны для частого использования.</t>
  </si>
  <si>
    <t>д572</t>
  </si>
  <si>
    <t>Набор кеглей</t>
  </si>
  <si>
    <t>Игровой набор предназначен для подвижных и координационных игр. Используется для развития меткости, ловкости, координации движений и командного взаимодействия. Подходит для использования в спортивных и игровых зонах ДОУ.</t>
  </si>
  <si>
    <t>д573</t>
  </si>
  <si>
    <t>Набор керамических горшков в виде животных</t>
  </si>
  <si>
    <t>Набор предназначен для оформления уголка природы, экологического воспитания и ухода за растениями. Используется для посадки суккулентов и декоративных растений. Наличие дренажных отверстий обеспечивает правильный уход за растениями. Форма изделий способствует формированию интереса к природе и эстетического вкуса.</t>
  </si>
  <si>
    <t>д574</t>
  </si>
  <si>
    <t>Набор книг для малышей «Крохе», 6 шт.</t>
  </si>
  <si>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</si>
  <si>
    <t>д575</t>
  </si>
  <si>
    <t>Набор книг с глазками</t>
  </si>
  <si>
    <t>Набор предназначен для раннего чтения и развития познавательного интереса. Используется для формирования речи, внимания и эмоционального отклика у детей младшего возраста. Книги выполнены из плотных материалов, удобны для самостоятельного рассматривания.</t>
  </si>
  <si>
    <t>д576</t>
  </si>
  <si>
    <t>Набор костюма «Человек-паук»</t>
  </si>
  <si>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</si>
  <si>
    <t>д577</t>
  </si>
  <si>
    <t>Набор кубиков «Алфавит с цифрами»</t>
  </si>
  <si>
    <t>Набор деревянных кубиков предназначен для обучения детей алфавиту и цифрам. Используется для развития логики, памяти, мелкой моторики, навыков счёта и цветоразличения. Материал безопасный, подходит для дошкольного возраста.</t>
  </si>
  <si>
    <t>д578</t>
  </si>
  <si>
    <t>Набор кукол (семья, 7 фигур)</t>
  </si>
  <si>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</si>
  <si>
    <t>д579</t>
  </si>
  <si>
    <t>Набор кукол на шарнирах</t>
  </si>
  <si>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</si>
  <si>
    <t>д58</t>
  </si>
  <si>
    <t>Бумага цветная для творческих и аппликационных работ</t>
  </si>
  <si>
    <t>Цветная бумага предназначена для выполнения аппликаций, поделок и простых художественных работ. Используется при вырезании, складывании и комбинировании элементов. Работа с бумагой способствует формированию аккуратности и координации движений рук. В комплект входит не менее 200 листов. Плотность бумаги — не менее 80 г/м². Цвета включают жёлтый и фиолетовый.</t>
  </si>
  <si>
    <t>д580</t>
  </si>
  <si>
    <t>Набор кукольного театра</t>
  </si>
  <si>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</si>
  <si>
    <t>д581</t>
  </si>
  <si>
    <t>Набор мерных ёмкостей «Маэстро»</t>
  </si>
  <si>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</si>
  <si>
    <t>д582</t>
  </si>
  <si>
    <t>Набор мини-блоков для конструирования, 100 элементов</t>
  </si>
  <si>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</si>
  <si>
    <t>д583</t>
  </si>
  <si>
    <t>Набор мини-домиков для сюжетно-ролевых игр</t>
  </si>
  <si>
    <t>Набор мини-домиков используется как игровое пособие для построения сюжетов «город», «семья», «улица», «путешествие» и для моделирования жизненных ситуаций. В комплект входит не менее 5 домиков различной формы, высотой не менее 5 см каждый, чтобы их было удобно держать и переставлять ребёнку. Материал — дерево или безопасный пластик с гладкой обработкой поверхности и закруглёнными углами. Домики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Набор помогает формировать пространственные представления (рядом/далеко, слева/справа), а также навыки организации игрового пространства. Хранение возможно в коробке/контейнере, пригодном для регулярной санитарной обработки.</t>
  </si>
  <si>
    <t>д584</t>
  </si>
  <si>
    <t xml:space="preserve">Набор мини-насекомых </t>
  </si>
  <si>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</si>
  <si>
    <t>д585</t>
  </si>
  <si>
    <t>Набор мини-фигур человека для ролевых и проективных игр</t>
  </si>
  <si>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</si>
  <si>
    <t>д586</t>
  </si>
  <si>
    <t>Набор мини-фигурок животных в коробках для игровых и классификационных заданий</t>
  </si>
  <si>
    <t>Набор мини-фигурок животных предназначен для сюжетных игр, классификации и тематических занятий (домашние/дикие, среда обитания, питание). В комплект входит не менее 10 фигурок животных размером не менее 3 см каждая и не более 8 см, удобных для детской руки. Фигурки выполнены из безопасного пластика/дерева, устойчивого к влажной обработке, без острых выступов. Наличие отдельных коробочек/контейнеров (не менее 1 комплекта для хранения) упрощает сортировку и приучает ребёнка к порядку: «каждому животному — своё место». В игре дети составляют истории, описывают признаки и действия животных, что развивает словарь и связную речь. Набор также подходит для упражнений на внимание и память (найди пару, назови по описанию, разложи по группам).</t>
  </si>
  <si>
    <t>д587</t>
  </si>
  <si>
    <t>Набор миниатюрных фигурок «Профессии», комплект 7 шт.</t>
  </si>
  <si>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</si>
  <si>
    <t>д588</t>
  </si>
  <si>
    <t>Набор миниатюрных фигурок домашних птиц</t>
  </si>
  <si>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</si>
  <si>
    <t>д589</t>
  </si>
  <si>
    <t>Набор мишеней на липучках для метательных упражнений</t>
  </si>
  <si>
    <t>Мишень на липучках предназначена для подвижных игр и упражнений на меткость, координацию и контроль силы броска. Комплект включает мишень (основа) диаметром/стороной не менее 30 см и набор мягких метательных элементов (не менее 3 шт.) с липучками. Материал основы — плотный текстиль (полиэстер) или аналогичный, устойчивый к многократному креплению и снятию элементов. Мишень может крепиться на стену или устанавливаться на опору, обеспечивая безопасную игровую дистанцию в помещении. Игра формирует глазомер, развивает внимание и способность следовать правилам (очередность, подсчёт попаданий, соблюдение дистанции). Мягкие элементы исключают травмоопасность при случайном падении или промахе при соблюдении правил игры.</t>
  </si>
  <si>
    <t>д59</t>
  </si>
  <si>
    <t>Бумага цветная формата А4</t>
  </si>
  <si>
    <t>Цветная бумага используется для выполнения аппликаций, поделок и графических работ. Применяется при вырезании, складывании и комбинировании элементов. Подходит для использования с различными изобразительными материалами. Поставляется в формате А4 в виде набора листов.</t>
  </si>
  <si>
    <t>д590</t>
  </si>
  <si>
    <t>Набор обучающих игрушек (фетровая доска)</t>
  </si>
  <si>
    <t>Обучающий набор предназначен для комплексного развития навыков: речи, мышления, самообслуживания и ориентации в окружающем мире. Используется в индивидуальной и групповой работе, удобен для путешествий и занятий вне группы.</t>
  </si>
  <si>
    <t>д591</t>
  </si>
  <si>
    <t>Набор обучающих карточек «Уроки экологии»</t>
  </si>
  <si>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</si>
  <si>
    <t>д592</t>
  </si>
  <si>
    <t>Набор парикмахера детский</t>
  </si>
  <si>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</si>
  <si>
    <t>д593</t>
  </si>
  <si>
    <t>Набор плакатов для малыша (0–3 года)</t>
  </si>
  <si>
    <t>Дидактический набор предназначен для раннего развития, знакомства с базовыми понятиями и расширения словарного запаса. Используется в наглядной форме при работе с детьми раннего возраста.</t>
  </si>
  <si>
    <t>д594</t>
  </si>
  <si>
    <t>Набор повара детский</t>
  </si>
  <si>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</si>
  <si>
    <t>д595</t>
  </si>
  <si>
    <t>Набор полезных ископаемых</t>
  </si>
  <si>
    <t xml:space="preserve">Набор из 4-38 шт. редких кристаллов, камень минерал, кристаллический кластер, отдельный кристаллический минеральный камень, </t>
  </si>
  <si>
    <t>д596</t>
  </si>
  <si>
    <t>Набор посудок</t>
  </si>
  <si>
    <t>Игровой набор посудки. набор чайный. Материал металл.</t>
  </si>
  <si>
    <t>д597</t>
  </si>
  <si>
    <t>Набор посуды в коробке</t>
  </si>
  <si>
    <t>Возрастное ограничение 3+, материал метал, в наборе 13 предметов, размер упаковки 22*32*9 см, производство Китай.</t>
  </si>
  <si>
    <t>д598</t>
  </si>
  <si>
    <t>Набор предметных картинок по темам</t>
  </si>
  <si>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</si>
  <si>
    <t>д599</t>
  </si>
  <si>
    <t>Набор принадлежностей для наблюдения за насекомыми и мелкими объектами</t>
  </si>
  <si>
    <t>Образовательный набор предназначен для проведения опытов и наблюдений с детьми дошкольного возраста. Используется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В комплект входят смотровой ящик, ловушка для насекомых, пинцет и инструкция по эксплуатации. Все элементы изготовлены из безопасных материалов и подходят для использования под контролем педагога.</t>
  </si>
  <si>
    <t>д6</t>
  </si>
  <si>
    <t>"Өзің жаса"Топтамасы. Жабайы аңдар. Серия "Сделай сам!" Домашние животные из картона</t>
  </si>
  <si>
    <t>д60</t>
  </si>
  <si>
    <t>Бұл менікі емес...Жапсырма - кітапша. Ферма</t>
  </si>
  <si>
    <t>д600</t>
  </si>
  <si>
    <t>Набор пупсов</t>
  </si>
  <si>
    <t>Игровой набор пупсов предназначен для сюжетно-ролевых игр детей дошкольного возраста. Используется для формирования навыков заботы, развития эмоциональной сферы, воображения и коммуникативных умений. В набор входят 6 пупсов высотой около 11 см. Куклы выполнены из безопасного пластика, одежда изготовлена из текстильных материалов. Подходит для групповых и индивидуальных игр.</t>
  </si>
  <si>
    <t>д601</t>
  </si>
  <si>
    <t>Набор стекаемых пластиковых корзин для хранения</t>
  </si>
  <si>
    <t>Органайзер предназначен для систематизации и хранения игрушек, дидактических материалов и пособий. Используется в групповых помещениях и кабинетах ДОУ. Корзины компактно складываются, устойчивы, лёгкие и безопасные. Обеспечивают порядок и доступность материалов для детей.</t>
  </si>
  <si>
    <t>д602</t>
  </si>
  <si>
    <t>Набор строительных блоков с крупными элементами для конструирования. (крупные строительные блоки)</t>
  </si>
  <si>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</si>
  <si>
    <t>д603</t>
  </si>
  <si>
    <t>Набор супергероев (5 фигурок)</t>
  </si>
  <si>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</si>
  <si>
    <t>д604</t>
  </si>
  <si>
    <t>Набор транспорта (легковой, грузовой, воздушный, водный, специальный)</t>
  </si>
  <si>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</si>
  <si>
    <t>д605</t>
  </si>
  <si>
    <t>Набор фигурок животных Африки, Америки, Австралии, Европы и Азии</t>
  </si>
  <si>
    <t>Игровой и обучающий набор фигурок животных предназначен для ознакомления детей с животным миром разных континентов. Используется в образовательной и сюжетно-ролевой деятельности для формирования представлений о природе, расширения кругозора, развития речи и воображения. Фигурки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t>
  </si>
  <si>
    <t>д606</t>
  </si>
  <si>
    <t>Набор фигурок насекомых с реалистичными изображениями и пропорциями</t>
  </si>
  <si>
    <t>Дидактический набор предназначен для изучения мира насекомых в процессе игровых и познавательных занятий. Используется для развития наблюдательности, внимания, логического мышления и познавательного интереса. В комплект входит 12 статичных фигурок насекомых, выполненных из прочного полимерного материала. Подходит для индивидуальной и групповой работы в ДОУ.</t>
  </si>
  <si>
    <t>д607</t>
  </si>
  <si>
    <t>Набор яиц</t>
  </si>
  <si>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</si>
  <si>
    <t>д608</t>
  </si>
  <si>
    <t>Набор-конструктор робототехники для изучения простых механизмов (121 предмет)</t>
  </si>
  <si>
    <t>Образовательный набор предназначен для знакомства детей с основами конструирования и простых механизмов. Используется в развивающих занятиях для формирования инженерного мышления, логики, навыков анализа и решения задач. В комплект входит 121 элемент, позволяющий собирать различные модели механизмов. Подходит для организованной образовательной деятельности под руководством педагога.</t>
  </si>
  <si>
    <t>д609</t>
  </si>
  <si>
    <t>Наглядный материал «Картотека предметных картинок: Фрукты и овощи»</t>
  </si>
  <si>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</si>
  <si>
    <t>д61</t>
  </si>
  <si>
    <t>Бұл өте оңай! Қызықты химия</t>
  </si>
  <si>
    <t>Р.Уинстон</t>
  </si>
  <si>
    <t>д610</t>
  </si>
  <si>
    <t>Напёрстки</t>
  </si>
  <si>
    <t>Детские напёрстки предназначены для использования в занятиях по ручному труду, шитью и развитию мелкой моторики. Используются для защиты пальцев и формирования навыков аккуратной работы с иглой и нитками. Подходят для применения в кружковой и творческой деятельности в ДОУ.</t>
  </si>
  <si>
    <t>д611</t>
  </si>
  <si>
    <t>Наполеон. Napoleon (каз., рус., англ.яз.)</t>
  </si>
  <si>
    <t>Л.Ледбридж (перевод Сужикова А., Асанова М. )</t>
  </si>
  <si>
    <t>д612</t>
  </si>
  <si>
    <t>Нарукавники тканевые</t>
  </si>
  <si>
    <t>Тканевые нарукавники предназначены для защиты одежды детей во время занятий творчеством, изобразительной деятельностью и экспериментированием. Оснащены резинкой для удобной фиксации, выполнены из водоотталкивающего материала. В комплект входят два нарукавника и кармашек. Подходят для использования детьми разного возраста.</t>
  </si>
  <si>
    <t>д613</t>
  </si>
  <si>
    <t>Настенный модуль «Медведь»</t>
  </si>
  <si>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</si>
  <si>
    <t>д614</t>
  </si>
  <si>
    <t>Настенный модуль для упражнений в развитии запястья (движение по прорези)</t>
  </si>
  <si>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</si>
  <si>
    <t>д615</t>
  </si>
  <si>
    <t>Настенный флипчарт с бумажным блоком</t>
  </si>
  <si>
    <t>Настенный флипчарт предназначен для использования в кабинете детского психолога при диагностической, коррекционной и арт-терапевтической работе. Оснащён отрывным бумажным блоком, позволяющим детям рисовать, выполнять задания и выражать эмоции. Крепление к стене обеспечивает устойчивость, безопасность и экономию пространства.</t>
  </si>
  <si>
    <t>д616</t>
  </si>
  <si>
    <t>Настольная игра «3D ҮШБҰРЫШ»</t>
  </si>
  <si>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</si>
  <si>
    <t>д617</t>
  </si>
  <si>
    <t>Настольная игра «Доска умножения» (учебная)</t>
  </si>
  <si>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</si>
  <si>
    <t>д618</t>
  </si>
  <si>
    <t>Настольная игра «КӨБЕЛЕКТЕР»</t>
  </si>
  <si>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</si>
  <si>
    <t>д619</t>
  </si>
  <si>
    <t>Настольная игра «КӨРКЕМ ӨРНЕК»</t>
  </si>
  <si>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</si>
  <si>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д62</t>
  </si>
  <si>
    <t>Веер набор</t>
  </si>
  <si>
    <t>Веер набор, касса букв и цифр, на казахском языке, Пчелка Н-1 №904</t>
  </si>
  <si>
    <t>д620</t>
  </si>
  <si>
    <t>Настольная игра «Мемори»</t>
  </si>
  <si>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</si>
  <si>
    <t>д621</t>
  </si>
  <si>
    <t>Настольная игра «Пингвин на льдине»</t>
  </si>
  <si>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</si>
  <si>
    <t>д622</t>
  </si>
  <si>
    <t>Настольная игра «Построй башню»</t>
  </si>
  <si>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</si>
  <si>
    <t>д623</t>
  </si>
  <si>
    <t>Настольная игра «СӘУЛЕТШІ»</t>
  </si>
  <si>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</si>
  <si>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д624</t>
  </si>
  <si>
    <t>Настольная игра «ТАЯҚШАЛАР»</t>
  </si>
  <si>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</si>
  <si>
    <t>д625</t>
  </si>
  <si>
    <t>Настольная игра «ТЕЗ ТАП»</t>
  </si>
  <si>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</si>
  <si>
    <t>д626</t>
  </si>
  <si>
    <t>Настольная игра «ТҮРЛІ-ТҮСТІ БӨЛШЕКТЕР»</t>
  </si>
  <si>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</si>
  <si>
    <t>д627</t>
  </si>
  <si>
    <t>Настольная игра «Шнуровка»</t>
  </si>
  <si>
    <t>Развивающая игра в форме предмета быта предназначена для развития мелкой моторики, координации движений и зрительно-моторной согласованности. Используется в индивидуальной и подгрупповой работе с детьми дошкольного возраста. Материалы безопасны, шнурки удобны для детской руки.</t>
  </si>
  <si>
    <t>д628</t>
  </si>
  <si>
    <t>Настольная игра «Candy»</t>
  </si>
  <si>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</si>
  <si>
    <t>д629</t>
  </si>
  <si>
    <t>Настольная игра со шнуровками, пуговицами, ремешками, замочками</t>
  </si>
  <si>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</si>
  <si>
    <t>д63</t>
  </si>
  <si>
    <t>Великие чудеса света</t>
  </si>
  <si>
    <t>д630</t>
  </si>
  <si>
    <t>Настольная рабочая станция (музыкальная студия)</t>
  </si>
  <si>
    <t>Настольная рабочая станция предназначена для организации рабочего места музыкального руководителя в музыкальном зале ДОУ. Используется для подготовки и проведения музыкальных занятий, воспроизведения и записи звука, сопровождения утренников и праздничных мероприятий. Обеспечивает удобное размещение оборудования и способствует повышению качества музыкально-педагогической работы.</t>
  </si>
  <si>
    <t>д631</t>
  </si>
  <si>
    <t>Настольная развивающая игра «Математический тренажер на липучках»</t>
  </si>
  <si>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</si>
  <si>
    <t>д632</t>
  </si>
  <si>
    <t>Настольная развивающая игра «Собери урожай»</t>
  </si>
  <si>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</si>
  <si>
    <t>д633</t>
  </si>
  <si>
    <t>Настольно-развивающая игра "КӨБЕЛЕКТЕР"</t>
  </si>
  <si>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</si>
  <si>
    <t>д634</t>
  </si>
  <si>
    <t>Настольноразвивающая игра "Тез Тап"</t>
  </si>
  <si>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</si>
  <si>
    <t>д635</t>
  </si>
  <si>
    <t>Настольные развивающие игры</t>
  </si>
  <si>
    <t>Развивающие настольные игры направлены на тренировку логики, памяти, внимания, стратегического мышления и речи у детей</t>
  </si>
  <si>
    <t>д636</t>
  </si>
  <si>
    <t>Настольный декоративный фонтан с эффектом водопада</t>
  </si>
  <si>
    <t>Настольный фонтан используется как элемент интерьерного оформления. Создаёт визуальный эффект движения воды и мягкий фоновый звук. Применяется для формирования спокойной атмосферы в помещении. Конструкция рассчитана на установку на горизонтальной поверхности.</t>
  </si>
  <si>
    <t>д637</t>
  </si>
  <si>
    <t>Натуральный кристаллический гравий для аквариумов (разноцветные мини-камешки, 65 г)</t>
  </si>
  <si>
    <t>Натуральный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Применяется при оформлении аквариумов, сенсорных зон, тематических уголков, а также в образовательной и предметно-пространственной среде детского сада. Может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Материал экологически безопасен, не имеет острых краёв, устойчив к влаге и механическому воздействию. Характеристики изделия обеспечивают безопасную и удобную эксплуатацию в помещениях ДОУ. Конструкция и материалы соответствуют требованиям использования в детских учреждениях.</t>
  </si>
  <si>
    <t>д638</t>
  </si>
  <si>
    <t>Национальная игра «Асық»</t>
  </si>
  <si>
    <t>Набор для национальной игры «Асық» используется в игровой деятельности с элементами традиционной культуры. В процессе игры выполняются действия по метанию, подбору и сортировке игровых элементов. Такая форма игры способствует развитию координации движений и интереса к народным играм. Игровые элементы изготовлены из прочных материалов.</t>
  </si>
  <si>
    <t>д639</t>
  </si>
  <si>
    <t>Национальный костюм для девочек</t>
  </si>
  <si>
    <t>Представляем вашему вниманию национальное платье для девочки в голубом цвете, в комплекте с головным убором. Изготовлено из легкой и практичной ткани, обеспечивающей комфорт и долговечность. Идеально подходит для выступлений, праздничных мероприятий и национальных празднико</t>
  </si>
  <si>
    <t>д64</t>
  </si>
  <si>
    <t>Великий Абай. Энциклопедия</t>
  </si>
  <si>
    <t>д640</t>
  </si>
  <si>
    <t>Национальный костюм для мальчиков</t>
  </si>
  <si>
    <t>Карнавальный и праздничный костюм предназначен для участия детей в культурных, тематических и национальных мероприятиях. Используется в сюжетно-ролевых играх, театрализованных постановках и праздниках. Способствует формированию интереса к традиционной культуре и развитию эмоциональной выразительности.</t>
  </si>
  <si>
    <t>д641</t>
  </si>
  <si>
    <t>Национальный элемент «Шаңырақ» (декоративный)</t>
  </si>
  <si>
    <t>Декоративный элемент в виде казахского шаңырака для оформления этнокультурной атмосферы детской библиотеки. Устанавливается стационарно в углу помещения, крепится к стене, служит интерьерным акцентом. Материал — дерево или облегчённый композит. Размещение — настенное, угловое.</t>
  </si>
  <si>
    <t>д642</t>
  </si>
  <si>
    <t>Нейроскутер</t>
  </si>
  <si>
    <t>Балансировочная доска на колесиках (роллерборд), цвет бежевый, выполнен из фанеры. Предназначен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t>
  </si>
  <si>
    <t>д643</t>
  </si>
  <si>
    <t>Нейротренажер для рук</t>
  </si>
  <si>
    <t>Развивающий нейротренажер предназначен для стимуляции сенсомоторных зон кистей, развития координации движений, речи и межполушарного взаимодействия. Используется в коррекционно-развивающей работе с детьми дошкольного возраста, в том числе в логопедической практике.</t>
  </si>
  <si>
    <t>д644</t>
  </si>
  <si>
    <t>Нельсон. Nelson (каз., рус., англ.яз.)</t>
  </si>
  <si>
    <t>М.Лейси (перевод Сужикова А., Асанова М.)</t>
  </si>
  <si>
    <t>д645</t>
  </si>
  <si>
    <t>Нитки</t>
  </si>
  <si>
    <t>Набор ниток предназначен для использования в творческой и учебной деятельности детей. Применяется на занятиях по ручному труду, аппликации и шитью под контролем педагога.</t>
  </si>
  <si>
    <t>д646</t>
  </si>
  <si>
    <t>Ножницы</t>
  </si>
  <si>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</si>
  <si>
    <t>д647</t>
  </si>
  <si>
    <t>Ножницы с одним острым концом прямые</t>
  </si>
  <si>
    <t>Медицинские ножницы для проведения процедур, требующих точности.</t>
  </si>
  <si>
    <t>д648</t>
  </si>
  <si>
    <t>Ножницы тупоконечные</t>
  </si>
  <si>
    <t>Используются для медицинских и хозяйственных нужд. Безопасны за счёт закруглённых концов.</t>
  </si>
  <si>
    <t>д65</t>
  </si>
  <si>
    <t>Вертушки для подвижных игр на улице</t>
  </si>
  <si>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</si>
  <si>
    <t>д650</t>
  </si>
  <si>
    <t>Облучатель бактерицидный obn-150-kront</t>
  </si>
  <si>
    <t xml:space="preserve">Бакт. Эффективность: 99,9% - 99,0% - 95,0%_Производительность: 100 - 150 - 230  м3/час_Бактерицидные лампы: 2 х 30 Вт_Параметры: 1090х150х100 мм
</t>
  </si>
  <si>
    <t>д651</t>
  </si>
  <si>
    <t>Оборудование для лазания и координации движений</t>
  </si>
  <si>
    <t>Оборудование используется для организации двигательной активности с элементами лазания и преодоления препятствий. В процессе выполнения упражнений задействуются координация движений и ориентировка в пространстве. Предназначено для размещения в помещениях.</t>
  </si>
  <si>
    <t>д652</t>
  </si>
  <si>
    <t>Образовательные карточки</t>
  </si>
  <si>
    <t>Образовательные карточки предназначены для использования в образовательной деятельности с детьми дошкольного возраста. Применяются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Карточки содержат изображения по тематическим категориям (домашние и дикие животные, морские обитатели, насекомые, птицы, фрукты, овощи и др.). Материал карточек плотный, износостойкий, безопасный для детей, обеспечивает удобство использования и долговечность при эксплуатации в условиях ДОУ.</t>
  </si>
  <si>
    <t>д653</t>
  </si>
  <si>
    <t>Обручи разных размеров</t>
  </si>
  <si>
    <t>Комплект обручей различных диаметров предназначен для организации разнообразных подвижных и спортивных игр в условиях ДОУ. Используется для упражнений на координацию, развитие гибкости, ориентации в пространстве, а также в эстафетах и сюжетных играх. Обручи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t>
  </si>
  <si>
    <t>д654</t>
  </si>
  <si>
    <t>Обучающая игра «Состав числа» (набор карточек)</t>
  </si>
  <si>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</si>
  <si>
    <t>д655</t>
  </si>
  <si>
    <t>Обучающие карточки «Времена года» (дидактический материал)</t>
  </si>
  <si>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</si>
  <si>
    <t>д656</t>
  </si>
  <si>
    <t>Обучающие плакаты для дошкольников</t>
  </si>
  <si>
    <t>Набор обучающих плакатов предназначен для оформления развивающей предметно-пространственной среды в группах ДОУ. Используется для наглядного обучения и систематизации знаний детей дошкольного возраста. Тематика плакатов охватывает основные образовательные направления: цвета и формы, алфавит, счёт, животные, времена года, сутки и часы. Плакаты выполнены в наглядной и доступной форме, безопасны и удобны для размещения в помещениях детского сада.</t>
  </si>
  <si>
    <t>д657</t>
  </si>
  <si>
    <t>Обучающий набор развивающих карточек на казахском языке</t>
  </si>
  <si>
    <t>Обучающий набор предназначен для развития речевых и познавательных навыков детей дошкольного возраста. Используется в образовательной деятельности для изучения окружающего мира, расширения словарного запаса и формирования многоязычной среды. Карточки сгруппированы по тематическим разделам и содержат наименования предметов на казахском, русском и английском языках. Набор способствует развитию памяти, внимания и коммуникативных навыков. Материалы безопасны и соответствуют условиям эксплуатации в ДОУ.</t>
  </si>
  <si>
    <t>д659</t>
  </si>
  <si>
    <t>Одеяло детское</t>
  </si>
  <si>
    <t>Детское одеяло предназначено для использования в условиях дошкольного учреждения во время дневного сна и отдыха детей. Изготовлено из безопасных, гипоаллергенных материалов, обеспечивает комфортный микроклимат и соответствует санитарно-гигиеническим требованиям, предъявляемым к изделиям для детских учреждений.</t>
  </si>
  <si>
    <t>д66</t>
  </si>
  <si>
    <t>Весы детские</t>
  </si>
  <si>
    <t>В набор входит:
• весы с двумя лотками;
• 6 грузов различного веса.
Цвет в ассортименте без возможности выбора.
Размер игрушки: 28 x 13 x 12,7 см.
Материал: пластик.</t>
  </si>
  <si>
    <t>д661</t>
  </si>
  <si>
    <t>Ойсана әліппесі. Шуақты шумақтар</t>
  </si>
  <si>
    <t>Ж.Калжанова</t>
  </si>
  <si>
    <t>д662</t>
  </si>
  <si>
    <t>Они были первыми</t>
  </si>
  <si>
    <t>Кумисбаев Ш.</t>
  </si>
  <si>
    <t>д663</t>
  </si>
  <si>
    <t>Опасные животные Казахстана</t>
  </si>
  <si>
    <t>Казенас В., Митяев И., Ященко Р.</t>
  </si>
  <si>
    <t>д664</t>
  </si>
  <si>
    <t>Ортодон Коврик массажный модульный</t>
  </si>
  <si>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</si>
  <si>
    <t>д665</t>
  </si>
  <si>
    <t>Ортопедический коврик / массажный коврик модульный</t>
  </si>
  <si>
    <t>Ортопедический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Используется в физкультурно-оздоровительной и коррекционной работе. Коврик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t>
  </si>
  <si>
    <t>д666</t>
  </si>
  <si>
    <t>Өнер. Түсіндірмесімен</t>
  </si>
  <si>
    <t>д667</t>
  </si>
  <si>
    <t>Пазл деревянный «Зверюшки»</t>
  </si>
  <si>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</si>
  <si>
    <t>д668</t>
  </si>
  <si>
    <t>Пазл картонный фигурный (3–8 элементов, 4 в 1)</t>
  </si>
  <si>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</si>
  <si>
    <t>д669</t>
  </si>
  <si>
    <t>Пазл на липучках «Мама и малыш»</t>
  </si>
  <si>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</si>
  <si>
    <t>д67</t>
  </si>
  <si>
    <t>Весы напольные</t>
  </si>
  <si>
    <t>Весы предназначены для измерения массы тела детей и взрослых, используются в медицинском кабинете.</t>
  </si>
  <si>
    <t>д670</t>
  </si>
  <si>
    <t>Пазл-палочки деревянный (10 элементов)</t>
  </si>
  <si>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</si>
  <si>
    <t>д671</t>
  </si>
  <si>
    <t>Пазл-переодевание «Медвежонок»</t>
  </si>
  <si>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</si>
  <si>
    <t>д672</t>
  </si>
  <si>
    <t>Пазлы деревянные и магнитные (тематические наборы)</t>
  </si>
  <si>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</si>
  <si>
    <t>д673</t>
  </si>
  <si>
    <t>Пазлы картонные классические (наборы 26–60 элементов)</t>
  </si>
  <si>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</si>
  <si>
    <t>д674</t>
  </si>
  <si>
    <t>Пазлы с формами животных и транспорта</t>
  </si>
  <si>
    <t>Развивающие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Используются в образовательной и игровой деятельности детей дошкольного возраста. Изготовлены из древесного материала, элементы имеют чёткие формы и безопасные края, что обеспечивает удобство и безопасность использования в детских учреждениях.</t>
  </si>
  <si>
    <t>д675</t>
  </si>
  <si>
    <t>Палка гимнастическая</t>
  </si>
  <si>
    <t>Палка гимнастическая предназначена для использования в физкультурно-оздоровительной и коррекционно-развивающей работе с детьми. Применяется для выполнения упражнений на координацию движений, развитие осанки, равновесия и общей моторики. Используется в подвижных играх, гимнастике и физкультурных занятиях. Изготовлена из прочного и безопасного материала, имеет гладкую поверхность, удобна для детского хвата и соответствует требованиям эксплуатации в ДОУ.</t>
  </si>
  <si>
    <t>д676</t>
  </si>
  <si>
    <t>Пальчиковые краски</t>
  </si>
  <si>
    <t>Пальчиковые краски предназначены для изобразительной и арт-терапевтической деятельности с детьми дошкольного возраста. Используются для развития сенсорного восприятия, мелкой моторики, творческого мышления и эмоционального самовыражения. Применяются в индивидуальных и групповых занятиях. Краски безопасны для детей, легко смываются, имеют яркие цвета и подходят для использования в условиях детских учреждений.</t>
  </si>
  <si>
    <t>д677</t>
  </si>
  <si>
    <t>Пальчиковые персонажи</t>
  </si>
  <si>
    <t>Пальчиковые игровые персонажи предназначены для развития мелкой моторики, речи, воображения и коммуникативных навыков у детей дошкольного возраста. Используются в сюжетно-ролевых играх, сказкотерапии, арт- и коррекционно-развивающих занятиях. Изготовлены из мягких, нетоксичных и гипоаллергенных материалов, легко очищаются и устойчивы к частому использованию в условиях ДОУ.</t>
  </si>
  <si>
    <t>д678</t>
  </si>
  <si>
    <t>Пальчиковый театр (сказки, 5 в 1)</t>
  </si>
  <si>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</si>
  <si>
    <t>д679</t>
  </si>
  <si>
    <t>Пальчиковый театр из фетра</t>
  </si>
  <si>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</si>
  <si>
    <t>д68</t>
  </si>
  <si>
    <t>Весы с предметами для измерения</t>
  </si>
  <si>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</si>
  <si>
    <t>д681</t>
  </si>
  <si>
    <t>Папка</t>
  </si>
  <si>
    <t>Папка-регистратор формата А4 предназначена для хранения, систематизации и архивирования документации, методических материалов, планов занятий и отчётных документов. Используется в административной, педагогической и методической деятельности дошкольного учреждения. Обеспечивает удобный доступ к документам, их сохранность и аккуратное размещение. Подходит для эксплуатации в условиях ДОУ.</t>
  </si>
  <si>
    <t>д682</t>
  </si>
  <si>
    <t>Папоротники</t>
  </si>
  <si>
    <t>Декоративные папоротники предназначены для оформления предметно-пространственной среды дошкольного учреждения. Используются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Способствуют формированию у детей эстетического восприятия и интереса к миру растений.</t>
  </si>
  <si>
    <t>д683</t>
  </si>
  <si>
    <t>Парашют игровой (групповые игры)</t>
  </si>
  <si>
    <t>Игровой парашют предназначен для проведения подвижных и групповых игр с детьми дошкольного возраста. Используется для развития координации движений, командного взаимодействия, внимания и чувства ритма. Применяется в физкультурных занятиях, игровых паузах и коррекционно-развивающей работе. Изготовлен из прочного текстильного материала, безопасен и удобен для использования в помещении и на улице.</t>
  </si>
  <si>
    <t>д684</t>
  </si>
  <si>
    <t>Паром круизный «Silja Symphony»</t>
  </si>
  <si>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</si>
  <si>
    <t>д686</t>
  </si>
  <si>
    <t>Передвижные книжные держатели (мобильные)</t>
  </si>
  <si>
    <t>Передвижная книжная стойка с полками для размещения детской литературы. Оснащена меловой доской для рисования и обозначения тематических подборок. Имеет колёса с фиксаторами для удобного перемещения и устойчивости. Материал — дерево или ЛДСП. Размер — 410 × 410 × 950 мм. Назначение — оформление мобильных книжных зон и тематических выставок.</t>
  </si>
  <si>
    <t>д687</t>
  </si>
  <si>
    <t>Песочная терапия. Стол</t>
  </si>
  <si>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</si>
  <si>
    <t>д688</t>
  </si>
  <si>
    <t>Песочные часы</t>
  </si>
  <si>
    <t>Песочные часы предназначены для формирования у детей представлений о времени, развития концентрации внимания и саморегуляции. Используются в образовательной, игровой и коррекционной деятельности для ограничения и контроля времени выполнения заданий. Конструкция устойчивая, с безопасными краями, подходит для эксплуатации в детских учреждениях.</t>
  </si>
  <si>
    <t>д689</t>
  </si>
  <si>
    <t>Песочные часы / таймер</t>
  </si>
  <si>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</si>
  <si>
    <t>д69</t>
  </si>
  <si>
    <t>Весы db-200h</t>
  </si>
  <si>
    <t>_Грузоподъемность: 200 кг; Чувствительность: 50/100 г</t>
  </si>
  <si>
    <t>д690</t>
  </si>
  <si>
    <t>Песочный набор</t>
  </si>
  <si>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</si>
  <si>
    <t>д691</t>
  </si>
  <si>
    <t>Синтезатор</t>
  </si>
  <si>
    <t>Синтезатор Medeli A810 Музыкальный инструмент предназначен для сопровождения музыкальных занятий, развития слуха, ритма и вокальных навыков у детей дошкольного возраста. Используется в музыкальном зале и на праздничных мероприятиях. Конструкция устойчивая, поверхности безопасны для детей, эксплуатация соответствует требованиям использования музыкального оборудования в ДОУ.</t>
  </si>
  <si>
    <t>д692</t>
  </si>
  <si>
    <t>Пинцет анатомический</t>
  </si>
  <si>
    <t>Применяется для медицинских манипуляций, захвата и удержания материалов.</t>
  </si>
  <si>
    <t>д693</t>
  </si>
  <si>
    <t>Пирамида из шести шестерёнок</t>
  </si>
  <si>
    <t>Развивающая пирамида с шестерёнками предназначена для формирования причинно-следственных связей, развития логического мышления и мелкой моторики. Используется в игровой и образовательной деятельности детей дошкольного возраста. Элементы яркие, подвижные, безопасные и удобные для детского восприятия.</t>
  </si>
  <si>
    <t>д694</t>
  </si>
  <si>
    <t>Пирамидка</t>
  </si>
  <si>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</si>
  <si>
    <t>д695</t>
  </si>
  <si>
    <t>Пирамидка конусная</t>
  </si>
  <si>
    <t>Конусная пирамидка предназначена для развития логического мышления, мелкой моторики и навыков сортировки у детей дошкольного возраста. Используется в игровой и обучающей деятельности. Конструкция безопасна, элементы легко удерживаются детской рукой.</t>
  </si>
  <si>
    <t>д696</t>
  </si>
  <si>
    <t>Пирамидка логическая «Фигурки»</t>
  </si>
  <si>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</si>
  <si>
    <t>д697</t>
  </si>
  <si>
    <t>Пирамидка радуга из дерева</t>
  </si>
  <si>
    <t>Деревянная пирамидка в форме радуги предназначена для развития пространственного мышления, воображения и сенсорного восприятия. Используется в свободной игре и образовательных занятиях. Натуральный материал и плавные формы обеспечивают безопасность и долговечность изделия.</t>
  </si>
  <si>
    <t>д698</t>
  </si>
  <si>
    <t>Пирамидка разного размера</t>
  </si>
  <si>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</si>
  <si>
    <t>д699</t>
  </si>
  <si>
    <t>Пирамидки деревянные бусы</t>
  </si>
  <si>
    <t>Деревянные пирамидки-бусы предназначены для сортировки, нанизывания и сравнения форм и цветов. Используются для развития мелкой моторики, координации рук и внимания. Подходят для индивидуальной и подгрупповой работы в ДОУ.</t>
  </si>
  <si>
    <t>д7</t>
  </si>
  <si>
    <t>"Өзің жаса"Топтамасы. Үй жануарлары. Серия "Сделай сам!" Домашние животные из картона</t>
  </si>
  <si>
    <t>д70</t>
  </si>
  <si>
    <t>Весы sw-10 dd</t>
  </si>
  <si>
    <t>Грузоподъемность: 10 кг; Чувствительность: 5 г</t>
  </si>
  <si>
    <t>д700</t>
  </si>
  <si>
    <t>Пирамидки разные</t>
  </si>
  <si>
    <t>Разнообразные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Подходят для систематического использования в образовательной среде детского сада.</t>
  </si>
  <si>
    <t>д701</t>
  </si>
  <si>
    <t>Піл мен жолбарыс.Ертегі.Боямақ</t>
  </si>
  <si>
    <t>Құрастарған Сужикова А.</t>
  </si>
  <si>
    <t>д702</t>
  </si>
  <si>
    <t>Плакаты артикуляционной гимнастики</t>
  </si>
  <si>
    <t>Демонстрационные плакаты предназначены для проведения артикуляционной гимнастики и логопедических занятий. Наглядно отображают положение языка, губ и зубов при выполнении упражнений. Используются в коррекционной и развивающей работе с детьми дошкольного возраста.</t>
  </si>
  <si>
    <t>д703</t>
  </si>
  <si>
    <t>Плакаты с правильным произношением звуков</t>
  </si>
  <si>
    <t>Плакаты предназначены для формирования правильного произношения звуков (в том числе [Р], [Л], [С] и других). Используются в логопедической практике для визуальной поддержки артикуляционных упражнений и развития фонематического слуха у детей.</t>
  </si>
  <si>
    <t>д704</t>
  </si>
  <si>
    <t>Планшет развивающий</t>
  </si>
  <si>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</si>
  <si>
    <t>д705</t>
  </si>
  <si>
    <t>Пластилин</t>
  </si>
  <si>
    <t>Детский мягкий пластилин предназначен для лепки и художественно-творческой деятельности. Используется для развития мелкой моторики, воображения и сенсорных навыков у детей дошкольного возраста. Подходит для индивидуальных и групповых занятий.</t>
  </si>
  <si>
    <t>д706</t>
  </si>
  <si>
    <t>Пластилины (набор)</t>
  </si>
  <si>
    <t>Набор пластилина с большим количеством цветов предназначен для творческой деятельности детей. Используется в образовательной и развивающей среде ДОУ для лепки, моделирования и художественного самовыражения. Материал безопасен при соблюдении правил эксплуатации.</t>
  </si>
  <si>
    <t>д707</t>
  </si>
  <si>
    <t>Плед / покрывало</t>
  </si>
  <si>
    <t>Плед или покрывало предназначено для использования в групповых помещениях дошкольного учреждения. Применяется в зонах отдыха, релаксации или во время дневного сна. Обеспечивает комфорт и уют, подходит для регулярного использования.</t>
  </si>
  <si>
    <t>д708</t>
  </si>
  <si>
    <t>Подушка детская</t>
  </si>
  <si>
    <t>Детская подушка предназначена для использования в групповых помещениях и зонах отдыха дошкольного учреждения. Обеспечивает комфорт и поддержку во время отдыха. Изготовлена из гипоаллергенных материалов, подходит для регулярного использования.</t>
  </si>
  <si>
    <t>д709</t>
  </si>
  <si>
    <t>Поезд (деревянный)</t>
  </si>
  <si>
    <t>Деревянный поезд предназначен для сюжетно-ролевых и развивающих игр детей дошкольного возраста. Способствует развитию воображения, логического мышления, мелкой моторики и координации движений. Изготовлен из натурального дерева, безопасен для использования в ДОУ.</t>
  </si>
  <si>
    <t>д71</t>
  </si>
  <si>
    <t>Виброплатформа</t>
  </si>
  <si>
    <t>Виброплатформа используется для выполнения упражнений с вибрационной нагрузкой. Применяется при занятиях, направленных на активацию мышц и поддержание физической активности. Работает от сети 220 В, мощность устройства — не менее 200 Вт. Рассчитана на нагрузку до 150 кг.</t>
  </si>
  <si>
    <t>д710</t>
  </si>
  <si>
    <t>Пожарная машина</t>
  </si>
  <si>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</si>
  <si>
    <t>д711</t>
  </si>
  <si>
    <t>Пожарная машинка</t>
  </si>
  <si>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</si>
  <si>
    <t>д712</t>
  </si>
  <si>
    <t>Полевые цветы (обучающие карточки)</t>
  </si>
  <si>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</si>
  <si>
    <t>д713</t>
  </si>
  <si>
    <t>Полицейский вертолет трансформер</t>
  </si>
  <si>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</si>
  <si>
    <t>д714</t>
  </si>
  <si>
    <t>Полоса препятствий модульная (4 элемента)</t>
  </si>
  <si>
    <t>Модульный набор используется для организации двигательной активности с упражнениями на преодоление препятствий. В процессе прохождения выполняются действия на баланс, шагание, перелезание и проползание. Такая активность способствует развитию координации движений и общей моторики. Комплект включает не менее 4 элементов. Конструкция предназначена для использования в помещениях.</t>
  </si>
  <si>
    <t>д715</t>
  </si>
  <si>
    <t>Полотенце детское</t>
  </si>
  <si>
    <t>Детское полотенце предназначено для индивидуального использования детьми в условиях дошкольного учреждения. Изготовлено из гигиеничных, безопасных и легко очищаемых материалов.</t>
  </si>
  <si>
    <t>д716</t>
  </si>
  <si>
    <t>Посуда, игровой набор металлический (11 предметов)</t>
  </si>
  <si>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</si>
  <si>
    <t>д717</t>
  </si>
  <si>
    <t>Потолочный светильник в виде книги</t>
  </si>
  <si>
    <t>Потолочный светильник в форме раскрытой книги, предназначен для общего освещения библиотечного пространства. Декоративный элемент поддерживает тематику чтения и обучения, создаёт уютную атмосферу.</t>
  </si>
  <si>
    <t>д718</t>
  </si>
  <si>
    <t>Потолочный фиберооптический модуль «Тучка»</t>
  </si>
  <si>
    <t>Сенсорный потолочный модуль в виде облака предназначен для создания расслабляющей атмосферы. Оснащён 600 фибероптическими волокнами длиной 2,2 м, управляется пультом ДУ. Размер 120×120 см. Используется в сенсорных и релаксационных зонах ДОУ.</t>
  </si>
  <si>
    <t>д719</t>
  </si>
  <si>
    <t>Предметные картинки разной формы</t>
  </si>
  <si>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</si>
  <si>
    <t>д72</t>
  </si>
  <si>
    <t>Воздушно-пузырьковая колонна с подсветкой</t>
  </si>
  <si>
    <t>Воздушно-пузырьковая колонна используется как декоративный и световой элемент интерьера. Представляет собой акриловую трубу, заполненную водой с подачей воздуха, создающей движение пузырьков. Оснащена RGB-подсветкой с возможностью выбора режимов. Диаметр колонны — не менее 10 см, высота — не менее 120 см.</t>
  </si>
  <si>
    <t>д720</t>
  </si>
  <si>
    <t>Принадлежности для работы на участке (комплект)</t>
  </si>
  <si>
    <t>Комплект предназначен для игровой и трудовой деятельности на участке ДОУ. Включает тачку, лопаты, грабли, метлу, ведро, совок. Материал — полипропилен. Способствует развитию трудовых навыков и координации движений.</t>
  </si>
  <si>
    <t>д721</t>
  </si>
  <si>
    <t>Проектор «Звёздное небо / Северное сияние»</t>
  </si>
  <si>
    <t>Световой проектор предназначен для создания расслабляющей и эмоционально-комфортной атмосферы в помещениях дошкольного учреждения. Оснащён RGB-светодиодами и лазерами, поддерживает до 13 режимов цветовых эффектов. Имеет пульт дистанционного управления, встроенный Bluetooth Hi-Fi динамик, воспроизводит звуки природы (прибой, дождь, гроза, ночной лес). Используется в сенсорных, релаксационных и психологических зонах.</t>
  </si>
  <si>
    <t>д722</t>
  </si>
  <si>
    <t>Прозрачные контейнеры</t>
  </si>
  <si>
    <t xml:space="preserve">Прозрачные пластиковые контейнеры предназначены для хранения и систематизации дидактических материалов, игрушек и принадлежностей. </t>
  </si>
  <si>
    <t>д723</t>
  </si>
  <si>
    <t>Протектор стеновой мягкий, м²</t>
  </si>
  <si>
    <t>Мягкие стеновые панели предназначены для защиты стен и обеспечения безопасности детей в зонах активного движения. Основа — амортизирующий наполнитель (поролон, ППУ). Покрытие — износостойкий влагостойкий материал (ПВХ-ткань, винилискожа, экокожа). Крепление скрытое, края закруглённые. Устойчивы к дезинфекции, гипоаллергенные, соответствуют требованиям использования в ДОУ.</t>
  </si>
  <si>
    <t>д724</t>
  </si>
  <si>
    <t>Пузырь для льда</t>
  </si>
  <si>
    <t>Используется для местного охлаждения при ушибах и других медицинских показаниях.</t>
  </si>
  <si>
    <t>д725</t>
  </si>
  <si>
    <t>Пұшайман Федора</t>
  </si>
  <si>
    <t>Чуковский К.</t>
  </si>
  <si>
    <t>д726</t>
  </si>
  <si>
    <t>Развивающая игра — нейротренажёр «Логопедический пальцеход»</t>
  </si>
  <si>
    <t>Нейротренажёр предназначен для развития мелкой моторики, координации движений и речевых навыков. Может использоваться как стандартный пальцеход и как база для логопедических упражнений. Размер основы: 7,5×23 см. В комплекте 31 фишка.</t>
  </si>
  <si>
    <t>д727</t>
  </si>
  <si>
    <t>Развивающая игра «Всякая всячина»</t>
  </si>
  <si>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</si>
  <si>
    <t>д728</t>
  </si>
  <si>
    <t>Развивающая игра «Кто что ест?»</t>
  </si>
  <si>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</si>
  <si>
    <t>д729</t>
  </si>
  <si>
    <t>Развивающая игра «Математика для дошкольников»</t>
  </si>
  <si>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</si>
  <si>
    <t>д73</t>
  </si>
  <si>
    <t>Восковые карандаши</t>
  </si>
  <si>
    <t>Восковые карандаши используются для рисования и раскрашивания. Обеспечивают плотное нанесение цвета и плавное скольжение по поверхности бумаги. В набор входит не менее 24 карандашей различных цветов. Подходят для художественных и творческих работ.</t>
  </si>
  <si>
    <t>д730</t>
  </si>
  <si>
    <t>Развивающая игра «Считай и проверяй»</t>
  </si>
  <si>
    <t>Настольная развивающая игра для формирования навыков счёта и сравнения. В комплект входят двусторонние карточки-задания, фигурки, элементы весов и основа. Используется для развития логического мышления и математических представлений.</t>
  </si>
  <si>
    <t>д731</t>
  </si>
  <si>
    <t>Развивающая игра «Цветные рыбки»</t>
  </si>
  <si>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</si>
  <si>
    <t>д732</t>
  </si>
  <si>
    <t>Развивающая игра с разноцветными стаканами</t>
  </si>
  <si>
    <t>Игра предназначена для развития цветового восприятия, координации движений, логического мышления и моторики у детей дошкольного возраста.</t>
  </si>
  <si>
    <t>д733</t>
  </si>
  <si>
    <t>Развивающая игрушка «Весёлые совята» (37 элементов)</t>
  </si>
  <si>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</si>
  <si>
    <t>д734</t>
  </si>
  <si>
    <t>Развивающая игрушка «Моя первая лаборатория. Колбы с подставкой» (6 элементов)</t>
  </si>
  <si>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</si>
  <si>
    <t>д735</t>
  </si>
  <si>
    <t>Развивающая игрушка «Моя первая лаборатория. Юный исследователь» (22 элемента)</t>
  </si>
  <si>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</si>
  <si>
    <t>д736</t>
  </si>
  <si>
    <t>Развивающая игрушка «Ягодный пирог» (68 элементов)</t>
  </si>
  <si>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</si>
  <si>
    <t>д737</t>
  </si>
  <si>
    <t>Развивающая настольная игра «Домино. Фрукты и овощи»</t>
  </si>
  <si>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</si>
  <si>
    <t>д738</t>
  </si>
  <si>
    <t>Развивающая настольная игра «Chair stack»</t>
  </si>
  <si>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</si>
  <si>
    <t>д739</t>
  </si>
  <si>
    <t>Развивающая настольная игра для развития пространственного мышленпия</t>
  </si>
  <si>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</si>
  <si>
    <t>д74</t>
  </si>
  <si>
    <t>Гантели детские пластмассовые</t>
  </si>
  <si>
    <t>Детские гантели используются для выполнения простых физических упражнений. Представляют собой неразборную конструкцию с пластиковым покрытием. Вес одной гантели составляет не более 0,5 кг. Применяются при организации двигательной активности.</t>
  </si>
  <si>
    <t>д740</t>
  </si>
  <si>
    <t>Развивающая настольная логопедическая игра «Я говорю» (фразовый конструктор)</t>
  </si>
  <si>
    <t>Логопедическая игра предназначена для формирования связной речи. Включает карточки на липучках для составления фраз. Используется в работе логопеда с детьми от 3 до 7 лет.</t>
  </si>
  <si>
    <t>д741</t>
  </si>
  <si>
    <t>Развивающая настольная магнитная игра «Учимся сортировать мусор»</t>
  </si>
  <si>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</si>
  <si>
    <t>д742</t>
  </si>
  <si>
    <t>Развивающая пирамидка</t>
  </si>
  <si>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</si>
  <si>
    <t>д743</t>
  </si>
  <si>
    <t>Развивающие игрушки «Милый ёжик»</t>
  </si>
  <si>
    <t>Сенсорная развивающая игрушка предназначена для стимуляции тактильных ощущений и мелкой моторики. Материал — пластик. Используется в индивидуальных и групповых играх.</t>
  </si>
  <si>
    <t>д744</t>
  </si>
  <si>
    <t>Развивающие карточки</t>
  </si>
  <si>
    <t>Развивающие карточки предназначены для запуска и развития речи у детей дошкольного возраста. Используются в логопедической и коррекционной работе.</t>
  </si>
  <si>
    <t>д745</t>
  </si>
  <si>
    <t>Развивающие карточки «Начинаю говорить» (набор)</t>
  </si>
  <si>
    <t>Набор включает двусторонние карточки с первыми словами и изображениями для работы над словарём. В процессе занятий выполняется называние, группировка по темам и составление простых предложений. В комплект входит не менее 50 карточек и буклет с заданиями. Материал подходит для индивидуальной и подгрупповой работы. Рассчитан на многократное использование.</t>
  </si>
  <si>
    <t>д746</t>
  </si>
  <si>
    <t>Развивающие карточки для малышей IQ-ZABIAKA</t>
  </si>
  <si>
    <t>Тактильные карточки предназначены для сенсорного развития и раннего обучения. Используются для знакомства с животными и стимуляции тактильного восприятия.</t>
  </si>
  <si>
    <t>д747</t>
  </si>
  <si>
    <t>Развивающий набор «Весёлые звуки»</t>
  </si>
  <si>
    <t>Развивающий набор предназначен для тренировки слуха, памяти и мышления. Используется в образовательной и коррекционной деятельности с детьми дошкольного возраста.</t>
  </si>
  <si>
    <t>д748</t>
  </si>
  <si>
    <t>Развивающий набор «Волшебная мозаика»</t>
  </si>
  <si>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</si>
  <si>
    <t>д749</t>
  </si>
  <si>
    <t>Развивающий набор «Кубик с мозаикой»</t>
  </si>
  <si>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</si>
  <si>
    <t>д75</t>
  </si>
  <si>
    <t>Геометрическая головоломка «Цветок»</t>
  </si>
  <si>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</si>
  <si>
    <t>д750</t>
  </si>
  <si>
    <t>Развитие речи и художественная литература</t>
  </si>
  <si>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</si>
  <si>
    <t>д751</t>
  </si>
  <si>
    <t>Раздаточные материалы для занятий по рисованию</t>
  </si>
  <si>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</si>
  <si>
    <t>д752</t>
  </si>
  <si>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</si>
  <si>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</si>
  <si>
    <t>д753</t>
  </si>
  <si>
    <t>Раздаточные материалы по аппликации 2+ лет</t>
  </si>
  <si>
    <t>Раздаточные материалы предназначены для выполнения аппликационных заданий и практических работ. Используются при освоении приёмов наклеивания и комбинирования элементов. Задания направлены на формирование представлений о форме, цвете и композиции. Применяются в индивидуальной и групповой работе.</t>
  </si>
  <si>
    <t>д754</t>
  </si>
  <si>
    <t>Раздаточные материалы по развитию речи и художественной литературе</t>
  </si>
  <si>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</si>
  <si>
    <t>д755</t>
  </si>
  <si>
    <t>Разделитель для папки</t>
  </si>
  <si>
    <t>Пластиковые разделители с индексами предназначены для систематизации документов, методических материалов и рабочей документации. Используются в папках формата А4, обеспечивают удобство навигации и хранения.</t>
  </si>
  <si>
    <t>д756</t>
  </si>
  <si>
    <t>Ракушки морские натуральные для декора</t>
  </si>
  <si>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</si>
  <si>
    <t>д757</t>
  </si>
  <si>
    <t>Рамка-вкладыш «Кто где живёт»</t>
  </si>
  <si>
    <t>Рамка-вкладыш представляет собой деревянную основу с фигурными элементами по тематике среды обитания животных. В процессе работы выполняется подбор и размещение деталей в соответствующие отверстия. Такая деятельность способствует развитию наглядно-образного мышления и навыков соотнесения. Набор включает не менее 11 элементов.</t>
  </si>
  <si>
    <t>д758</t>
  </si>
  <si>
    <t>Раскраска «Жабайы жануарларды білесің бе?»</t>
  </si>
  <si>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</si>
  <si>
    <t>д759</t>
  </si>
  <si>
    <t>Раскраска «Kazakhstan. Astana»</t>
  </si>
  <si>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</si>
  <si>
    <t>д76</t>
  </si>
  <si>
    <t>Гигрометр</t>
  </si>
  <si>
    <t>Гигрометр 0-25 градусов</t>
  </si>
  <si>
    <t>д760</t>
  </si>
  <si>
    <t>Растения (цветы)</t>
  </si>
  <si>
    <t>Неприхотливые в уходе, безопасные для детей растения, не имеющие острых элементов и токсичных свойств. Высота растений — 400–800 мм, диаметр горшка — 180–250 мм.</t>
  </si>
  <si>
    <t>д761</t>
  </si>
  <si>
    <t>Растения с крупными листьями для изучения формы</t>
  </si>
  <si>
    <t>Растения с крупными выразительными листьями предназначены для наглядного изучения формы, размера и структуры листа в образовательной деятельности. Используются в экологическом воспитании, сенсорном развитии и ознакомлении с окружающим миром. Подбираются нетоксичные, безопасные для детей виды, устойчивые к комнатным условиям.</t>
  </si>
  <si>
    <t>д762</t>
  </si>
  <si>
    <t>Растения, набор</t>
  </si>
  <si>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</si>
  <si>
    <t>д763</t>
  </si>
  <si>
    <t>ренажёр логопедический, перекидной. Звукотренировка. Чистоговорки, игры</t>
  </si>
  <si>
    <t>Логопедический тренажёр предназначен для формирования и автоматизации звуков [Р], [Р’], [Л], [Л’], развития фонематического слуха и навыков анализа звуков в словах. Используется в индивидуальной и подгрупповой логопедической работе. Перекидные карточки соединены пружиной, что предотвращает их потерю. Цветовая маркировка твёрдых и мягких согласных облегчает восприятие материала.</t>
  </si>
  <si>
    <t>д765</t>
  </si>
  <si>
    <t>Ростомер механический напольный РП «Эконом»</t>
  </si>
  <si>
    <t>Используется для измерения роста детей. Устойчивый, простой в эксплуатации, соответствует требованиям ДОУ.</t>
  </si>
  <si>
    <t>д766</t>
  </si>
  <si>
    <t>Ростомер настенный</t>
  </si>
  <si>
    <t>Ростомер используется для измерения роста. Изготовлен в виде наклеек, размещаемых на стене. Высота шкалы составляет около 135 см. Материал — плёнка.</t>
  </si>
  <si>
    <t>д767</t>
  </si>
  <si>
    <t>Рукомойник с коленным управлением ce-dke50x40</t>
  </si>
  <si>
    <t>Нержавеющая сталь 430; Параметры: 500X400X310 mm</t>
  </si>
  <si>
    <t>д768</t>
  </si>
  <si>
    <t>Ручная кукла животных</t>
  </si>
  <si>
    <t>Ручные куклы животных предназначены для сюжетно-ролевых игр, театрализованных занятий и развития речи. Используются в коррекционной, игровой и образовательной деятельности.</t>
  </si>
  <si>
    <t>д769</t>
  </si>
  <si>
    <t>Салфетки</t>
  </si>
  <si>
    <t>Салфетки влажные и сухие предназначены для санитарно-гигиенических нужд, ухода за поверхностями и соблюдения чистоты в помещениях дошкольного учреждения.</t>
  </si>
  <si>
    <t>д77</t>
  </si>
  <si>
    <t>Гидропонная установка учебно-демонстрационная</t>
  </si>
  <si>
    <t>Гидропонная установка используется для наглядного выращивания растений без использования грунта. Позволяет наблюдать процесс развития корневой системы и надземной части растений. Габаритные размеры установки составляют не менее 205×205×50 мм. Конструкция рассчитана на эксплуатацию в помещениях.</t>
  </si>
  <si>
    <t>д770</t>
  </si>
  <si>
    <t>Сан сауалдың жауабы. Энциклопедиясы</t>
  </si>
  <si>
    <t>под ред. П. Френсис, Р. Хьюстон (перевод Шарипова А.)</t>
  </si>
  <si>
    <t>д771</t>
  </si>
  <si>
    <t>Саят. Казахская традиционная охота. (рус., англ.)</t>
  </si>
  <si>
    <t>д772</t>
  </si>
  <si>
    <t>Саятшылық. Қазақтың дәстурлі аншылығы (каз., англ.)</t>
  </si>
  <si>
    <t>д773</t>
  </si>
  <si>
    <t xml:space="preserve">Сәулетші </t>
  </si>
  <si>
    <t>Игра «Сәулетші» включает в себя 200 шт палочки, инструкцию</t>
  </si>
  <si>
    <t>д774</t>
  </si>
  <si>
    <t>Сборник стихов к 110-летию поэта. Тажибаев А. (Рухани жаңғыру)</t>
  </si>
  <si>
    <t>Тажибаев А.</t>
  </si>
  <si>
    <t>д775</t>
  </si>
  <si>
    <t>Светлые дни (о Б.Момышулы)</t>
  </si>
  <si>
    <t>Ахметова З.</t>
  </si>
  <si>
    <t>д776</t>
  </si>
  <si>
    <t>Светодиодная лента для оформления с пультом RGB</t>
  </si>
  <si>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</si>
  <si>
    <t>д777</t>
  </si>
  <si>
    <t>Светодиодная лента RGB с пультом</t>
  </si>
  <si>
    <t>д778</t>
  </si>
  <si>
    <t>Свисток</t>
  </si>
  <si>
    <t>Свисток предназначен для подачи звуковых сигналов во время подвижных игр, занятий по физическому развитию и организации дисциплины. Изготовлен из безопасных материалов, прост в использовании, устойчив к частому применению.</t>
  </si>
  <si>
    <t>д78</t>
  </si>
  <si>
    <t>Гимнастическая скамейка</t>
  </si>
  <si>
    <t>Гимнастическая скамейка используется при выполнении физических упражнений и двигательных заданий. Представляет собой устойчивую опорную конструкцию. Длина изделия —240 см, ширина — 24 см, высота — 30 см. Рассчитана на нагрузку до 100 кг.</t>
  </si>
  <si>
    <t>д780</t>
  </si>
  <si>
    <t>Сейф несгораемый</t>
  </si>
  <si>
    <t>Несгораемый сейф предназначен для хранения важных документов и ценностей. Обеспечивает защиту содержимого от огня и механических воздействий.</t>
  </si>
  <si>
    <t>д783</t>
  </si>
  <si>
    <t>Сенсорные звуковые цилиндры</t>
  </si>
  <si>
    <t>Сенсорные звуковые цилиндры предназначены для развития слухового восприятия, внимания и различения звуков. Используются в сенсорных и коррекционных занятиях.</t>
  </si>
  <si>
    <t>д784</t>
  </si>
  <si>
    <t>Сенсорный лоток для настольных игр</t>
  </si>
  <si>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</si>
  <si>
    <t>д786</t>
  </si>
  <si>
    <t>Сенсорный стол с песком</t>
  </si>
  <si>
    <t>Сенсорный стол с песком используется в психологической и коррекционной работе. Развивает тактильную чувствительность, мелкую моторику, внимание и способствует эмоциональной стабилизации.</t>
  </si>
  <si>
    <t>д787</t>
  </si>
  <si>
    <t>Серии картинок «Времена года»</t>
  </si>
  <si>
    <t>Дидактический комплект предназначен для формирования представлений о временах года, природе, жизни животных и деятельности людей. Используется в образовательной работе, соответствует возрастным особенностям детей.</t>
  </si>
  <si>
    <t>д788</t>
  </si>
  <si>
    <t>Серия "Мектеп кiтапханасы" - "Школьная библиотека"</t>
  </si>
  <si>
    <t>д789</t>
  </si>
  <si>
    <t>Сиқырлы математика. Математика өмірдің барлық саласында</t>
  </si>
  <si>
    <t>Болл Дж.</t>
  </si>
  <si>
    <t>д79</t>
  </si>
  <si>
    <t>Глина для лепки</t>
  </si>
  <si>
    <t>Глина используется для лепки и формообразования. Подходит для ручной работы и использования на гончарном круге. Материал самозатвердевающий, нетоксичный и готовый к применению. Применяется при выполнении творческих и художественных работ.</t>
  </si>
  <si>
    <t>д790</t>
  </si>
  <si>
    <t>Скакалки (по возрасту)</t>
  </si>
  <si>
    <t>Скакалки предназначены для занятий физической культурой и подвижных игр. Подбираются по возрасту детей, способствуют развитию координации, выносливости и моторики.</t>
  </si>
  <si>
    <t>д791</t>
  </si>
  <si>
    <t>Скалка для творчества</t>
  </si>
  <si>
    <t>Скалка предназначена для лепки из пластилина, теста и глины. Изготовлена из безопасных материалов, используется в творческой и изобразительной деятельности.</t>
  </si>
  <si>
    <t>д793</t>
  </si>
  <si>
    <t>Скатерть на стол</t>
  </si>
  <si>
    <t>Скатерть предназначена для защиты поверхности стола и оформления пространства. Изготовлена из износостойкого материала, легко очищается.</t>
  </si>
  <si>
    <t>д794</t>
  </si>
  <si>
    <t>Скейтборд (пенниборд)</t>
  </si>
  <si>
    <t>Скейтборд предназначен для активного отдыха и развития координации движений. Используется под контролем взрослых в специально отведённых зонах.</t>
  </si>
  <si>
    <t>д795</t>
  </si>
  <si>
    <t>Скоро в школу</t>
  </si>
  <si>
    <t>Елубаев Е.</t>
  </si>
  <si>
    <t>д796</t>
  </si>
  <si>
    <t>Совместная эластичная верёвка</t>
  </si>
  <si>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</si>
  <si>
    <t>д797</t>
  </si>
  <si>
    <t>Соединяющиеся кубики (100 элементов)</t>
  </si>
  <si>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</si>
  <si>
    <t>д798</t>
  </si>
  <si>
    <t>Соль для монтажа (высший сорт)</t>
  </si>
  <si>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</si>
  <si>
    <t>д799</t>
  </si>
  <si>
    <t>Соль для монтажа. Высший сорт. (с
доставкой)</t>
  </si>
  <si>
    <t>д8</t>
  </si>
  <si>
    <t>«3Д ұшбұрыш» (Интеллектум)</t>
  </si>
  <si>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</si>
  <si>
    <t>д80</t>
  </si>
  <si>
    <t>Глобус физический</t>
  </si>
  <si>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</si>
  <si>
    <t>д800</t>
  </si>
  <si>
    <t>Сортер «Гномики»</t>
  </si>
  <si>
    <t>Деревянный сортер предназначен для развития логического мышления, мелкой моторики и навыков сортировки по цвету и форме.</t>
  </si>
  <si>
    <t>д801</t>
  </si>
  <si>
    <t>Сортер «Лесное дерево»</t>
  </si>
  <si>
    <t>Развивающая игра в форме дерева с фигурками животных и птиц. Используется для развития логики, моторики и познавательных навыков.</t>
  </si>
  <si>
    <t>д802</t>
  </si>
  <si>
    <t>Сортер «Рыбалка»</t>
  </si>
  <si>
    <t>Магнитный сортер предназначен для развития координации рук, внимания и точности движений.</t>
  </si>
  <si>
    <t>д803</t>
  </si>
  <si>
    <t>Сортер деревянный «Волшебный сундучок»</t>
  </si>
  <si>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</si>
  <si>
    <t>д804</t>
  </si>
  <si>
    <t>Сортер для шариков</t>
  </si>
  <si>
    <t>Деревянный сортер предназначен для развития координации движений, внимания и навыков сортировки.</t>
  </si>
  <si>
    <t>д805</t>
  </si>
  <si>
    <t>Сортер разноцветные фигурки</t>
  </si>
  <si>
    <t>Сортер предназначен для обучения сортировке по цвету и форме. Развивает внимание и мелкую моторику.</t>
  </si>
  <si>
    <t>д806</t>
  </si>
  <si>
    <t>Сортер фигур</t>
  </si>
  <si>
    <t>Деревянный сортер с платформой и геометрическими фигурками. Используется для развития логического мышления и моторики.</t>
  </si>
  <si>
    <t>д807</t>
  </si>
  <si>
    <t>Сортировочный набор</t>
  </si>
  <si>
    <t>Набор предназначен для обучения сортировке и захвату предметов. Включает деревянные стаканчики, шары, ложку и пинцет.</t>
  </si>
  <si>
    <t>д808</t>
  </si>
  <si>
    <t>Спатифиллум</t>
  </si>
  <si>
    <t>Комнатное растение с крупными листьями, используется для озеленения помещений и изучения формы листа. Способствует улучшению микроклимата и формированию экологических представлений у детей.</t>
  </si>
  <si>
    <t>д809</t>
  </si>
  <si>
    <t>Стеки для лепки</t>
  </si>
  <si>
    <t>Детский набор стеков для лепки, 4 штуки. Предназначен для работы с пластилином, тестом и глиной. Развивает мелкую моторику, координацию движений и творческие способности. Материал — безопасный пластик.</t>
  </si>
  <si>
    <t>д81</t>
  </si>
  <si>
    <t>Головоломка с животными</t>
  </si>
  <si>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</si>
  <si>
    <t>д810</t>
  </si>
  <si>
    <t>Стеллаж «Чудо домик»</t>
  </si>
  <si>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</si>
  <si>
    <t>д811</t>
  </si>
  <si>
    <t>Стенды для объявлений</t>
  </si>
  <si>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</si>
  <si>
    <t>д812</t>
  </si>
  <si>
    <t>Стенды для обьявления</t>
  </si>
  <si>
    <t>д813</t>
  </si>
  <si>
    <t>Степ-платформа детская</t>
  </si>
  <si>
    <t>Детская степ-платформа размером 45×28 см. Используется для физических упражнений, развития координации, выносливости и двигательной активности.</t>
  </si>
  <si>
    <t>д814</t>
  </si>
  <si>
    <t>Стетоскоп</t>
  </si>
  <si>
    <t>Медицинский инструмент для прослушивания дыхания и сердечных тонов.</t>
  </si>
  <si>
    <t>д815</t>
  </si>
  <si>
    <t>Стол игровой развивающий для конструктора</t>
  </si>
  <si>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</si>
  <si>
    <t>д816</t>
  </si>
  <si>
    <t>Строительные блоки</t>
  </si>
  <si>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</si>
  <si>
    <t>д817</t>
  </si>
  <si>
    <t>Строительный набор из крупных кубиков, 49 элементов</t>
  </si>
  <si>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</si>
  <si>
    <t>д818</t>
  </si>
  <si>
    <t>Сумка для девочек</t>
  </si>
  <si>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</si>
  <si>
    <t>д819</t>
  </si>
  <si>
    <t>Сумка с ручками</t>
  </si>
  <si>
    <t>Детская сумка с ручками предназначена для использования в детском саду (переноска личных вещей, сменной одежды, пособий). Материал — ПВХ. Размер — 22×23 см.</t>
  </si>
  <si>
    <t>д82</t>
  </si>
  <si>
    <t>Гончарный круг детский</t>
  </si>
  <si>
    <t>Гончарный круг используется для выполнения лепных и формовочных работ с глиной. Представляет собой низкооборотное устройство, обеспечивающее плавное вращение. Применяется для создания простых изделий: сосудов, тарелок и форм. Работа с кругом способствует развитию координации движений и творческого мышления. Конструкция рассчитана на безопасное использование.</t>
  </si>
  <si>
    <t>д820</t>
  </si>
  <si>
    <t>Сумочки</t>
  </si>
  <si>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</si>
  <si>
    <t>д821</t>
  </si>
  <si>
    <t>Сундук (сандық)</t>
  </si>
  <si>
    <t>Декоративный сундук для хранения книг, настольных игр и текстильных элементов. Используется также как интерьерный элемент. Материал — дерево или ЛДСП.</t>
  </si>
  <si>
    <t>д822</t>
  </si>
  <si>
    <t>Сундучок логопеда</t>
  </si>
  <si>
    <t>Многофункциональный логопедический комплект, предназначенный для коррекционно-развивающей работы с детьми. Включает программное обеспечение на USB-носителе,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t>
  </si>
  <si>
    <t>д824</t>
  </si>
  <si>
    <t>Сухой бассейн с шариками</t>
  </si>
  <si>
    <t>Сухой бассейн предназначен для сенсорной стимуляции, развития моторики и эмоциональной разгрузки детей. Используется в групповых и индивидуальных занятиях.</t>
  </si>
  <si>
    <t>д825</t>
  </si>
  <si>
    <t>Сухой интерактивный бассейн угловой</t>
  </si>
  <si>
    <t>Угловой сухой бассейн с подсветкой. Материал — поролон с покрытием из винилискожи. Радиус — 1,7 м. Оснащён гибкой мультиколорной подсветкой с пультом дистанционного управления и различными режимами свечения.</t>
  </si>
  <si>
    <t>д826</t>
  </si>
  <si>
    <t>Сұр көжек. Ертегі.Боямақ</t>
  </si>
  <si>
    <t>д827</t>
  </si>
  <si>
    <t>Счётные палочки</t>
  </si>
  <si>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</si>
  <si>
    <t>д828</t>
  </si>
  <si>
    <t>Счётный материал</t>
  </si>
  <si>
    <t>Касса цифр и счётных материалов предназначена для обучения детей основам счёта. Материал — пластик, элементы безопасны для использования в ДОУ.</t>
  </si>
  <si>
    <t>д829</t>
  </si>
  <si>
    <t>Счётный материал «Матрёшки» (деревянный набор)</t>
  </si>
  <si>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</si>
  <si>
    <t>д83</t>
  </si>
  <si>
    <t>Горшечные растения с ароматными травами (базилик, тимьян, розмарин, мята, орегано, шалфей)</t>
  </si>
  <si>
    <t>Горшечные растения с ароматными травами используются для проведения экспериментов и изучения растений для детей ДОУ. Применяются для визуального и сенсорного восприятия запахов натуральных растений. Размещаются в помещениях в декоративных ёмкостях. Не требуют сложного ухода и подходят для эксплуатации в закрытых пространствах.</t>
  </si>
  <si>
    <t>д830</t>
  </si>
  <si>
    <t>Счёты учебные для формирования навыков счёта</t>
  </si>
  <si>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</si>
  <si>
    <t>д832</t>
  </si>
  <si>
    <t>Сюжетные картинки</t>
  </si>
  <si>
    <t>Набор сюжетных картинок используется для развития речи, мышления и воображения детей. Применяется в индивидуальной и групповой работе.</t>
  </si>
  <si>
    <t>д833</t>
  </si>
  <si>
    <t>Сюжетные картинки / комплекты</t>
  </si>
  <si>
    <t>Набор сюжетных картинок по теме «Окружающий мир». Материал — бумага, картон. Используется в образовательной деятельности ДОУ.</t>
  </si>
  <si>
    <t>д834</t>
  </si>
  <si>
    <t>Сюжетные картинки для детей раннего возраста</t>
  </si>
  <si>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</si>
  <si>
    <t>д835</t>
  </si>
  <si>
    <t>Таза мінсіз асыл сөз (XV-XVII ғасырлардағы жыраулардың)</t>
  </si>
  <si>
    <t>д836</t>
  </si>
  <si>
    <t>Тактильно-развивающая панель «Гусеница»</t>
  </si>
  <si>
    <t>Настенная тактильно-сенсорная панель из дерева, предназначена для детей от 3 лет. Состоит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t>
  </si>
  <si>
    <t>д837</t>
  </si>
  <si>
    <t>Тактильные "Мячики-пищалки"</t>
  </si>
  <si>
    <t>Игравой набор сенсорной- тактильных мячиков 6 штук. Материал резина</t>
  </si>
  <si>
    <t>д838</t>
  </si>
  <si>
    <t>Тактильные дорожки</t>
  </si>
  <si>
    <t>Сенсорные дорожки с различными поверхностями предназначены для развития тактильного восприятия, координации движений и баланса. Материал покрытия — текстиль.</t>
  </si>
  <si>
    <t>д839</t>
  </si>
  <si>
    <t>Тактильные карточки</t>
  </si>
  <si>
    <t>Тактильные карточки используются для развития сенсорного восприятия, речи и мелкой моторики у детей дошкольного возраста.</t>
  </si>
  <si>
    <t>д84</t>
  </si>
  <si>
    <t>Грузовые машинки с веревкой</t>
  </si>
  <si>
    <t>Грузовые машинки с веревкой, длина не менее 18 см, высота не менее 11 см, в комплекте разноцветные игрушки (красный, голубой, желтый). Предназначены для сюжетно-ролевых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t>
  </si>
  <si>
    <t>д840</t>
  </si>
  <si>
    <t>Тактильные мешочки разноцветные</t>
  </si>
  <si>
    <t>Набор тактильных мешочков предназначен для развития мелкой моторики, тактильного восприятия и координации движений. Размер мешочков — 9×9 см, количество — 3 шт., общий вес — 60 г. Дополнительно в комплекте кинезио-мячи диаметром 6 см — 2 шт. Материалы безопасные и прочные.</t>
  </si>
  <si>
    <t>д841</t>
  </si>
  <si>
    <t>Тарихи тулғалар</t>
  </si>
  <si>
    <t>Б.Тогысбаев, А.Сужикова</t>
  </si>
  <si>
    <t>д842</t>
  </si>
  <si>
    <t>Таяқшалар</t>
  </si>
  <si>
    <t xml:space="preserve">Интеллектум. </t>
  </si>
  <si>
    <t>д843</t>
  </si>
  <si>
    <t xml:space="preserve">Таяқшалар </t>
  </si>
  <si>
    <t>д844</t>
  </si>
  <si>
    <t>Театр теней «Колобок»</t>
  </si>
  <si>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</si>
  <si>
    <t>д845</t>
  </si>
  <si>
    <t xml:space="preserve">тез тап </t>
  </si>
  <si>
    <t>д846</t>
  </si>
  <si>
    <t>Тележка для белья</t>
  </si>
  <si>
    <t>Тележка предназначена для сбора, хранения и транспортировки чистого и использованного белья в помещениях дошкольной организации. Конструкция устойчивая, мобильная, оснащена колёсами для удобного перемещения. Материалы прочные, моющиеся, безопасные для эксплуатации в детских учреждениях.</t>
  </si>
  <si>
    <t>д847</t>
  </si>
  <si>
    <t>Тележка для белья tekne 2700k</t>
  </si>
  <si>
    <t>Внешние размеры: 640x1040x790h мм; Внутренние размеры: 590x930x515h мм; Грузоподъемность: 250 кг</t>
  </si>
  <si>
    <t>д848</t>
  </si>
  <si>
    <t>Тележка для гастроемкостей 1-1 ce-agn1-1x16</t>
  </si>
  <si>
    <t>Нержавеющая сталь AISI 430; Вместимость тележки: 16; Размеры подноса: GN 1/1; Параметры: 383x530x1650 mm</t>
  </si>
  <si>
    <t>д849</t>
  </si>
  <si>
    <t>Тележка для мелкого инвентаря</t>
  </si>
  <si>
    <t>Тележка предназначена для хранения и перемещения мелкого хозяйственного, игрового или спортивного инвентаря в помещениях ДОУ. Обеспечивает удобную организацию пространства и мобильность. Конструкция устойчивая, материалы износостойкие и безопасные.</t>
  </si>
  <si>
    <t>д85</t>
  </si>
  <si>
    <t>Гуашь художественная (набор)</t>
  </si>
  <si>
    <t>Гуашь используется для выполнения живописных и декоративных работ. Применяется при рисовании кистью и создании цветовых композиций. Позволяет получать плотное матовое покрытие и смешивать цвета. Подходит для занятий по изобразительной деятельности и творческих работ.</t>
  </si>
  <si>
    <t>д850</t>
  </si>
  <si>
    <t>Тележка сервисная 2-ур. ce-asi55x86x2</t>
  </si>
  <si>
    <t>Нержавеющая сталь AISI 430; С 2 полками  и 4 колесами; Параметры: 550x860x900 mm</t>
  </si>
  <si>
    <t>д851</t>
  </si>
  <si>
    <t>Телескопический жираф</t>
  </si>
  <si>
    <t>Развивающая игра для детей дошкольного возраста. Набор включает цветные фигурки жирафов с телескопическим механизмом. Используется для развития мелкой моторики, координации движений, цветового восприятия и логического мышления. Материал — безопасный пластик.</t>
  </si>
  <si>
    <t>д852</t>
  </si>
  <si>
    <t>Телескопический стаканчик с крышкой</t>
  </si>
  <si>
    <t>Телескопический складной стаканчик предназначен для использования в быту и образовательной деятельности. Компактный, удобен для хранения и переноски. Материал — пластик. Объём — 100 мл. Может использоваться для воды, занятий творчеством и хозяйственных нужд.</t>
  </si>
  <si>
    <t>д853</t>
  </si>
  <si>
    <t>Термоконтейнер</t>
  </si>
  <si>
    <t>Контейнер для временного хранения и транспортировки медикаментов с поддержанием температурного режима.</t>
  </si>
  <si>
    <t>д854</t>
  </si>
  <si>
    <t>Прибор для измерения температуры тела. Используется в медицинском кабинете ДОУ.</t>
  </si>
  <si>
    <t>д855</t>
  </si>
  <si>
    <t>Техническая раковина ce-me50x58</t>
  </si>
  <si>
    <t>Нержавеющая сталь AISI 430; Мойка 40x40x25 см; Параметры: 500x580x800 мм</t>
  </si>
  <si>
    <t>д856</t>
  </si>
  <si>
    <t>Тихая книга</t>
  </si>
  <si>
    <t>Развивающая фетровая книга предназначена для сенсорного, познавательного и речевого развития детей дошкольного возраста. Используется в индивидуальных и подгрупповых занятиях. Способствует развитию мелкой моторики, внимания, самостоятельности. Материалы мягкие, безопасные, износостойкие.</t>
  </si>
  <si>
    <t>д857</t>
  </si>
  <si>
    <t>Ткани</t>
  </si>
  <si>
    <t>Ткань предназначена для творческой деятельности: аппликаций, пошива игрушек, квилтинга, пэчворка, скрапбукинга. Размер полотна — 50×50 см, ширина — 50 см. Используется в образовательной и художественно-творческой работе.</t>
  </si>
  <si>
    <t>д858</t>
  </si>
  <si>
    <t>Ткани фетр</t>
  </si>
  <si>
    <t>Цветной фетр предназначен для изготовления аппликаций, поделок и развивающих пособий. Легко режется, клеится, безопасен для детского творчества. Используется в образовательной деятельности ДОУ.</t>
  </si>
  <si>
    <t>д859</t>
  </si>
  <si>
    <t>Тоннели тканевые</t>
  </si>
  <si>
    <t>Мягкие тканевые тоннели предназначены для подвижных игр, физкультурных занятий и ЛФК. Используются для развития координации, ловкости, равновесия и общей моторики. Изготовлены из прочной влагостойкой ткани с мягким наполнителем, безопасны для детей.</t>
  </si>
  <si>
    <t>д86</t>
  </si>
  <si>
    <t>Губки для сглаживания (набор)</t>
  </si>
  <si>
    <t>Набор губок используется при работе с глиной и пластичными материалами. Применяется для увлажнения поверхности, сглаживания формы и удаления мелких неровностей на разных этапах лепки. Использование отдельных губок для каждого этапа позволяет сохранять чистоту изделий. В комплект входит не менее 12 губок.</t>
  </si>
  <si>
    <t>д860</t>
  </si>
  <si>
    <t>Тонометр</t>
  </si>
  <si>
    <t>Прибор для измерения артериального давления, используется при медицинских осмотрах детей и персонала.</t>
  </si>
  <si>
    <t>д861</t>
  </si>
  <si>
    <t>Төрт түлік сөздігі</t>
  </si>
  <si>
    <t>д862</t>
  </si>
  <si>
    <t>Традесканция</t>
  </si>
  <si>
    <t>Комнатное растение с декоративными листьями, используется для озеленения помещений дошкольного учреждения. Способствует формированию эстетического восприятия и ознакомлению с живой природой.</t>
  </si>
  <si>
    <t>д863</t>
  </si>
  <si>
    <t>Трактор</t>
  </si>
  <si>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</si>
  <si>
    <t>д864</t>
  </si>
  <si>
    <t>Три задачи. Сказка</t>
  </si>
  <si>
    <t>д865</t>
  </si>
  <si>
    <t>Туалетный набор</t>
  </si>
  <si>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</si>
  <si>
    <t>д866</t>
  </si>
  <si>
    <t>Тумба для ИЗО-деятельности</t>
  </si>
  <si>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</si>
  <si>
    <t>д867</t>
  </si>
  <si>
    <t>Тумба для кухонного гарнитура с полкой</t>
  </si>
  <si>
    <t>Стол-тумба купе СРО-К-8/6СНК (800*600*850-870 мм)</t>
  </si>
  <si>
    <t>д868</t>
  </si>
  <si>
    <t>Түрлі түсті бөлшектер</t>
  </si>
  <si>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</si>
  <si>
    <t>д869</t>
  </si>
  <si>
    <t>Тұнғыштар</t>
  </si>
  <si>
    <t>Ш.Күмісбаев</t>
  </si>
  <si>
    <t>д87</t>
  </si>
  <si>
    <t>Дәрумен кейіпкерлермен бірге оқып - ұйренеміз. Картоп мырза.</t>
  </si>
  <si>
    <t>д870</t>
  </si>
  <si>
    <t>Уголок уединения</t>
  </si>
  <si>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</si>
  <si>
    <t>д871</t>
  </si>
  <si>
    <t>Уголок уюта</t>
  </si>
  <si>
    <t>Комплекс для релаксации и психологического комфорта детей. Включает бескаркасное кресло, подвесной шатёр, плед и мягкие подушки. Используется для отдыха, релаксации и коррекционной работы. Материалы мягкие, безопасные, износостойкие.</t>
  </si>
  <si>
    <t>д872</t>
  </si>
  <si>
    <t>Уголок-кухня</t>
  </si>
  <si>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</si>
  <si>
    <t>д873</t>
  </si>
  <si>
    <t>Умные игры с картами. Рассказы по картинкам</t>
  </si>
  <si>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</si>
  <si>
    <t>д874</t>
  </si>
  <si>
    <t>Утяжелители для рук и ног</t>
  </si>
  <si>
    <t>Утяжелители для рук и ног, вес одного не менее 0,5 кг, комплект из 2 штук, форма браслетов на липучках, материал нейлон и полиэстер. Предназначены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t>
  </si>
  <si>
    <t>д875</t>
  </si>
  <si>
    <t>Учебный микроскоп для демонстрационных и исследовательских опытов</t>
  </si>
  <si>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</si>
  <si>
    <t>д876</t>
  </si>
  <si>
    <t>Учимся вместе с героями - витаминами. Малышка Клубника.</t>
  </si>
  <si>
    <t>д877</t>
  </si>
  <si>
    <t>Учимся вместе с героями - витаминами. Мисс Морковка.</t>
  </si>
  <si>
    <t>д878</t>
  </si>
  <si>
    <t>Учимся вместе с героями - витаминами. Мистер Картофель.</t>
  </si>
  <si>
    <t>д879</t>
  </si>
  <si>
    <t>Учимся вместе с героями - витаминами. Мистер Яблоко.</t>
  </si>
  <si>
    <t>д88</t>
  </si>
  <si>
    <t>Двусторонняя доска для творчества с зоной выставки</t>
  </si>
  <si>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</si>
  <si>
    <t>д880</t>
  </si>
  <si>
    <t>Үй жануарларын білесің бе? Ақылды боямақ</t>
  </si>
  <si>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</si>
  <si>
    <t>д881</t>
  </si>
  <si>
    <t>Ұлы Ескендір. Александр Великий. Alexander the Great (каз., рус., англ.яз.)</t>
  </si>
  <si>
    <t>Д.Бингхэм (перевод Сужикова А., Пернебекова Н.)</t>
  </si>
  <si>
    <t>д882</t>
  </si>
  <si>
    <t>Ұлы Жібек жолы. Великий Шелковый путь. The Great Silk Road (каз., рус., англ.яз.)</t>
  </si>
  <si>
    <t>Мамраимов А.</t>
  </si>
  <si>
    <t>д883</t>
  </si>
  <si>
    <t>Фартук</t>
  </si>
  <si>
    <t>Защитный фартук предназначен для занятий творчеством, изобразительной деятельностью, трудовыми и игровыми видами деятельности. Водонепроницаемый материал защищает одежду ребёнка от загрязнений.</t>
  </si>
  <si>
    <t>д884</t>
  </si>
  <si>
    <t>Фартук детский из водостойкого материала (с нарукавниками)</t>
  </si>
  <si>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</si>
  <si>
    <t>д885</t>
  </si>
  <si>
    <t>Фартуки для дежурных</t>
  </si>
  <si>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</si>
  <si>
    <t>д886</t>
  </si>
  <si>
    <t>Фиброоптический тоннель</t>
  </si>
  <si>
    <t>Мягкий сенсорный тоннель предназначен для занятий в сенсорной комнате. Оснащён фиброоптическими волокнами и LED-подсветкой, создающими эффект «звёздного неба». Используется для сенсорной стимуляции, релаксации и эмоциональной разгрузки детей. Размер 1200×900×800 мм. Материалы: винилискожа, пенополиуретан, карпет.</t>
  </si>
  <si>
    <t>д887</t>
  </si>
  <si>
    <t>Фигуры семейных персонажей</t>
  </si>
  <si>
    <t>Набор фигур предназначен для работы с эмоциональной сферой, социальными и семейными ролями детей. Используется в проективных, сюжетно-ролевых и коррекционных играх. Комплект включает фигурки членов семьи. Материалы безопасные, края закруглённые.</t>
  </si>
  <si>
    <t>д888</t>
  </si>
  <si>
    <t>Фигуры-персонажи для самостоятельного рисования</t>
  </si>
  <si>
    <t>Набор фигур предназначен для творческой деятельности детей. Используется для рисования, оформления персонажей и развития воображения, мелкой моторики и эмоционального самовыражения. Применяется в индивидуальной и групповой работе.</t>
  </si>
  <si>
    <t>д889</t>
  </si>
  <si>
    <t>Физика. Оңай әрі жеңіл</t>
  </si>
  <si>
    <t>под ред. Б. Морган (перевод Мусатай С.)</t>
  </si>
  <si>
    <t>д89</t>
  </si>
  <si>
    <t>Декоративное растение «Драцена»</t>
  </si>
  <si>
    <t>Растение используется для оформления интерьера и создания озеленённой среды. Размещается в помещении в напольном или настольном горшке. Не требует сложного ухода и используется как элемент декоративного оформления.</t>
  </si>
  <si>
    <t>д890</t>
  </si>
  <si>
    <t>Физика. Просто и легко</t>
  </si>
  <si>
    <t>под ред. Б. Морган (перевод Кедрук Е.Ю.)</t>
  </si>
  <si>
    <t>д891</t>
  </si>
  <si>
    <t>Физическая культура</t>
  </si>
  <si>
    <t>Методическое руководство для организации занятий по физической культуре с детьми дошкольного возраста. Используется педагогами для планирования и проведения образовательной деятельности.</t>
  </si>
  <si>
    <t>д892</t>
  </si>
  <si>
    <t>Фикус</t>
  </si>
  <si>
    <t>Комнатное декоративно-лиственное растение с крупными листьями. Используется для озеленения помещений и ознакомления детей с формой листьев. Неприхотлив в уходе, подходит для детских учреждений.</t>
  </si>
  <si>
    <t>д893</t>
  </si>
  <si>
    <t>Фитбол</t>
  </si>
  <si>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</si>
  <si>
    <t>д895</t>
  </si>
  <si>
    <t>Флажки, ленты для ритмики</t>
  </si>
  <si>
    <t>Набор цветных флажков и лент предназначен для занятий ритмикой, танцами и музыкально-двигательной деятельностью. Используется для развития чувства ритма, координации и выразительности движений.</t>
  </si>
  <si>
    <t>д896</t>
  </si>
  <si>
    <t>Флажок разноцветный</t>
  </si>
  <si>
    <t>Разноцветный флажок предназначен для подвижных и музыкально-ритмических игр, праздников и занятий физической культурой. Материалы — ткань и дерево. Лёгкий и безопасный в использовании.</t>
  </si>
  <si>
    <t>д897</t>
  </si>
  <si>
    <t>Фланеграф</t>
  </si>
  <si>
    <t>Настенный фланелеграф с набором фетровых фигурок предназначен для наглядно-дидактической работы с детьми. Используется для развития речи, мышления и представлений об окружающем мире.</t>
  </si>
  <si>
    <t>д898</t>
  </si>
  <si>
    <t>Фланеграф «Домашние животные»</t>
  </si>
  <si>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</si>
  <si>
    <t>д899</t>
  </si>
  <si>
    <t>Фланелеграф</t>
  </si>
  <si>
    <t>Дидактическое пособие для крепления фигурок и карточек из фетра. Используется в образовательной деятельности для визуализации учебного материала.</t>
  </si>
  <si>
    <t>д9</t>
  </si>
  <si>
    <t>«Жол бағдар» (Интеллектум)</t>
  </si>
  <si>
    <t xml:space="preserve">Игра предназначена для развития
логического мышления
посредством объединения дорог
по знакам. </t>
  </si>
  <si>
    <t>д90</t>
  </si>
  <si>
    <t>Декоративное растение алоказия</t>
  </si>
  <si>
    <t>Декоративное растение используется для оформления интерьера и создания эстетичной среды. Применяется как элемент озеленения помещений. Размещается в горшке и не требует активного ухода. Предназначено для использования в помещениях.</t>
  </si>
  <si>
    <t>д900</t>
  </si>
  <si>
    <t>Фланелеграф из фетра с комплектом съёмных персонажей по мотивам сказок</t>
  </si>
  <si>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</si>
  <si>
    <t>д901</t>
  </si>
  <si>
    <t>Фланелеграф тканевый</t>
  </si>
  <si>
    <t>Большой тканевый фланелеграф с карманами для хранения элементов. Используется для творческих, обучающих и игровых занятий с детьми.</t>
  </si>
  <si>
    <t>д903</t>
  </si>
  <si>
    <t>Фломастеры</t>
  </si>
  <si>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</si>
  <si>
    <t>д904</t>
  </si>
  <si>
    <t>Фонарь</t>
  </si>
  <si>
    <t>Фонарь ручной, предназначен для временного локального освещения при выполнении хозяйственных, технических и аварийных работ. Удобен в эксплуатации, компактный, безопасный в использовании.</t>
  </si>
  <si>
    <t>д905</t>
  </si>
  <si>
    <t>Формочки</t>
  </si>
  <si>
    <t>Набор формочек предназначен для лепки и моделирования. Используется для работы с пластилином, тестом и другими материалами. Развивает мелкую моторику и воображение.</t>
  </si>
  <si>
    <t>д906</t>
  </si>
  <si>
    <t>Ханшайымның 10 оқиғасы</t>
  </si>
  <si>
    <t>д907</t>
  </si>
  <si>
    <t>Химия. Оңай әрі жеңіл</t>
  </si>
  <si>
    <t>под ред. М. Рамасвами (перевод Қарт Ұ.М.)</t>
  </si>
  <si>
    <t>д908</t>
  </si>
  <si>
    <t>Химия. Просто и легко</t>
  </si>
  <si>
    <t>д909</t>
  </si>
  <si>
    <t>Хлорофитум</t>
  </si>
  <si>
    <t>Комнатное растение, очищающее воздух. Используется для озеленения помещений дошкольного учреждения и формирования у детей экологических представлений.</t>
  </si>
  <si>
    <t>д91</t>
  </si>
  <si>
    <t>Декоративные ароматные травы в горшках</t>
  </si>
  <si>
    <t>Горшечные растения с ароматными травами используются для декоративного оформления помещений и создания благоприятной визуальной среды. Применяются как элемент озеленения интерьера. Размещаются в контейнерах и не требуют сложного ухода. Предназначены для использования в помещениях.</t>
  </si>
  <si>
    <t>д911</t>
  </si>
  <si>
    <t>Христофор Колумб. Christopher Columbus (каз., рус., англ.яз.)</t>
  </si>
  <si>
    <t>М.Лейси (перевод Сужикова А., Пернебекова Н.)</t>
  </si>
  <si>
    <t>д912</t>
  </si>
  <si>
    <t>Художественная литература</t>
  </si>
  <si>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</si>
  <si>
    <t>д913</t>
  </si>
  <si>
    <t>Цветы (комнатные растения)</t>
  </si>
  <si>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</si>
  <si>
    <t>д914</t>
  </si>
  <si>
    <t>Чайник</t>
  </si>
  <si>
    <t>Чайник электрический</t>
  </si>
  <si>
    <t>д915</t>
  </si>
  <si>
    <t>Часы настенные</t>
  </si>
  <si>
    <t>Часы настенные, предназначены для контроля времени в рабочем кабинете. Обеспечивают четкую и видимую индикацию времени, устойчивы к воздействию окружающей среды, для офисного использования.</t>
  </si>
  <si>
    <t>д916</t>
  </si>
  <si>
    <t>Чокан. Путеводная звезда востока</t>
  </si>
  <si>
    <t>д917</t>
  </si>
  <si>
    <t>Чудесное путешествие. Хрестоматия для 2-4 классов</t>
  </si>
  <si>
    <t>без автора</t>
  </si>
  <si>
    <t>д918</t>
  </si>
  <si>
    <t>Шапочка (Медвежонок, Волчонок, Тигр, Серый заяц, Бельчонок/Белочка)</t>
  </si>
  <si>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</si>
  <si>
    <t>д919</t>
  </si>
  <si>
    <t>Шарики</t>
  </si>
  <si>
    <t>Пластиковые шарики предназначены для использования в сухом бассейне, сенсорных и подвижных играх. Количество в наборе — 100 шт. Цвета разноцветные. Материал — лёгкий пластик.</t>
  </si>
  <si>
    <t>д92</t>
  </si>
  <si>
    <t>Декоративные фрукты и овощи</t>
  </si>
  <si>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</si>
  <si>
    <t>д920</t>
  </si>
  <si>
    <t>Шарики для бассейна прозрачные</t>
  </si>
  <si>
    <t>Прозрачные шарики предназначены для наполнения сухого бассейна. Диаметр одного шарика — около 7 см. Количество — 1500 шт. Используются для сенсорной и игровой активности детей.</t>
  </si>
  <si>
    <t>д921</t>
  </si>
  <si>
    <t>Шестигранная детская мозаика</t>
  </si>
  <si>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</si>
  <si>
    <t>д922</t>
  </si>
  <si>
    <t>Шеффлера</t>
  </si>
  <si>
    <t>Комнатное декоративно-лиственное растение с крупными выразительными листьями. Используется для озеленения помещений и ознакомления детей с формами листьев. Подходит для детских учреждений.</t>
  </si>
  <si>
    <t>д923</t>
  </si>
  <si>
    <t>Ширма деревянная для кукольного театра</t>
  </si>
  <si>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</si>
  <si>
    <t>д924</t>
  </si>
  <si>
    <t>Ширма для театра</t>
  </si>
  <si>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</si>
  <si>
    <t>д925</t>
  </si>
  <si>
    <t>Шляпки</t>
  </si>
  <si>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</si>
  <si>
    <t>д926</t>
  </si>
  <si>
    <t>Шнуровка «Развивающие пуговки»</t>
  </si>
  <si>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</si>
  <si>
    <t>д927</t>
  </si>
  <si>
    <t>Шнуровка для малышей</t>
  </si>
  <si>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</si>
  <si>
    <t>д928</t>
  </si>
  <si>
    <t>Шоқан Уәлиханов - географ және саяхатшы</t>
  </si>
  <si>
    <t>Бірмагамбетов Ә.</t>
  </si>
  <si>
    <t>д929</t>
  </si>
  <si>
    <t>Шоқан. Шығыстың жарық жұлдызы</t>
  </si>
  <si>
    <t>д93</t>
  </si>
  <si>
    <t>Декоративный элемент «Шишка сосновая» (искусственная)</t>
  </si>
  <si>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</si>
  <si>
    <t>д931</t>
  </si>
  <si>
    <t>Шуакты кундер (Б.Момышұлы туралы)</t>
  </si>
  <si>
    <t>д932</t>
  </si>
  <si>
    <t>Ыбырай. Даланың таза бұлагы</t>
  </si>
  <si>
    <t>Оспанов М., Өтелбаева С. (И.Алтынсарин туралы)</t>
  </si>
  <si>
    <t>д933</t>
  </si>
  <si>
    <t>Ыбырай. Чистый родник степи</t>
  </si>
  <si>
    <t>Оспанов М., Утельбаева С.</t>
  </si>
  <si>
    <t>д934</t>
  </si>
  <si>
    <t>Электронная игра на память с музыкой и светом</t>
  </si>
  <si>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</si>
  <si>
    <t>д935</t>
  </si>
  <si>
    <t>Эмоциональное яйцо</t>
  </si>
  <si>
    <t>Эмоциональное яйцо предназначено для интерактивных занятий с детьми дошкольного возраста. Используется для выражения, распознавания и обсуждения эмоций в игровой форме. Способствует развитию эмоционального интеллекта, саморегуляции и коммуникативных навыков.</t>
  </si>
  <si>
    <t>д936</t>
  </si>
  <si>
    <t>Эмоциональные стикеры</t>
  </si>
  <si>
    <t>Набор стикеров предназначен для работы с эмоциональной сферой детей. Используется для обозначения настроения, анализа чувств, выполнения игровых, коррекционных и диагностических заданий. Подходит для индивидуальной и групповой работы.</t>
  </si>
  <si>
    <t>д937</t>
  </si>
  <si>
    <t>Энциклопедия «Жануарлар»</t>
  </si>
  <si>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</si>
  <si>
    <t>д938</t>
  </si>
  <si>
    <t>Эстафетные палочки</t>
  </si>
  <si>
    <t>Эстафетные палочки предназначены для проведения подвижных и спортивных игр. Длина — около 300 мм, диаметр — около 30 мм. Выполнены в виде ярко окрашенных полых цилиндров с гладкой поверхностью. Материал — алюминий. Используются для эстафет и командных игр в спортивном зале и на улице.</t>
  </si>
  <si>
    <t>д939</t>
  </si>
  <si>
    <t>Astana - the heart of our Motherland</t>
  </si>
  <si>
    <t>д94</t>
  </si>
  <si>
    <t>Демонстрационное пособие</t>
  </si>
  <si>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</si>
  <si>
    <t>д940</t>
  </si>
  <si>
    <t>DIMASH ҚҰДАЙБЕРГЕН.ШЕКСІЗ МУЗЫКА.ФОТОАЛЬБОМ (КАЗ.РУСС.АНГЛ)</t>
  </si>
  <si>
    <t>Жанузакова М.Т</t>
  </si>
  <si>
    <t>д941</t>
  </si>
  <si>
    <t>DIMASH ҚҰДАЙБЕРГЕН.VIP.ШЕКСІЗ МУЗЫКА.ФОТОАЛЬБОМ (КАЗ.РУСС.АНГЛ)</t>
  </si>
  <si>
    <t>д942</t>
  </si>
  <si>
    <t>Kazakhstan, My Native Land (юрта)</t>
  </si>
  <si>
    <t>д943</t>
  </si>
  <si>
    <t>LEGO® Education SPIKE™ Essential</t>
  </si>
  <si>
    <t>Образовательный набор для конструирования и первичного программирования, предназначенный для детей дошкольного и младшего школьного возраста. Используется для развития логического мышления, навыков решения задач, командной работы и базовых инженерных представлений. Подходит для индивидуальной и групповой работы.</t>
  </si>
  <si>
    <t>д944</t>
  </si>
  <si>
    <t>Matata Pro Set Coding</t>
  </si>
  <si>
    <t>Matatalab Pro Set представляет собой универсальный набор для
изучения основ программирования.
Включает в себя робота, блоки программирования и различные
аксессуары для создания множества увлекательных проектов.
Программа для робота создается используя физические
программные блоки. Учащиеся не используют никакие дисплеи,
тем самым защищают свои глаза от синего излучения мониторов.
Набор обучает основам алгоритмического мышления, полученные
знания облегчают дальнейшее обучение программированию.</t>
  </si>
  <si>
    <t>д945</t>
  </si>
  <si>
    <t>Shokan.The Lodestar of the East</t>
  </si>
  <si>
    <t>Сужикова А. (перевод Асанова М.)</t>
  </si>
  <si>
    <t>д946</t>
  </si>
  <si>
    <t>STEAM-набор для конструирования</t>
  </si>
  <si>
    <t>Развивающий набор предназначен для освоения основ инженерного мышления, конструирования и командной работы. Используется в образовательной деятельности детей дошкольного возраста.</t>
  </si>
  <si>
    <t>д949</t>
  </si>
  <si>
    <t>Tale Bot</t>
  </si>
  <si>
    <t>Tale-Bot Pro - это новейшая разработка от MATATALAB.
Это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Яркие и удобные в использовании модули помогают
разнообразить вид заданий что очень важно
для сохранения концентрации у детей.
Милый и интуитивно понятный дизайн способен
покорить внимание каждого ребенка.</t>
  </si>
  <si>
    <t>д95</t>
  </si>
  <si>
    <t>Демонстрационные картинки «Головные уборы»</t>
  </si>
  <si>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</si>
  <si>
    <t>д950</t>
  </si>
  <si>
    <t>Tale map</t>
  </si>
  <si>
    <t>Игровое программируемое поле, предназначенное для работы с интерактивным роботом Tale-Bot Pro. Используется для построения маршрутов, выполнения алгоритмических заданий и моделирования различных игровых ситуаций. Позволяет детям осваивать основы программирования, развивать логическое и пространственное мышление, навыки планирования и решения задач. Поле имеет разметку для перемещения робота и подходит для индивидуальной и групповой работы в образовательной среде.</t>
  </si>
  <si>
    <t>д951</t>
  </si>
  <si>
    <t>The Great Abai</t>
  </si>
  <si>
    <t>А. Сужикова, М. Кайрамбаева</t>
  </si>
  <si>
    <t>д952</t>
  </si>
  <si>
    <t>Welcome, Nauryz!</t>
  </si>
  <si>
    <t>д953</t>
  </si>
  <si>
    <t>XXL НАБОР ДЛЯ ДЕТСКОГО САДА: "ЮНЫЙ ИЗОБРЕТАТЕЛЬ"</t>
  </si>
  <si>
    <t>Комплексный образовательный набор, предназначенный для использования в условиях дошкольного учреждения. Используется для организации познавательной, исследовательской и конструкторской деятельности детей. Способствует развитию инженерного мышления, логики, воображения, навыков экспериментирования, командной работы и решения задач. Включает элементы для конструирования, моделирования, простых опытов и STEAM-занятий. Материалы набора безопасны для детей, адаптированы для индивидуальной и групповой работы, соответствуют требованиям эксплуатации в ДОУ.</t>
  </si>
  <si>
    <t>д954</t>
  </si>
  <si>
    <t>Шкаф медицинский</t>
  </si>
  <si>
    <t>Шкаф медицинский двухстворчатый из полипропилена, размер 800х400х1800 мм
МЕДИЦИНСКИЙ ШКАФ HILFE МД 2 1780/SG</t>
  </si>
  <si>
    <t>д956</t>
  </si>
  <si>
    <t>Бесконтактный инфракрасный термометр</t>
  </si>
  <si>
    <t>Бесконтактный термометр идеален для измерения температуры тела у взрослых, детей и новорожденных</t>
  </si>
  <si>
    <t>д958</t>
  </si>
  <si>
    <t xml:space="preserve">Ростомер механический </t>
  </si>
  <si>
    <t>Ростомер механический 400х398х2360</t>
  </si>
  <si>
    <t>д959</t>
  </si>
  <si>
    <t>Таблица для проверки зрения</t>
  </si>
  <si>
    <t>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(V=0.1, 1.0 и т.д.)</t>
  </si>
  <si>
    <t>д96</t>
  </si>
  <si>
    <t>Демонстрационные картинки «Грибы съедобные и несъедобные»</t>
  </si>
  <si>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</si>
  <si>
    <t>д960</t>
  </si>
  <si>
    <t>Измерительная лента</t>
  </si>
  <si>
    <t>д961</t>
  </si>
  <si>
    <t>Медицинские халаты</t>
  </si>
  <si>
    <t>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</si>
  <si>
    <t>д965</t>
  </si>
  <si>
    <t>Кровать для кукол</t>
  </si>
  <si>
    <t>Миниатюрная кровать для кукол с покрывалом. Используется в сюжетно-ролевых и бытовых играх.</t>
  </si>
  <si>
    <t>д967</t>
  </si>
  <si>
    <t>Мозаика настольная развивающая</t>
  </si>
  <si>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</si>
  <si>
    <t>д969</t>
  </si>
  <si>
    <t>Холодильник фармацевтический</t>
  </si>
  <si>
    <t>Холодильник предназначен для хранения медикаментов с соблюдением температурного режима, установленного санитарными требованиями.</t>
  </si>
  <si>
    <t>д97</t>
  </si>
  <si>
    <t>Демонстрационные картинки «Деревья и кустарники»</t>
  </si>
  <si>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</si>
  <si>
    <t>д98</t>
  </si>
  <si>
    <t>Демонстрационные картинки «Дикие животные – 1»</t>
  </si>
  <si>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</si>
  <si>
    <t>д980</t>
  </si>
  <si>
    <t>УФ-устройство</t>
  </si>
  <si>
    <t>Аппарат для УВЧ-терапии N=0,12квт В=220В - УВЧ-60</t>
  </si>
  <si>
    <t>д982</t>
  </si>
  <si>
    <t>Ознакомление с окружающим миром (электронная версия)</t>
  </si>
  <si>
    <t>2+ Ознакомление с окружающим миром. Методическое пособие (электронная версия)</t>
  </si>
  <si>
    <t>д983</t>
  </si>
  <si>
    <t>Ознакомление с окружающим миром (раздаточный материал)</t>
  </si>
  <si>
    <t>2+ Ознакомление с окружающим миром. Раздаточный материал</t>
  </si>
  <si>
    <t>д984</t>
  </si>
  <si>
    <t>Дозатор жидкого мыла</t>
  </si>
  <si>
    <t>д985</t>
  </si>
  <si>
    <t xml:space="preserve">Верстак </t>
  </si>
  <si>
    <t>Верстак для столярных работ и работы с деревом</t>
  </si>
  <si>
    <t>д986</t>
  </si>
  <si>
    <t>Стол-верстак</t>
  </si>
  <si>
    <t>Стол-верстак для проектной деятельности</t>
  </si>
  <si>
    <t>д987</t>
  </si>
  <si>
    <t>Мобильный стол</t>
  </si>
  <si>
    <t>Мобильный стол для экспериментов с песком и водой</t>
  </si>
  <si>
    <t>д988</t>
  </si>
  <si>
    <t xml:space="preserve">Стол с линзами </t>
  </si>
  <si>
    <t>Стол с линзами для макро-наблюдений объектов</t>
  </si>
  <si>
    <t>д989</t>
  </si>
  <si>
    <t>Стол для демонстрации находок и коллекций</t>
  </si>
  <si>
    <t>д99</t>
  </si>
  <si>
    <t>Демонстрационные картинки «Дикие животные – 2»</t>
  </si>
  <si>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</si>
  <si>
    <t>д991</t>
  </si>
  <si>
    <t>Стеллаж для хранения STEM-наборов и лотков</t>
  </si>
  <si>
    <t>д992</t>
  </si>
  <si>
    <t>Набор глубоких лотков для мелких деталей</t>
  </si>
  <si>
    <t>д993</t>
  </si>
  <si>
    <t>Стулья для всей группы (высота сиденья 25 см)</t>
  </si>
  <si>
    <t>д994</t>
  </si>
  <si>
    <t>Ковер «Космос» для занятий на полу</t>
  </si>
  <si>
    <t>д995</t>
  </si>
  <si>
    <t>Стойка для сушки работ после экспериментов</t>
  </si>
  <si>
    <t>д996</t>
  </si>
  <si>
    <t>Набор для дошкольного изучения Computer science and AI</t>
  </si>
  <si>
    <t>д997</t>
  </si>
  <si>
    <t>BricQ Motion Essential</t>
  </si>
  <si>
    <t>д998</t>
  </si>
  <si>
    <t>LEGO® Education STEAM Park</t>
  </si>
  <si>
    <t>д999</t>
  </si>
  <si>
    <t>Инструменты для конструирования из картона для начальной школы</t>
  </si>
  <si>
    <t>м1</t>
  </si>
  <si>
    <t>Вешалка напольная для верхней одежды</t>
  </si>
  <si>
    <t>Напольная вешалка. Размеры высота 1700мм, кол-во крючков 8шт.</t>
  </si>
  <si>
    <t>м10</t>
  </si>
  <si>
    <t>Зеркало настенное среднего размера</t>
  </si>
  <si>
    <t>Настенное зеркало используется для визуального контроля внешнего вида и ориентации в пространстве. Размещается на стене в помещениях общего пользования. Размер зеркала относится к средней категории и подходит для настенного монтажа.</t>
  </si>
  <si>
    <t>м100</t>
  </si>
  <si>
    <t>Стол производственный</t>
  </si>
  <si>
    <t>Производственный стол предназначен для хозяйственных работ. Размеры  1800х600х850</t>
  </si>
  <si>
    <t>м101</t>
  </si>
  <si>
    <t>Стол промежуточный vpn7-2</t>
  </si>
  <si>
    <t xml:space="preserve">Размеры: 800X700X300 мм
</t>
  </si>
  <si>
    <t>м102</t>
  </si>
  <si>
    <t>Стол рабочий</t>
  </si>
  <si>
    <t>Рабочий стол с металлической поверхностью. Устойчивый, легко моющийся. Размеры  1800х600х850</t>
  </si>
  <si>
    <t>м103</t>
  </si>
  <si>
    <t>Стол разгрузки посудомойки ce-tbc70x75</t>
  </si>
  <si>
    <t>Нержавеющая сталь AISI 430; Без нижней  полки и бортика; Параметры: 700x750x850 мм</t>
  </si>
  <si>
    <t>м104</t>
  </si>
  <si>
    <t>Стол руководителя с приставной тумбой</t>
  </si>
  <si>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</si>
  <si>
    <t>м105</t>
  </si>
  <si>
    <t>Стол с 2 мойками</t>
  </si>
  <si>
    <t>Стол с двумя мойками CE-TCE120X60. Нержавеющая сталь. Размер: 1200x600x850мм</t>
  </si>
  <si>
    <t>м106</t>
  </si>
  <si>
    <t>Стол с 2 мойками ce-tce120x70</t>
  </si>
  <si>
    <t>м107</t>
  </si>
  <si>
    <t>Стол с одной полкой</t>
  </si>
  <si>
    <t>Стол производственный рабочий CE-TC1120X60. Нержавеющая сталь. С одной полкой и бортиком. Размер: 1200x600x850мм</t>
  </si>
  <si>
    <t>м108</t>
  </si>
  <si>
    <t>Стол ce-tc080x70</t>
  </si>
  <si>
    <t>Нержавеющая сталь 430; Габариты: 800x700x850 мм</t>
  </si>
  <si>
    <t>м109</t>
  </si>
  <si>
    <t>Стол-ромашка (3 половинки) на регулируемых ножках</t>
  </si>
  <si>
    <t xml:space="preserve">Детский стол состоит из трёх половинок, общий диаметр — 160 см. Предназначен для групповой работы и занятий. </t>
  </si>
  <si>
    <t>м110</t>
  </si>
  <si>
    <t>Столик для игры с песком и водой</t>
  </si>
  <si>
    <t>Пластиковый столик для игр с песком и водой с крышкой. Используется для сенсорных и развивающих занятий, устойчивый, безопасный, легко очищается.</t>
  </si>
  <si>
    <t>м111</t>
  </si>
  <si>
    <t>Стул</t>
  </si>
  <si>
    <t>Стул офисный BSB 388 со спинкой,с удобной посадкой. Размеры 530х560х820 см.</t>
  </si>
  <si>
    <t>м112</t>
  </si>
  <si>
    <t xml:space="preserve">Детский стул со спинкой </t>
  </si>
  <si>
    <t>Детский стул со спинкой, предназначенный для безопасного и комфортного сидения детей. Конструкция выполнена из качественного дерева или прочного пластика, обеспечивая лёгкость, устойчивость и долговечность.
Размеры изделия: высота стула — 48 см, высота сиденья — 28 см, ширина — 30 см.
Стул прочный, с тщательно обработанными краями и безопасными углами, подходит для ежедневного использования в детских учреждениях."</t>
  </si>
  <si>
    <t>м114</t>
  </si>
  <si>
    <t>Стул для воспитателя с спинкой</t>
  </si>
  <si>
    <t>Стул полумягкий. Хромированный каркас. Размер: 550x600x830мм</t>
  </si>
  <si>
    <t>м115</t>
  </si>
  <si>
    <t>Стул для зрителей</t>
  </si>
  <si>
    <t>Стул предназначен для оснащения актового зала. Размеры (ШхГхВ) 500х650х860мм</t>
  </si>
  <si>
    <t>м116</t>
  </si>
  <si>
    <t>Стул полумягкий</t>
  </si>
  <si>
    <t>Стул полумягкий. Материал обивки ткань/эко кожа. Металлический каркас, окрашен порошковой полимерной краской. Размер:410х560х940мм</t>
  </si>
  <si>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</si>
  <si>
    <t>м119</t>
  </si>
  <si>
    <t>Учительский стол</t>
  </si>
  <si>
    <t>Стол однотумбовый с 2 выдвижными ящиками, ЛДСП 16 мм, размер 1200х600х760мм</t>
  </si>
  <si>
    <t>м12</t>
  </si>
  <si>
    <t>Конференц-стол для совещаний</t>
  </si>
  <si>
    <t>Конференц-стол для проведения совещаний и рабочих встреч. Размеры 2700х1000х750мм</t>
  </si>
  <si>
    <t>м120</t>
  </si>
  <si>
    <t>Шведская стенка</t>
  </si>
  <si>
    <t xml:space="preserve">Используется для лазания, упражнений на координацию, силу и гибкость. Настенное крепление, прорезиненные ступени. Максимальная нагрузка — до 100 кг. Размеры ширина 1400мм, высота 2400мм </t>
  </si>
  <si>
    <t>м121</t>
  </si>
  <si>
    <t>Шкаф</t>
  </si>
  <si>
    <t>Оснащён полками. Размеры 800х380х2000</t>
  </si>
  <si>
    <t>м122</t>
  </si>
  <si>
    <t>Шкаф 5-секционный</t>
  </si>
  <si>
    <t>Шкаф для одежды 5-ти секционный, ЛДСП 16мм, металиический каркас, размер 1375х500х1250мм</t>
  </si>
  <si>
    <t>м123</t>
  </si>
  <si>
    <t>Шкаф в буфетной ДОУ  предназначен для хранения чистой посуды и столовых приборов</t>
  </si>
  <si>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</si>
  <si>
    <t>м124</t>
  </si>
  <si>
    <t>Шкаф для грязного белья</t>
  </si>
  <si>
    <t>Шкаф для временного хранения грязного белья.Конструкция устойчивая, легко моется и дезинфицируется. Размеры 600х500х1860</t>
  </si>
  <si>
    <t>м125</t>
  </si>
  <si>
    <t>Шкаф для документов</t>
  </si>
  <si>
    <t>Шкаф для документации, закрытый. Размеры: 800×450×1200 мм.</t>
  </si>
  <si>
    <t>м128</t>
  </si>
  <si>
    <t>Шкаф для одежды</t>
  </si>
  <si>
    <t>Шкаф для одежды 2-х дверный, ЛДСП 16 мм, размеры 800х540х1930 мм</t>
  </si>
  <si>
    <t>м130</t>
  </si>
  <si>
    <t>Шкаф для тканей        Отдельное хранение тканей</t>
  </si>
  <si>
    <t>Шкаф для тканей, закрытый. Размеры: 800×450×1200 мм.</t>
  </si>
  <si>
    <t>м131</t>
  </si>
  <si>
    <t>Шкаф закрытый</t>
  </si>
  <si>
    <t>Шкаф закрытый. Размеры: 800×450×1200 мм.</t>
  </si>
  <si>
    <t>м132</t>
  </si>
  <si>
    <t>Шкаф навесной с газ.лифтом.</t>
  </si>
  <si>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</si>
  <si>
    <t>м133</t>
  </si>
  <si>
    <t>Шкаф расстоечный vmk-2</t>
  </si>
  <si>
    <t>Вместимость: 8 противней 40x60; 3.2 кВт / 230В; Размеры: 940x790x850 мм</t>
  </si>
  <si>
    <t>м134</t>
  </si>
  <si>
    <t>Шкаф хозяйственный</t>
  </si>
  <si>
    <t>Шкаф предназначен для хранения хозяйственного инвентаря, уборочных принадлежностей, моющих и дезинфицирующих средств. Оснащается полками и/или отделением для швабр и ведер. Размеры 600х500х1860</t>
  </si>
  <si>
    <t>м135</t>
  </si>
  <si>
    <t>Шкаф ce-dm120x60</t>
  </si>
  <si>
    <t>Нержавеющая сталь 430; С 2 дверями, 4 полками; Параметры: 1200x600x1600 мм</t>
  </si>
  <si>
    <t>м137</t>
  </si>
  <si>
    <t>Стол однотумбовый с 2 выдвижными ящиками</t>
  </si>
  <si>
    <t xml:space="preserve">Стол однотумбовый с 2 выдвижными ящиками, ЛДСП 16 мм, размер 1200х700х750мм
</t>
  </si>
  <si>
    <t>м138</t>
  </si>
  <si>
    <t>Кровать детская для изолятора</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</si>
  <si>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</si>
  <si>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м14</t>
  </si>
  <si>
    <t>Кресло офисное</t>
  </si>
  <si>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</si>
  <si>
    <t>м140</t>
  </si>
  <si>
    <t xml:space="preserve">Стеллаж производственный </t>
  </si>
  <si>
    <t xml:space="preserve">Стеллаж ПРОФИ СКН-10/5С4П-01, (ВхШхГ) 1850х1000х500, каркас труба нерж 40х40, полка сплошная </t>
  </si>
  <si>
    <t>м141</t>
  </si>
  <si>
    <t>Доска маркерная/меловая поворотная</t>
  </si>
  <si>
    <t>Доска двухсторонняя 1200*2400 см (маркерная +меловая + магнитная) на подставке, передвижная на колесиках</t>
  </si>
  <si>
    <t>м144</t>
  </si>
  <si>
    <t>Набор/комплект для магнитно-маркерной доски</t>
  </si>
  <si>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</si>
  <si>
    <t>м145</t>
  </si>
  <si>
    <t>Стеллаж для горшков</t>
  </si>
  <si>
    <t>Шкаф для горшков на 20 мест на ножках ШГ-20 - Азбука (Синий) ШхГхВ 135х32х113 Материал ЛДСП</t>
  </si>
  <si>
    <t>м146</t>
  </si>
  <si>
    <t>Ролл шторы белые однотонные. Услуги доставки и монтажа</t>
  </si>
  <si>
    <t>м149</t>
  </si>
  <si>
    <t>Строительство соляной пещеры №1</t>
  </si>
  <si>
    <t>Ценовое предложение на строительство соляной пещеры №1. Комплектация: люкс</t>
  </si>
  <si>
    <t>м150</t>
  </si>
  <si>
    <t>Строительство соляной пещеры №2</t>
  </si>
  <si>
    <t>Ценовое предложение на строительство соляной пещеры №2. Комплектация: люкс</t>
  </si>
  <si>
    <t>м151</t>
  </si>
  <si>
    <t>Ведро 18л</t>
  </si>
  <si>
    <t>Объем 18 л
Материал ABS плластик
Тип Ведро без крышки
Форма Прямоугольная</t>
  </si>
  <si>
    <t>м152</t>
  </si>
  <si>
    <t>Двухведёрная тележка</t>
  </si>
  <si>
    <t>Материа Пластик
Максимальная нагрузка на всю конструкцию 80 кг
Количество поворотных колес 4 шт
Количество ведер 2 шт</t>
  </si>
  <si>
    <t>м153</t>
  </si>
  <si>
    <t>Швабра с платформой</t>
  </si>
  <si>
    <t>Длина насадки 40см
Ширина насадки 12 см
Высота насадки 1,5 см
Длина ручки 130 см</t>
  </si>
  <si>
    <t>м154</t>
  </si>
  <si>
    <t>Шкаф металлический для одежды и инвентаря</t>
  </si>
  <si>
    <t>Шкаф ШРМ-АК-У, размер 1860*500*500 мм</t>
  </si>
  <si>
    <t>м156</t>
  </si>
  <si>
    <t xml:space="preserve">Ведро </t>
  </si>
  <si>
    <t>м157</t>
  </si>
  <si>
    <t>Зеркало</t>
  </si>
  <si>
    <t>Ширина (см) 55
Высота (см) 80
Подсветка нет</t>
  </si>
  <si>
    <t>м158</t>
  </si>
  <si>
    <t>Крючки</t>
  </si>
  <si>
    <t>Крючки для хранения полотенец, фартуков. Материал крючка : Сплав металлов</t>
  </si>
  <si>
    <t>м159</t>
  </si>
  <si>
    <t>Швабра</t>
  </si>
  <si>
    <t>м16</t>
  </si>
  <si>
    <t>Кресло руководителя</t>
  </si>
  <si>
    <t>Кресло FX-888 кзам АОД подл.пл.818/1(кзам),крест.пл.d680 м/п, кол JL</t>
  </si>
  <si>
    <t>м160</t>
  </si>
  <si>
    <t>Диспенсер для бумажных полотенец</t>
  </si>
  <si>
    <t>Диспенсер для бумажных полотенец типа Vialli. Материал: пластик, Z-укладка, открывается ключом, небольшое окошко для контроля заполнения</t>
  </si>
  <si>
    <t>м161</t>
  </si>
  <si>
    <t>Диспенсер антивандальный для туалетной бумаги</t>
  </si>
  <si>
    <t>Диспенсер для туалетной бумаги в рулонах типа Jumbo. Материал: пластик, ручная подача, открывается с помощью ключа</t>
  </si>
  <si>
    <t>м162</t>
  </si>
  <si>
    <t>Детский стол для 3-х лет</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</si>
  <si>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</si>
  <si>
    <t>м163</t>
  </si>
  <si>
    <t>Детский стол для 4-х, 5-ти лет</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</si>
  <si>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</si>
  <si>
    <t>м165</t>
  </si>
  <si>
    <t>Мягкая подушка</t>
  </si>
  <si>
    <t>Набор подушек для создания мягкой зоны, размер 30х30см</t>
  </si>
  <si>
    <t>м166</t>
  </si>
  <si>
    <t>Скамья детская узкая</t>
  </si>
  <si>
    <t>Скамья деревянная на металлической основе 1500х300х450 мм</t>
  </si>
  <si>
    <t>м17</t>
  </si>
  <si>
    <t>Кресло-груша с гранулами</t>
  </si>
  <si>
    <t>Мягкое бескаркасное кресло наполнено полистирольными гранулами и принимает форму тела сидящего. Используется в зонах отдыха, релаксации и индивидуальной работы. Способствует созданию комфортной, неформальной обстановки и снижению эмоционального напряжения.</t>
  </si>
  <si>
    <t>м170</t>
  </si>
  <si>
    <t>Навесной шкаф</t>
  </si>
  <si>
    <t>Шкаф навесной, двухстворчатый, распашной. Материал: ЛДСП, ПВХ. Размеры: 800х300х720мм</t>
  </si>
  <si>
    <t>м171</t>
  </si>
  <si>
    <t xml:space="preserve">Диван </t>
  </si>
  <si>
    <t xml:space="preserve">Диван Quick Lab Alim Sofa Длина: 1900 мм, ширина: 800 мм, высота: 850 мм. </t>
  </si>
  <si>
    <t>м172</t>
  </si>
  <si>
    <t>Диван руководителя</t>
  </si>
  <si>
    <t>Ширина, мм 1480
Глубина, мм 820
Высота, мм 670</t>
  </si>
  <si>
    <t>м173</t>
  </si>
  <si>
    <t>Детский стул с спинкой (2-3 лет)</t>
  </si>
  <si>
    <t>Детский стул со спинкой для 3 лет. 260×200×550/250 мм</t>
  </si>
  <si>
    <t>м174</t>
  </si>
  <si>
    <t>Детский стул с спинкой (4+ лет)</t>
  </si>
  <si>
    <t>Детский стул со спинкой для 4+. 300×220×590/270</t>
  </si>
  <si>
    <t>м175</t>
  </si>
  <si>
    <t>Гардеробная вешалка</t>
  </si>
  <si>
    <t>Ширина 109 см
Высота 179 см
Глубина 74 см
Материал Металл</t>
  </si>
  <si>
    <t>м18</t>
  </si>
  <si>
    <t>Кровать</t>
  </si>
  <si>
    <t>Игровая или декоративная кровать с комплектом текстильных элементов. Используется в сюжетно-ролевых играх.</t>
  </si>
  <si>
    <t>м180</t>
  </si>
  <si>
    <t>Стойка ресепшен</t>
  </si>
  <si>
    <t>Стойка ресепшен прямая. Размеры: Ширина, 1640 мм. Глубина, 510 мм. Высота, 1150 мм</t>
  </si>
  <si>
    <t>м185</t>
  </si>
  <si>
    <t>Сценический занавес и карниз</t>
  </si>
  <si>
    <t>Система горизонтального раздвижного занавеса с электроприводом с пультом дистанционного управления.</t>
  </si>
  <si>
    <t>м186</t>
  </si>
  <si>
    <t>Диван (мягкий)</t>
  </si>
  <si>
    <t>Диван (мягкий), 3-х местный, с подлокотниками</t>
  </si>
  <si>
    <t>м187</t>
  </si>
  <si>
    <t>Гардеробная на 70 мест</t>
  </si>
  <si>
    <t>Гардеробный шкаф для верхней одежды Размеры: ширина 2.2 м, длина 3.3 м, высота 1.8м. Расстояние между крючками: 330мм</t>
  </si>
  <si>
    <t>м188</t>
  </si>
  <si>
    <t>Государственная символика</t>
  </si>
  <si>
    <t>Стенд объемный настенный "ГОССИМВОЛЫ РК"</t>
  </si>
  <si>
    <t>м19</t>
  </si>
  <si>
    <t>Кровать для сна (группы 3+)</t>
  </si>
  <si>
    <t>Кровать детская односпальная, размеры 1400х600х450мм, ЛДСП 16мм, без острых углов</t>
  </si>
  <si>
    <t>м22</t>
  </si>
  <si>
    <t>Круглый стол</t>
  </si>
  <si>
    <t>Стол для совместного чтения, обсуждений и игровых занятий. Способствует развитию общения между детьми. Материал — ЛДСП или дерево. Диаметр — 1000–1200 мм.</t>
  </si>
  <si>
    <t>м23</t>
  </si>
  <si>
    <t>Круглый стол напольный (d 1200 мм)</t>
  </si>
  <si>
    <t>Круглый стол используется для организации совместной деятельности. Диаметр столешницы составляет не менее 1200 мм, высота — около 550 мм. Конструкция обеспечивает удобное размещение участников вокруг стола. Предназначен для использования в помещениях.</t>
  </si>
  <si>
    <t>м24</t>
  </si>
  <si>
    <t>Кушетка процедурная</t>
  </si>
  <si>
    <t>Кушетка предназначена для осмотров, процедур и медицинских манипуляций в медблоке ДОУ. Размеры 560х1930х670</t>
  </si>
  <si>
    <t>м26</t>
  </si>
  <si>
    <t>Матрас</t>
  </si>
  <si>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</si>
  <si>
    <t>м27</t>
  </si>
  <si>
    <t xml:space="preserve">Матрас </t>
  </si>
  <si>
    <t>Размеры изделия, по параметрам кровати: длина — 1400 мм, ширина — 600 мм.
Гипоаллергенный матрас для детской кровати.</t>
  </si>
  <si>
    <t>Матрас (группа 2-х лет)</t>
  </si>
  <si>
    <t>Размеры изделия, по параметрам кровати: длина — 120 см, ширина — 60 см.
Гипоаллергенный матрас для детской кровати.</t>
  </si>
  <si>
    <t>м28</t>
  </si>
  <si>
    <t>Многофункциональный детский стол. Мягкие настенные сиденья с пуфиками — комплект</t>
  </si>
  <si>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</si>
  <si>
    <t>м29</t>
  </si>
  <si>
    <t>Модуль стеллажный с открытыми полками для хранения материалов</t>
  </si>
  <si>
    <t xml:space="preserve">Модуль с открытыми полками для хранения игрушек. Габариты изделия — 900×340×700 мм. Материал корпуса — ЛДСП, с кромкой ПВХ. </t>
  </si>
  <si>
    <t>м30</t>
  </si>
  <si>
    <t>Настенная вешалка для фартуков</t>
  </si>
  <si>
    <t>Оснащена тремя крючками для удобного распределения изделий. Изготовлена из стали. Крепится к поверхности без сверления при помощи двусторонней ленты.</t>
  </si>
  <si>
    <t>м32</t>
  </si>
  <si>
    <t>Настенная полка для хранения дидактических материалов психолога</t>
  </si>
  <si>
    <t>Крепится к стене. Размеры 1000х200х630</t>
  </si>
  <si>
    <t>м33</t>
  </si>
  <si>
    <t>Настенное зеркало в раме</t>
  </si>
  <si>
    <t>Настенное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Устанавливается на стену, имеет прочную раму и безопасную конструкцию, соответствующую требованиям детских учреждений.</t>
  </si>
  <si>
    <t>м34</t>
  </si>
  <si>
    <t>Настенные держатели для обручей</t>
  </si>
  <si>
    <t>Настенные держатели предназначены для удобного и безопасного хранения спортивного инвентаря. Используются в спортивных и игровых зонах дошкольного учреждения, обеспечивают порядок, экономию пространства и быстрый доступ к оборудованию.</t>
  </si>
  <si>
    <t>м35</t>
  </si>
  <si>
    <t>Настенный держатель для инвентаря</t>
  </si>
  <si>
    <t>Настенный держатель предназначен для хранения различного игрового и спортивного инвентаря. Крепится к стене, обеспечивает устойчивость конструкции и безопасность эксплуатации в условиях ДОУ.</t>
  </si>
  <si>
    <t>м36</t>
  </si>
  <si>
    <t>Натяжной потолок с подсветкой</t>
  </si>
  <si>
    <t>Потолочная конструкция с встроенной светодиодной подсветкой. Обеспечивает равномерное освещение и декоративный эффект в помещении.</t>
  </si>
  <si>
    <t>м37</t>
  </si>
  <si>
    <t>Открытая полка</t>
  </si>
  <si>
    <t>Стеллаж 8 секций Размеры:720x390x1820 мм</t>
  </si>
  <si>
    <t>м38</t>
  </si>
  <si>
    <t>Открытые стеллажи с контейнерами</t>
  </si>
  <si>
    <t>Открытые стеллажи с контейнерами. Размеры 1800х430х620мм</t>
  </si>
  <si>
    <t>м39</t>
  </si>
  <si>
    <t xml:space="preserve">Открытый стеллаж </t>
  </si>
  <si>
    <t>Шкаф стеллаж открытый 2000х300х1000мм. Корпус, полки из ЛДСП 16мм, 20 ячеек, задняя стенка из МДФ 5мм</t>
  </si>
  <si>
    <t>м4</t>
  </si>
  <si>
    <t>Детский стол</t>
  </si>
  <si>
    <t>Детский стол на 4 - 5посадочных места, предназначенный для групповой работы детей. Конструкция выполнена из качественного дерева, МДФ или металла с ламинированной столешницей, что обеспечивает долговечность, устойчивость и лёгкость ухода.
Размеры изделия: высота — 480 мм, длина — 1180 мм, ширина — 580 мм.
Стол устойчивый, с безопасными округлыми кромками, рассчитан на ежедневное использование в детских учреждениях.</t>
  </si>
  <si>
    <t>м40</t>
  </si>
  <si>
    <t>Подставка для детских инструментов</t>
  </si>
  <si>
    <t>Подставка предназначена для хранения и размещения детских музыкальных инструментов (бубны, маракасы, треугольники, ксилофоны и др.). Используется в музыкальном зале дошкольного учреждения для поддержания порядка, удобного доступа и безопасного хранения инвентаря.</t>
  </si>
  <si>
    <t>м41</t>
  </si>
  <si>
    <t>Подставка для домбры / настенный держатель</t>
  </si>
  <si>
    <t>Подставка или настенный держатель предназначены для безопасного хранения домбры в музыкальном зале ДОУ. Обеспечивают сохранность инструмента и рациональную организацию пространства. Конструкция устойчивая, с защитными элементами в местах соприкосновения с инструментом.</t>
  </si>
  <si>
    <t>м42</t>
  </si>
  <si>
    <t>Подставка для зеркала индивидуальная</t>
  </si>
  <si>
    <t>Подставка используется для установки или подвешивания зеркала. Обеспечивает устойчивость и возможность изменения расположения.</t>
  </si>
  <si>
    <t>м43</t>
  </si>
  <si>
    <t>Подставка для цветов</t>
  </si>
  <si>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</si>
  <si>
    <t>м44</t>
  </si>
  <si>
    <t>Подставка для цветов напольная / на подоконник</t>
  </si>
  <si>
    <t>Деревянная подставка для цветов предназначена для размещения растений на полу или подоконнике. Используется в дошкольном учреждении для эстетического оформления помещений и рационального размещения растений. Конструкция устойчивая и безопасная для использования в помещениях ДОУ.</t>
  </si>
  <si>
    <t>м45</t>
  </si>
  <si>
    <t>Подставка vpn7-4</t>
  </si>
  <si>
    <t>Размеры: 800x574x550 мм</t>
  </si>
  <si>
    <t>м46</t>
  </si>
  <si>
    <t>Подставка vpn7-5</t>
  </si>
  <si>
    <t>Размеры: 1200x574x550 мм</t>
  </si>
  <si>
    <t>м47</t>
  </si>
  <si>
    <t>Подтоварник ce-st50120</t>
  </si>
  <si>
    <t>Нержавеющая сталь 430; С перфорированной полкой; Параметры: 1200x500x300 mm</t>
  </si>
  <si>
    <t>м48</t>
  </si>
  <si>
    <t>Полка для вытяжки ce-dofr320x40</t>
  </si>
  <si>
    <t>Нержавеющая сталь 430; Параметры: 3200x400x500 мм</t>
  </si>
  <si>
    <t>м49</t>
  </si>
  <si>
    <t>Полка для книг</t>
  </si>
  <si>
    <t>Полка предназначена для хранения детской и методической литературы. Размеры: Ширина 540 мм
Глубина360 мм Высота 460 мм</t>
  </si>
  <si>
    <t>м51</t>
  </si>
  <si>
    <t>Полка книжная настенная</t>
  </si>
  <si>
    <t>Настенная книжная полка. Размеры: Ширина 530 мм, Глубина120 мм, Высота 800 мм</t>
  </si>
  <si>
    <t>м52</t>
  </si>
  <si>
    <t>Полка настенная ce-dr140x30</t>
  </si>
  <si>
    <t>Нержавеющая сталь 430; Одинарная; Параметры: 1400x300x40 мм</t>
  </si>
  <si>
    <t>м53</t>
  </si>
  <si>
    <t>Полка настенная ce-dr150x30</t>
  </si>
  <si>
    <t>Нержавеющая сталь 430; Размеры:1500х300х40 мм</t>
  </si>
  <si>
    <t>м54</t>
  </si>
  <si>
    <t>Полка настенная ce-dr180x30</t>
  </si>
  <si>
    <t xml:space="preserve">Нержавеющая сталь 430; Одинарная; Параметры: 1800x300x40 мм
</t>
  </si>
  <si>
    <t>м56</t>
  </si>
  <si>
    <t>Пуф-мешок напольный для зоны отдыха и чтения</t>
  </si>
  <si>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</si>
  <si>
    <t>м57</t>
  </si>
  <si>
    <t>Пуфик-кресло с гранулами разных размеров</t>
  </si>
  <si>
    <t>Пуфик-кресло типа «груша» предназначено для зон отдыха, релаксации и индивидуальной работы с детьми. Максимальная нагрузка — 100 кг. Наполнитель — гранулы пенополистирола (0,5–3 мм). Материал внешнего чехла — ткань Оксфорд, чехол съёмный. Цвет — жёлтый.</t>
  </si>
  <si>
    <t>м61</t>
  </si>
  <si>
    <t>Сервисная полка двухуровневая ce-sr2180x40</t>
  </si>
  <si>
    <t>Нержавеющая сталь 430; 2-х уровневая;Размеры: 1800x400x700 мм</t>
  </si>
  <si>
    <t>м62</t>
  </si>
  <si>
    <t>Стеллаж (открытый)</t>
  </si>
  <si>
    <t>Стеллаж. Размеры 900×340×700 мм</t>
  </si>
  <si>
    <t>м63</t>
  </si>
  <si>
    <t>Стеллаж детский игровой с выкатными ящиками</t>
  </si>
  <si>
    <t xml:space="preserve">Закрытый стеллаж. Есть 4 секции с закрывающимися дверцами и 2 выдвижных ящика. Размер: 730х434х1148 мм. (ШхГхВ)
</t>
  </si>
  <si>
    <t>м64</t>
  </si>
  <si>
    <t>Стеллаж для дидактических материалов</t>
  </si>
  <si>
    <t>Размеры: Ширина 1000 мм, глубина 300 мм, высота 1280 мм</t>
  </si>
  <si>
    <t>м67</t>
  </si>
  <si>
    <t>Стеллаж металлический</t>
  </si>
  <si>
    <t>Металлический стеллаж предназначен для хранения инвентаря и материалов. Отличается прочностью, устойчивостью и долговечностью. Размеры 2500х1000х600</t>
  </si>
  <si>
    <t>м68</t>
  </si>
  <si>
    <t>Стеллаж ce-ir120x40x180</t>
  </si>
  <si>
    <t>Нержавеющая сталь 430; С 4 сплошными полками; Размеры: 1200x400x1800 мм</t>
  </si>
  <si>
    <t>м69</t>
  </si>
  <si>
    <t>Стеллаж ce-ir120x50x180</t>
  </si>
  <si>
    <t>Нержавеющая сталь 430; С 4 сплошными полками; Размеры: 1200x500x1800 мм</t>
  </si>
  <si>
    <t>м70</t>
  </si>
  <si>
    <t>Стеллаж ce-ir130x40x180</t>
  </si>
  <si>
    <t>Нержавеющая сталь 430; С 4 сплошными полками; Размеры: 1300x400x1800 мм</t>
  </si>
  <si>
    <t>м71</t>
  </si>
  <si>
    <t>Стеллаж ce-ir140x50x180</t>
  </si>
  <si>
    <t>Нержавеющая сталь 430; С 4 сплошными полками; Размеры: 1400x500x1800 мм</t>
  </si>
  <si>
    <t>м72</t>
  </si>
  <si>
    <t>Стеллаж ce-ir170x50x180</t>
  </si>
  <si>
    <t>Нержавеющая сталь 430; С 4 сплошными полками; Размеры: 1700x500x1800 мм</t>
  </si>
  <si>
    <t>м73</t>
  </si>
  <si>
    <t>Стеллаж ce-ir180x50x180</t>
  </si>
  <si>
    <t>Нержавеющая сталь 430; С 4 сплошными полками; Размеры: 1800x500x1800 мм</t>
  </si>
  <si>
    <t>м74</t>
  </si>
  <si>
    <t>Стеллаж-полка «Ёлка»</t>
  </si>
  <si>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</si>
  <si>
    <t>м75</t>
  </si>
  <si>
    <t>Стенд для поделок</t>
  </si>
  <si>
    <t>Стенд предназначен для демонстрации детских поделок и творческих работ. Размер 1550×740 мм, используется в групповых помещениях и коридорах ДОУ.</t>
  </si>
  <si>
    <t>м76</t>
  </si>
  <si>
    <t>Стойка для цветов</t>
  </si>
  <si>
    <t>Подставка для размещения комнатных растений. Предназначена для организации зелёных зон в помещении, устойчивая и безопасная в использовании.</t>
  </si>
  <si>
    <t>м77</t>
  </si>
  <si>
    <t>Стол</t>
  </si>
  <si>
    <t xml:space="preserve">Простой стол без полок, предназначен для раскладывания и размещения предметов, материалов и принадлежностей в образовательной среде. 1200x750x750 (ШхГхВ)
</t>
  </si>
  <si>
    <t>м78</t>
  </si>
  <si>
    <t>Стол 1 полка ce-tc1100x70</t>
  </si>
  <si>
    <t>Нержавеющая сталь 430; С одной полкой и  бортиком; Параметры: 1000x700x850 мм</t>
  </si>
  <si>
    <t>м79</t>
  </si>
  <si>
    <t>Стол 1 полка ce-tc1110x70</t>
  </si>
  <si>
    <t>Нержавеющая сталь 430; С одной полкой и бортиком; Параметры: 1100x700x850 мм</t>
  </si>
  <si>
    <t>м8</t>
  </si>
  <si>
    <t>Диван прямой нераскладной</t>
  </si>
  <si>
    <t>Прямой диван используется для сидения и кратковременного отдыха. Конструкция нераскладная, с обивкой из экокожи или винилискожи. Высота изделия составляет не менее 50 см, глубина — около 40 см. Подходит для размещения в помещениях.</t>
  </si>
  <si>
    <t>м80</t>
  </si>
  <si>
    <t>Стол 1 полка ce-tc1120x70</t>
  </si>
  <si>
    <t>Нержавеющая сталь AISI 430; С одной полкой и бортиком; Параметры: 1200x700x850 мм</t>
  </si>
  <si>
    <t>м81</t>
  </si>
  <si>
    <t>Стол 1 полка ce-tc1130x70</t>
  </si>
  <si>
    <t>Нержавеющая сталь 430; С одной полкой и бортиком; Параметры: 1300x700x850 мм</t>
  </si>
  <si>
    <t>м82</t>
  </si>
  <si>
    <t>Стол 1 полка ce-tc1140x70</t>
  </si>
  <si>
    <t>Нержавеющая сталь AISI 430; С одной полкой и бортиком; Параметры: 1400x700x850 мм</t>
  </si>
  <si>
    <t>м83</t>
  </si>
  <si>
    <t>Стол 1 полка ce-tc1150x70</t>
  </si>
  <si>
    <t>Нержавеющая сталь AISI 430; С одной полкой и бортиком; Параметры: 1500x700x850 мм</t>
  </si>
  <si>
    <t>м84</t>
  </si>
  <si>
    <t>Стол 1 полка ce-tc1180x70</t>
  </si>
  <si>
    <t>Нержавеющая сталь AISI 430; С одной полкой и бортиком; Параметры: 1800x700x850 мм</t>
  </si>
  <si>
    <t>м85</t>
  </si>
  <si>
    <t>Стол верх пэ ce-tcp180x70</t>
  </si>
  <si>
    <t>Нержавеющая сталь 430; Толщина полиэтилена: 4 см; Без полки, с бортиком; Параметры: 1800x700x850 мм</t>
  </si>
  <si>
    <t>м86</t>
  </si>
  <si>
    <t>Стол детский</t>
  </si>
  <si>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</si>
  <si>
    <t>м87</t>
  </si>
  <si>
    <t>Стол для грязной посуды ce-tbs100x75</t>
  </si>
  <si>
    <t>Нержавеющая сталь AISI 430; С воронкой для отходов, без полки; Параметры: 1000x700x850 мм</t>
  </si>
  <si>
    <t>м88</t>
  </si>
  <si>
    <t>Стол для кабинета</t>
  </si>
  <si>
    <t>Размеры: 1500×600×750 мм.Тумба предназначена для хранения бумаги, документации и методических материалов. Оснащена выдвижными ящиками</t>
  </si>
  <si>
    <t>м89</t>
  </si>
  <si>
    <t>Стол для мытья овощей с отверстием для отходов ce-tys120x80sd</t>
  </si>
  <si>
    <t>Нержавеющая сталь, с полкой, с бортами с трех сторон, полностью сварной, профильная труба ножек - 40х40 мм, столешница усилена ребром жесткости из нержавеющей стали, толщина стали - 1 мм, с отсерстием для отходов, габариты: 1200х80х850 мм</t>
  </si>
  <si>
    <t>м9</t>
  </si>
  <si>
    <t>Зеркало акриловое настенное</t>
  </si>
  <si>
    <t>Акриловое зеркало используется для безопасного визуального отражения в помещениях. Материал отличается малым весом и устойчивостью к повреждениям. Предназначено для размещения в проёмах и между оконными зонами.</t>
  </si>
  <si>
    <t>м90</t>
  </si>
  <si>
    <t>Стол для мытья овощей ce-tsy120x70</t>
  </si>
  <si>
    <t>Нержавеющая сталь AISI 430; Раковина
для мытья и сушки; Параметры:
1200x700x850 мм</t>
  </si>
  <si>
    <t>м91</t>
  </si>
  <si>
    <t>Стол для обработки рыбы ce-tbh120x70</t>
  </si>
  <si>
    <t>Нержавеющая сталь AISI 430; Раковина для мытья и сушки, c полиэтиленовой доской для резки; Параметры: 1200x700x850 мм</t>
  </si>
  <si>
    <t>м93</t>
  </si>
  <si>
    <t>Стол для экспериментирования с песком и водой</t>
  </si>
  <si>
    <t>Стол предназначен для сенсорных и исследовательских занятий. Размеры: 850×500×460 мм. Оснащён двумя цветными пластиковыми ёмкостями для воды и сыпучих материалов, нижней открытой полкой для инвентаря. Установлен на колёсных опорах диаметром 50 мм. Материал — ЛДСП 16 мм. Все углы скруглены.</t>
  </si>
  <si>
    <t>м94</t>
  </si>
  <si>
    <t>Стол инструментальный</t>
  </si>
  <si>
    <t>Стол используется для размещения медицинских инструментов и расходных материалов. (600х400х860 мм)</t>
  </si>
  <si>
    <t>м95</t>
  </si>
  <si>
    <t>Стол на роликах ce-tch120x60</t>
  </si>
  <si>
    <t>Нержавеющая сталь AISI 430; С полкой и 4 колесами; Параметры: 1200x600x850 ммй</t>
  </si>
  <si>
    <t>м96</t>
  </si>
  <si>
    <t>Стол на роликах ce-tch180x70</t>
  </si>
  <si>
    <t>Нержавеющая сталь AISI 430; С полкой и 4 колесами; Параметры: 1800x700x850 мм</t>
  </si>
  <si>
    <t>м97</t>
  </si>
  <si>
    <t>Стол обеденный</t>
  </si>
  <si>
    <t>Стол обеденный предназначен для приёма пищи персонала. Конструкция устойчивая, поверхность моющаяся и устойчивая к воздействию влаги и моющих средств. Размеры 750х1000х600</t>
  </si>
  <si>
    <t>м99</t>
  </si>
  <si>
    <t>Стол подачи посудомойки ce-tbg100x75</t>
  </si>
  <si>
    <t>Нержавеющая сталь AISI 430; С одной  раковиной без полки; Мойка: 50x40x25 см; Параметры: 1000x750x850 мм</t>
  </si>
  <si>
    <t>т1</t>
  </si>
  <si>
    <t>Акустическая система</t>
  </si>
  <si>
    <t>Microlab M-106, 10Вт (2,5Вт*2+5Вт), выход 2RCA, вход 3.5 MiniJack</t>
  </si>
  <si>
    <t>т11</t>
  </si>
  <si>
    <t>Гарнитура</t>
  </si>
  <si>
    <t>Гарнитура А4Tech HU-35</t>
  </si>
  <si>
    <t>т12</t>
  </si>
  <si>
    <t>Гладильный стол складной omega</t>
  </si>
  <si>
    <t>Электрообогрев с термостатическим управлением; Стандартные функции включают в себя: вакуумный двигатель и поддержку PONY Baby; Напряжение: 230-1-50 Гц; Двигатель 73 Вт; Габариты: 40x140xh92 см</t>
  </si>
  <si>
    <t>т13</t>
  </si>
  <si>
    <t>Интерактивная панель 75 дюймов</t>
  </si>
  <si>
    <t xml:space="preserve">Интерактивная панель SAMSUNG c диагональю 75 дюймов, 8 ядерный, с разрешением экрана 4K (3840 x 2160), встроенная внутренняя память 64 GB, оперативная память 8 GB, ОС Android 13.0 с EDLA сертификацией (Поддержка Google Play), с ПО по 3D урокам Mozaik. Программное обеспечение для демонстрации опытов по естественным наукам для преподавателя Mozaik с 3 годовым доступом. Контентное содержание программного обеспечения: Программное обеспечение предназначено для проведения демонстрационных опытов по предметам химии, биологии, физики. Имеет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Программное обеспечение распознает жесты для вращения 3D объектов, увеличения 3D объектов. 
</t>
  </si>
  <si>
    <t>т14</t>
  </si>
  <si>
    <t>Картофелечистка pat 650t</t>
  </si>
  <si>
    <t>Вместимость: 5-10 кг; Пластиковый редуктор; 380 В; Мощность: 0.55 кВт; Размеры: 48x76x102 см</t>
  </si>
  <si>
    <t>т15</t>
  </si>
  <si>
    <t>Котел варочный электрический vpe7-23</t>
  </si>
  <si>
    <t>Объем: 80 л; 0,55 м3/15 кВт-400 В; Размеры: 700X800X850 мм</t>
  </si>
  <si>
    <t>т16</t>
  </si>
  <si>
    <t>Кулер</t>
  </si>
  <si>
    <t>Кулер для воды SVC Aqua 1</t>
  </si>
  <si>
    <t>т17</t>
  </si>
  <si>
    <t>Ламинатор</t>
  </si>
  <si>
    <t>Ламинатор GBC Fusion 1100L Офисное оборудование для ламинирования печатных материалов формата А4. Используется для защиты методических пособий, карточек и наглядных материалов от износа и загрязнений. Подходит для применения в образовательной среде.</t>
  </si>
  <si>
    <t>т170</t>
  </si>
  <si>
    <t>Мобильная стойка</t>
  </si>
  <si>
    <t xml:space="preserve">Мобильная стойка для интерактивной панели на колёсах. Диагональ экрана 75 дюймов. </t>
  </si>
  <si>
    <t>т18</t>
  </si>
  <si>
    <t>Машина для резки овощей seb 210m</t>
  </si>
  <si>
    <t>Вместимость: 300 кг/час; Настольный; 5 ножей; 220 В; Мощность: 0.37 кВт; Размеры: 27x88x108 см</t>
  </si>
  <si>
    <t>т19</t>
  </si>
  <si>
    <t>Микроволновая печь</t>
  </si>
  <si>
    <t>Микроволновая печь предназначена для разогрева готовых блюд и напитков в бытовой/служебной зоне дошкольного учреждения. Объём камеры — не менее 20 л, мощность микроволн — не менее 700 Вт, что обеспечивает быстрый разогрев стандартных порций. Управление выполняется с помощью механических или электронных регуляторов с таймером не менее 30 минут и звуковым сигналом окончания цикла. Внутренняя камера имеет покрытие, устойчивое к загрязнениям и допускающее регулярную влажную очистку. Дверца оснащена надёжным замком и ручкой, исключающей случайное самопроизвольное открывание. Устройство устанавливается на устойчивую поверхность, подключается к сети 220 В и используется взрослыми сотрудниками.</t>
  </si>
  <si>
    <t>т2</t>
  </si>
  <si>
    <t>Акустическая система для музыкального зала</t>
  </si>
  <si>
    <t>Акустическая система Electro-Voice ZLX12 G2 предназначена для озвучивания музыкального зала во время занятий и праздничных мероприятий. Наличие беспроводного микрофона. Обеспечивает качественное воспроизведение звука и ограничение уровня громкости в соответствии с требованиями. Корпус выполнен без острых углов и рассчитан на стационарное использование.</t>
  </si>
  <si>
    <t>т20</t>
  </si>
  <si>
    <t>Микшерный пульт для управления звуковыми источниками</t>
  </si>
  <si>
    <t>Микшерный пульт Razer Audio Maker предназначен для сведения и регулирования звуковых сигналов при проведении музыкальных занятий, утренников и мероприятий. Количество входных каналов — не менее 4, с отдельной регулировкой уровня громкости каждого канала для балансировки микрофонов и фонограммы. Пульт обеспечивает настройку тембра/эквализации не менее по 2 параметрам на канал либо общий эквалайзер для коррекции звучания помещения. Предусмотрена функция защиты от резких звуковых пиков (лимитер/ограничение уровня) или плавная регулировка, уменьшающая риск неприятных «всплесков» громкости. Корпус устойчивый, с читаемой маркировкой органов управления и возможностью размещения на столе/стойке в зоне педагога, вне доступа детей. Подключение осуществляется через стандартные аудиоразъёмы, питание — от сети, эксплуатация соответствует требованиям электробезопасности. Используется для создания разборчивой речи и комфортного музыкального сопровождения.</t>
  </si>
  <si>
    <t>т21</t>
  </si>
  <si>
    <t>МФУ</t>
  </si>
  <si>
    <t>МФУ Epson M2110, A4, 15 ppm,1440 x 720 dpi, USB, LAN, tray 150</t>
  </si>
  <si>
    <t>МФУ Epson M2110, A4, 15 ppm,1440 x 720 dpi, USB, LAN, tray 151</t>
  </si>
  <si>
    <t>МФУ Epson M2110, A4, 15 ppm,1440 x 720 dpi, USB, LAN, tray 152</t>
  </si>
  <si>
    <t>МФУ Epson M2110, A4, 15 ppm,1440 x 720 dpi, USB, LAN, tray 153</t>
  </si>
  <si>
    <t>МФУ Epson M2110, A4, 15 ppm,1440 x 720 dpi, USB, LAN, tray 154</t>
  </si>
  <si>
    <t>т22</t>
  </si>
  <si>
    <t xml:space="preserve">Моноблок </t>
  </si>
  <si>
    <t>Моноблок Avtech G40, Intel® Core™ i3-10100 частота 3.60-4,30 GHz 4 ядра 8 потоков, Intel HD Graphics 630, ОЗУ DDR4 8G, ПЗУ SSD 256G, Windows 10/11</t>
  </si>
  <si>
    <t>т23</t>
  </si>
  <si>
    <t>Музыкальный центр (портативная акустическая система)</t>
  </si>
  <si>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</si>
  <si>
    <t>т24</t>
  </si>
  <si>
    <t>Мясорубка epa 22t</t>
  </si>
  <si>
    <t>Хромированный; No:22; Вместимость: 400кг; 380 В; Мощность: 1.1 kW; Размеры:36x78x52 см</t>
  </si>
  <si>
    <t>т25</t>
  </si>
  <si>
    <t>Наушники накладные</t>
  </si>
  <si>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</si>
  <si>
    <t>т26</t>
  </si>
  <si>
    <t>Ноутбук</t>
  </si>
  <si>
    <t>Ноутбук ASUS B1502CVA, Core i7 1355U/15,6"FHD/8GB/256GB SSD/Intel UHD/WL/BT/Cam/W11Pro</t>
  </si>
  <si>
    <t>т27</t>
  </si>
  <si>
    <t>Освещение для вытяжки ce-dla90</t>
  </si>
  <si>
    <t>Нержавеющая сталь 430; 0.03 кВт;  Параметры: 880x30x40 mm</t>
  </si>
  <si>
    <t>т28</t>
  </si>
  <si>
    <t>Очиститель воздуха</t>
  </si>
  <si>
    <t xml:space="preserve">Очиститель воздуха Smartmi Air Purifier P2 </t>
  </si>
  <si>
    <t>т29</t>
  </si>
  <si>
    <t>Парогенератор с утюгом baby 1.8</t>
  </si>
  <si>
    <t>Ручная подача воды; Объем: 1,8 л; 230-1-50 Гц; Размеры: 400x230x320 мм</t>
  </si>
  <si>
    <t>т30</t>
  </si>
  <si>
    <t>Пароконвектомат электрический 217839</t>
  </si>
  <si>
    <t>Пароконвектомат SkyLine Premium, бойлерный; С цифровой панелью управления; На 10 уровней GN 1/1; Программируемый; Встроенная система мойки; Размеры: 867x775x1058 мм; Мощность: 19 кВт; 380-415 V 3N 50-60 Гц</t>
  </si>
  <si>
    <t>т31</t>
  </si>
  <si>
    <t>Плита электрическая vpe7-07</t>
  </si>
  <si>
    <t>6 конфорок; 0,84 м3; Мощность: 15,6 кВт-400 В; Габариты: 1200х700х300 мм</t>
  </si>
  <si>
    <t>т32</t>
  </si>
  <si>
    <t>Посудомоечная машина купольная wz-100-d</t>
  </si>
  <si>
    <t>_Корпус, передняя и боковые панели, моечный бак изготовлены из нержавеющей стали 18/10; Стандартное оборудование: ополаскивающий насос, операционная система 24 В, сливной насос; Корзина: 50х50 см; 3 программы; Продолжительность программ: 1, 1.5 и 2 мин.; Производительность: 1000 тарелок/час, 40 корзин/час</t>
  </si>
  <si>
    <t>т33</t>
  </si>
  <si>
    <t>Пылесос</t>
  </si>
  <si>
    <t>Пылесос индустриальный</t>
  </si>
  <si>
    <t>т34</t>
  </si>
  <si>
    <t xml:space="preserve">Рециркулятор </t>
  </si>
  <si>
    <t>ОБЛУЧАТЕЛЬ-РЕЦИРКУЛЯТОР БАКТЕРИЦИДНЫЙ (2х15 ВТ) 825х155х130мм, без подставки, Масса без упаковки, кг: 7</t>
  </si>
  <si>
    <t>т36</t>
  </si>
  <si>
    <t>Сетевой фильтр 5 м.</t>
  </si>
  <si>
    <t>Сетевой фильтр Trip-Lite Super 6 DEU, 6 розеток, 5м</t>
  </si>
  <si>
    <t>т37</t>
  </si>
  <si>
    <t>Сковорода опрокидываемая электрическая vpe7-22</t>
  </si>
  <si>
    <t>Температура: 50-230 C; Объем: 50 л;  Мощность: 7.2 кВт; Напряжение: 400 V; Габариты: 700x800x850 мм</t>
  </si>
  <si>
    <t>т38</t>
  </si>
  <si>
    <t>Слайсер jp.gd.250</t>
  </si>
  <si>
    <t>Корпус из нержавеющей стали; Изготовлен из анодированного алюминия; Диаметр лезвия: 250 мм; Электрическое подключение: 220 В - 50 Гц; Мощность: 0.24 кВт; Размеры: 535x475x490 мм</t>
  </si>
  <si>
    <t>т39</t>
  </si>
  <si>
    <t>Стерилизатор ножей vbs-10</t>
  </si>
  <si>
    <t>Вместимость: 10 ножей; 0,02 кВт / 230 В; Ультрафиолет; Таймер 0-90 мин; Размеры: 500x117x600мм</t>
  </si>
  <si>
    <t>т4</t>
  </si>
  <si>
    <t>Беговая дорожка электрическая</t>
  </si>
  <si>
    <t>Беговая дорожка Torneo Magic T-400BL используется для выполнения ходьбы и бега в помещении. Оснащена электрическим приводом с регулировкой скорости движения полотна от 1 до 10 км/ч. Размер бегового полотна составляет не менее 94×38 см. Предусмотрена регулировка угла наклона и складная конструкция. Рассчитана на пользователей с массой тела до 90 кг.</t>
  </si>
  <si>
    <t>т40</t>
  </si>
  <si>
    <t>Стиральная машина + сушильная машина qps10</t>
  </si>
  <si>
    <t>т41</t>
  </si>
  <si>
    <t>Стиральная машина fx 240</t>
  </si>
  <si>
    <t>Вместимость: (1:09) 27 кг, (1:10) 24 кг; Объем барабана: 240 л; G-Фактор: 400; Диаметр барабана: 750 mm; Обороты стирки: 42 rpm; Обороты отжима: 980 rpm; 100% горячая вода нагрев: 90 C; Электрический нагрев: 18 Kw; 380-415V/50-60Hz/3Ph+N</t>
  </si>
  <si>
    <t>т42</t>
  </si>
  <si>
    <t>Сушильная машина t 24</t>
  </si>
  <si>
    <t>Вместимость: (1:18) 25 кг, (1:22) 24 кг;Объем барабана: 530 л; Диаметр барабана: 930 мм; Средняя скорость сушки: 0.384 л/мин; Электрическая мощность: 30/36 кВт; 380-415 В/50-60 Гц/3 фазы; Размеры: 1975x965x1270 мм</t>
  </si>
  <si>
    <t>т43</t>
  </si>
  <si>
    <t>Сушильно-гладильная машина i33 200</t>
  </si>
  <si>
    <t>Диаметр вала: 320 мм; Длина вала: 2080 мм; Электрический нагрев; 380-415V/50-60Hz/3Ph+N; Электрический нагрев: 27,9 кВт; Мощность двигателя вала: 0,18 кВт; Мощность двигателя вентилятора: 0,08 (50Hz) кВт; Загрузка: 70 кг/ч</t>
  </si>
  <si>
    <t>т46</t>
  </si>
  <si>
    <t>Тестомес hym 600t</t>
  </si>
  <si>
    <t>Вместимость (мука+вода): 25 кг + 20 л; Котел: o600x290 мм; Размеры: 70x100x104 см; 380 В (Трехфазный); Мощность: 1.1 кВт</t>
  </si>
  <si>
    <t>т47</t>
  </si>
  <si>
    <t>Увлажнитель воздуха</t>
  </si>
  <si>
    <t>Увлажнитель воздуха Redmond RHF-3316</t>
  </si>
  <si>
    <t>т48</t>
  </si>
  <si>
    <t>Уничтожитель документов</t>
  </si>
  <si>
    <t>Устройство предназначено для уничтожения бумажных документов с целью защиты конфиденциальной информации. Используется в административных и служебных помещениях дошкольного учреждения. Обеспечивает механическое измельчение бумаги, подходит для регулярного офисного использования. Конструкция безопасна в эксплуатации, проста в обслуживании, размещается в рабочей зоне персонала.</t>
  </si>
  <si>
    <t>т49</t>
  </si>
  <si>
    <t>Уничтожитель насекомых kp 40</t>
  </si>
  <si>
    <t>Решетчатая система; 220 В / 50 Гц с 2 короткими лампами по 20 Вт; Потребляет 0,04 кВт электроэнергии на 40 Вт; Площадь воздействия 40 м2; Размеры: 700 x 215 x 390 мм.</t>
  </si>
  <si>
    <t>т5</t>
  </si>
  <si>
    <t>Беспроводная микрофонная система для музыкального зала</t>
  </si>
  <si>
    <t>Беспроводная микрофонная система JBL VM200. Комплект включает 1 передатчик (микрофон) и 1 приёмник с возможностью подключения к акустике. Дальность устойчивой работы — не менее 20 м в помещении, приём сигнала стабильный, без слышимых помех при штатной эксплуатации. Корпус элементов выполнен из прочного материала, обеспечивающего защиту от случайных ударов и безопасное использование под контролем взрослого. Система предусматривает защиту от резких звуковых пиков и плавную регулировку уровня, что важно для соблюдения комфортной громкости для детей. Питание — от батарей/аккумуляторов с временем непрерывной работы не менее 3 часов.</t>
  </si>
  <si>
    <t>т50</t>
  </si>
  <si>
    <t>Холодильная камера 4190x3000x2400</t>
  </si>
  <si>
    <t>т500</t>
  </si>
  <si>
    <t>Тепловая завеса</t>
  </si>
  <si>
    <t>Компактная тепловая завеса</t>
  </si>
  <si>
    <t>т52</t>
  </si>
  <si>
    <t>Холодильный стол vsy-2</t>
  </si>
  <si>
    <t>Температура: -2/+8; 0,3 кВт/230 В 1+Н  50/60 Гц; Габариты: 1340х700х850 мм</t>
  </si>
  <si>
    <t>т53</t>
  </si>
  <si>
    <t>Холодильный стол vsy-3</t>
  </si>
  <si>
    <t>Температура: -2/+8 С; Мощность: 0,39 кВт; 230В 1+Н 50/60Гц; Габариты: 1820x700x850 мм</t>
  </si>
  <si>
    <t>т54</t>
  </si>
  <si>
    <t>Холодильный шкаф 1 дверь vsp-1</t>
  </si>
  <si>
    <t>Температура: -2/+8 С; Мощность: 0,3 кВт; 230В 1+Н 50/60Гц; Габариты: 656x811x2050 мм</t>
  </si>
  <si>
    <t>т56</t>
  </si>
  <si>
    <t>Швейная машинка</t>
  </si>
  <si>
    <t>Janome, автомат, электромеханическая, количество швейных операций
22, контроль натяжения нитей, тип челнока вертикальный</t>
  </si>
  <si>
    <t>т57</t>
  </si>
  <si>
    <t>LED экран</t>
  </si>
  <si>
    <t>Светодиодный экран предназначен для визуального сопровождения занятий, мероприятий и презентаций. Используется в образовательных и развивающих целях в помещениях дошкольного учреждения.
Размер 2х3 м</t>
  </si>
  <si>
    <t>т6</t>
  </si>
  <si>
    <t>Вентиляция вытяжная</t>
  </si>
  <si>
    <t>Система принудительной вытяжной вентиляции для обеспечения воздухообмена и поддержания комфортного микроклимата в помещении.</t>
  </si>
  <si>
    <t>т63</t>
  </si>
  <si>
    <t>Источник бесперебойного питания</t>
  </si>
  <si>
    <t>Источник бесперебойного питания UPS SVC V2000-L, 2000VA, 1200W, 2x12v/9 Ah, AVR 175-275V, 2 розет.	Техника	шт.	1	119 000,00	119 000,00			71 339</t>
  </si>
  <si>
    <t>Источник бесперебойного питания UPS SVC V2000-L, 2000VA, 1200W, 2x12v/9 Ah, AVR 175-275V, 2 розет.	Техника	шт.	1	119 000,00	119 000,00			71 340</t>
  </si>
  <si>
    <t>Источник бесперебойного питания UPS SVC V2000-L, 2000VA, 1200W, 2x12v/9 Ah, AVR 175-275V, 2 розет.	Техника	шт.	1	119 000,00	119 000,00			71 341</t>
  </si>
  <si>
    <t>Источник бесперебойного питания UPS SVC V2000-L, 2000VA, 1200W, 2x12v/9 Ah, AVR 175-275V, 2 розет.	Техника	шт.	1	119 000,00	119 000,00			71 342</t>
  </si>
  <si>
    <t>Источник бесперебойного питания UPS SVC V2000-L, 2000VA, 1200W, 2x12v/9 Ah, AVR 175-275V, 2 розет.	Техника	шт.	1	119 000,00	119 000,00			71 343</t>
  </si>
  <si>
    <t>Источник бесперебойного питания UPS SVC V2000-L, 2000VA, 1200W, 2x12v/9 Ah, AVR 175-275V, 2 розет.	Техника	шт.	1	119 000,00	119 000,00			71 344</t>
  </si>
  <si>
    <t>Источник бесперебойного питания UPS SVC V2000-L, 2000VA, 1200W, 2x12v/9 Ah, AVR 175-275V, 2 розет.	Техника	шт.	1	119 000,00	119 000,00			71 345</t>
  </si>
  <si>
    <t>Источник бесперебойного питания UPS SVC V2000-L, 2000VA, 1200W, 2x12v/9 Ah, AVR 175-275V, 2 розет.	Техника	шт.	1	119 000,00	119 000,00			71 346</t>
  </si>
  <si>
    <t>т64</t>
  </si>
  <si>
    <t>Кабель HDMI-HDMI</t>
  </si>
  <si>
    <t>Кабель HDMI-HDMI. Длина: 5м.</t>
  </si>
  <si>
    <t>т65</t>
  </si>
  <si>
    <t>Кабель USB</t>
  </si>
  <si>
    <t>Кабель USB 2.0 Type. Длина: 3 м.</t>
  </si>
  <si>
    <t>т66</t>
  </si>
  <si>
    <t>Телевизор 65"</t>
  </si>
  <si>
    <t>Коммерческий телевизор - 65UN640S, 65 дюймов типа LG</t>
  </si>
  <si>
    <t>Телевизор SONY с функцией Smart TV, диагональ 65 дюймов. Разрешение 3840 x 2160 (Ultra HD)</t>
  </si>
  <si>
    <t>т67</t>
  </si>
  <si>
    <t>Компьютерная мышь</t>
  </si>
  <si>
    <t>Мышь HP 125 Wired Mouse</t>
  </si>
  <si>
    <t>т68</t>
  </si>
  <si>
    <t>МФУ цветной</t>
  </si>
  <si>
    <t>МФУ HP Color Laser 178nw, A4, print 600x600dpi, 18ppm, scan 600x600dpi, LCD, USB, LAN, Wi-Fi</t>
  </si>
  <si>
    <t>т7</t>
  </si>
  <si>
    <t>Зонт вытяжной вентиляционный размерами 1200х700мм с устройством для сбора жировых отложений</t>
  </si>
  <si>
    <t>т8</t>
  </si>
  <si>
    <t xml:space="preserve">Зонт вытяжной вентиляционный </t>
  </si>
  <si>
    <t>Зонт вытяжной вентиляционный размерами 1200х1200мм с устройством для сбора 
жировых отложений</t>
  </si>
  <si>
    <t>т9</t>
  </si>
  <si>
    <t>Зонт вытяжной вентиляционный размерами 3200х2200мм с устройством для сбора 
жировых отложений</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</si>
</sst>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color rgb="FF000000"/>
      <name val="Arial"/>
    </font>
    <font>
      <color theme="1"/>
      <name val="Arial"/>
      <scheme val="minor"/>
    </font>
    <font>
      <color theme="1"/>
      <name val="Arial"/>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center" wrapText="1"/>
    </xf>
    <xf borderId="1" fillId="2" fontId="1" numFmtId="0" xfId="0" applyAlignment="1" applyBorder="1" applyFont="1">
      <alignment horizontal="center" shrinkToFit="0" vertical="center" wrapText="1"/>
    </xf>
    <xf borderId="1" fillId="2" fontId="1" numFmtId="3" xfId="0" applyAlignment="1" applyBorder="1" applyFont="1" applyNumberFormat="1">
      <alignment horizontal="center" shrinkToFit="0" vertical="center" wrapText="1"/>
    </xf>
    <xf borderId="1" fillId="2" fontId="2" numFmtId="0" xfId="0" applyAlignment="1" applyBorder="1" applyFont="1">
      <alignment horizontal="center" shrinkToFit="0" vertical="center" wrapText="1"/>
    </xf>
    <xf borderId="0" fillId="0" fontId="3" numFmtId="0" xfId="0" applyAlignment="1" applyFont="1">
      <alignment readingOrder="0" shrinkToFit="0" vertical="center" wrapText="0"/>
    </xf>
    <xf borderId="0" fillId="0" fontId="3" numFmtId="0" xfId="0" applyAlignment="1" applyFont="1">
      <alignment shrinkToFit="0" wrapText="1"/>
    </xf>
    <xf borderId="1" fillId="0" fontId="4" numFmtId="0" xfId="0" applyAlignment="1" applyBorder="1" applyFont="1">
      <alignment shrinkToFit="0" vertical="center" wrapText="1"/>
    </xf>
    <xf borderId="1" fillId="0" fontId="4" numFmtId="4" xfId="0" applyAlignment="1" applyBorder="1" applyFont="1" applyNumberFormat="1">
      <alignment horizontal="right" shrinkToFit="0" vertical="center" wrapText="1"/>
    </xf>
    <xf borderId="1" fillId="0" fontId="4" numFmtId="3" xfId="0" applyAlignment="1" applyBorder="1" applyFont="1" applyNumberFormat="1">
      <alignment horizontal="right" shrinkToFit="0" vertical="center" wrapText="1"/>
    </xf>
    <xf borderId="1" fillId="0" fontId="3" numFmtId="0" xfId="0" applyAlignment="1" applyBorder="1" applyFont="1">
      <alignment shrinkToFit="0" vertical="center" wrapText="0"/>
    </xf>
    <xf borderId="1" fillId="0" fontId="4" numFmtId="0" xfId="0" applyAlignment="1" applyBorder="1" applyFont="1">
      <alignment horizontal="right" shrinkToFit="0" vertical="center" wrapText="1"/>
    </xf>
    <xf borderId="1" fillId="0" fontId="4" numFmtId="49" xfId="0" applyAlignment="1" applyBorder="1" applyFont="1" applyNumberFormat="1">
      <alignment shrinkToFit="0" vertical="center" wrapText="1"/>
    </xf>
    <xf borderId="1" fillId="0" fontId="4" numFmtId="2" xfId="0" applyAlignment="1" applyBorder="1" applyFont="1" applyNumberFormat="1">
      <alignment horizontal="right" shrinkToFit="0" vertical="center" wrapText="1"/>
    </xf>
    <xf borderId="1" fillId="0" fontId="4" numFmtId="4" xfId="0" applyAlignment="1" applyBorder="1" applyFont="1" applyNumberFormat="1">
      <alignment shrinkToFit="0" vertical="center" wrapText="1"/>
    </xf>
    <xf borderId="1" fillId="0" fontId="4" numFmtId="3" xfId="0" applyAlignment="1" applyBorder="1" applyFont="1" applyNumberFormat="1">
      <alignment shrinkToFit="0" vertical="center" wrapText="1"/>
    </xf>
    <xf borderId="0" fillId="0" fontId="4" numFmtId="0" xfId="0" applyAlignment="1" applyFont="1">
      <alignment vertical="bottom"/>
    </xf>
    <xf borderId="0" fillId="0" fontId="3"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13"/>
    <col customWidth="1" min="2" max="2" width="41.5"/>
    <col customWidth="1" min="3" max="3" width="102.25"/>
    <col customWidth="1" min="6" max="6" width="13.88"/>
    <col customWidth="1" min="7" max="7" width="14.38"/>
    <col customWidth="1" min="8" max="8" width="24.38"/>
    <col customWidth="1" min="9" max="10" width="55.0"/>
  </cols>
  <sheetData>
    <row r="1">
      <c r="A1" s="1" t="s">
        <v>0</v>
      </c>
      <c r="B1" s="2" t="s">
        <v>1</v>
      </c>
      <c r="C1" s="2" t="s">
        <v>2</v>
      </c>
      <c r="D1" s="3" t="s">
        <v>3</v>
      </c>
      <c r="E1" s="4" t="s">
        <v>4</v>
      </c>
      <c r="F1" s="5" t="s">
        <v>5</v>
      </c>
      <c r="G1" s="5" t="s">
        <v>6</v>
      </c>
      <c r="I1" s="6"/>
      <c r="J1" s="6"/>
    </row>
    <row r="2">
      <c r="A2" s="7"/>
      <c r="B2" s="7" t="s">
        <v>7</v>
      </c>
      <c r="C2" s="7" t="s">
        <v>8</v>
      </c>
      <c r="D2" s="8">
        <v>300900.0</v>
      </c>
      <c r="E2" s="9">
        <v>1.0</v>
      </c>
      <c r="F2" s="10" t="str">
        <f>IFERROR(__xludf.DUMMYFUNCTION("REGEXREPLACE(B2&amp;"" ""&amp;C2,""[^а-яa-z0-9 ]"","" "")"),"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f>
        <v>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v>
      </c>
      <c r="G2" s="10" t="str">
        <f>IFERROR(__xludf.DUMMYFUNCTION("TEXTJOIN(""|"",TRUE,UNIQUE(FILTER(SPLIT(F2,"" ""),LEN(SPLIT(F2,"" ""))&gt;2)))"),"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f>
        <v>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v>
      </c>
      <c r="I2" s="6"/>
      <c r="J2" s="6"/>
    </row>
    <row r="3">
      <c r="A3" s="7"/>
      <c r="B3" s="7" t="s">
        <v>9</v>
      </c>
      <c r="C3" s="7" t="s">
        <v>10</v>
      </c>
      <c r="D3" s="8">
        <v>1627750.0</v>
      </c>
      <c r="E3" s="9">
        <v>1.0</v>
      </c>
      <c r="F3" s="10" t="str">
        <f>IFERROR(__xludf.DUMMYFUNCTION("LOWER(REGEXREPLACE(B3&amp;"" ""&amp;C3,""[^а-яa-z0-9 ]"","" ""))"),"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f>
        <v>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v>
      </c>
      <c r="G3" s="10" t="str">
        <f>IFERROR(__xludf.DUMMYFUNCTION("TEXTJOIN(""|"",TRUE,UNIQUE(FILTER(SPLIT(F3,"" ""),LEN(SPLIT(F3,"" ""))&gt;2)))"),"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f>
        <v>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v>
      </c>
      <c r="I3" s="6"/>
      <c r="J3" s="6"/>
    </row>
    <row r="4">
      <c r="A4" s="7"/>
      <c r="B4" s="7" t="s">
        <v>11</v>
      </c>
      <c r="C4" s="7" t="s">
        <v>12</v>
      </c>
      <c r="D4" s="8">
        <v>104210.0</v>
      </c>
      <c r="E4" s="11">
        <v>1.0</v>
      </c>
      <c r="F4" s="10" t="str">
        <f>IFERROR(__xludf.DUMMYFUNCTION("LOWER(REGEXREPLACE(B4&amp;"" ""&amp;C4,""[^а-яa-z0-9 ]"","" ""))"),"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f>
        <v>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v>
      </c>
      <c r="G4" s="10" t="str">
        <f>IFERROR(__xludf.DUMMYFUNCTION("TEXTJOIN(""|"",TRUE,UNIQUE(FILTER(SPLIT(F4,"" ""),LEN(SPLIT(F4,"" ""))&gt;2)))"),"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f>
        <v>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v>
      </c>
      <c r="I4" s="6"/>
      <c r="J4" s="6"/>
    </row>
    <row r="5">
      <c r="A5" s="7"/>
      <c r="B5" s="7" t="s">
        <v>13</v>
      </c>
      <c r="C5" s="7" t="s">
        <v>14</v>
      </c>
      <c r="D5" s="8">
        <v>2419100.0</v>
      </c>
      <c r="E5" s="9">
        <v>1.0</v>
      </c>
      <c r="F5" s="10" t="str">
        <f>IFERROR(__xludf.DUMMYFUNCTION("LOWER(REGEXREPLACE(B5&amp;"" ""&amp;C5,""[^а-яa-z0-9 ]"","" ""))"),"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f>
        <v>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v>
      </c>
      <c r="G5" s="10" t="str">
        <f>IFERROR(__xludf.DUMMYFUNCTION("TEXTJOIN(""|"",TRUE,UNIQUE(FILTER(SPLIT(F5,"" ""),LEN(SPLIT(F5,"" ""))&gt;2)))"),"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f>
        <v>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v>
      </c>
      <c r="I5" s="6"/>
      <c r="J5" s="6"/>
    </row>
    <row r="6">
      <c r="A6" s="7"/>
      <c r="B6" s="7" t="s">
        <v>15</v>
      </c>
      <c r="C6" s="7" t="s">
        <v>16</v>
      </c>
      <c r="D6" s="8">
        <v>2023000.0</v>
      </c>
      <c r="E6" s="9">
        <v>1.0</v>
      </c>
      <c r="F6" s="10" t="str">
        <f>IFERROR(__xludf.DUMMYFUNCTION("LOWER(REGEXREPLACE(B6&amp;"" ""&amp;C6,""[^а-яa-z0-9 ]"","" ""))")," ппарат для терапии ультравысокой частоты      терапия   ппарат     терапии       30   ед  е о ")</f>
        <v> ппарат для терапии ультравысокой частоты      терапия   ппарат     терапии       30   ед  е о </v>
      </c>
      <c r="G6" s="10" t="str">
        <f>IFERROR(__xludf.DUMMYFUNCTION("TEXTJOIN(""|"",TRUE,UNIQUE(FILTER(SPLIT(F6,"" ""),LEN(SPLIT(F6,"" ""))&gt;2)))"),"ппарат|для|терапии|ультравысокой|частоты|терапия|ппарат|терапии")</f>
        <v>ппарат|для|терапии|ультравысокой|частоты|терапия|ппарат|терапии</v>
      </c>
      <c r="I6" s="6"/>
      <c r="J6" s="6"/>
    </row>
    <row r="7">
      <c r="A7" s="7"/>
      <c r="B7" s="7" t="s">
        <v>17</v>
      </c>
      <c r="C7" s="7" t="s">
        <v>18</v>
      </c>
      <c r="D7" s="8">
        <v>1800.0</v>
      </c>
      <c r="E7" s="9">
        <v>1.0</v>
      </c>
      <c r="F7" s="10" t="str">
        <f>IFERROR(__xludf.DUMMYFUNCTION("LOWER(REGEXREPLACE(B7&amp;"" ""&amp;C7,""[^а-яa-z0-9 ]"","" ""))")," едро для воды 10 л ведро для воды 10 л")</f>
        <v> едро для воды 10 л ведро для воды 10 л</v>
      </c>
      <c r="G7" s="10" t="str">
        <f>IFERROR(__xludf.DUMMYFUNCTION("TEXTJOIN(""|"",TRUE,UNIQUE(FILTER(SPLIT(F7,"" ""),LEN(SPLIT(F7,"" ""))&gt;2)))"),"едро|для|воды|ведро|для|воды")</f>
        <v>едро|для|воды|ведро|для|воды</v>
      </c>
      <c r="I7" s="6"/>
      <c r="J7" s="6"/>
    </row>
    <row r="8">
      <c r="A8" s="7"/>
      <c r="B8" s="7" t="s">
        <v>19</v>
      </c>
      <c r="C8" s="7" t="s">
        <v>20</v>
      </c>
      <c r="D8" s="8">
        <v>61200.0</v>
      </c>
      <c r="E8" s="9">
        <v>10.0</v>
      </c>
      <c r="F8" s="10" t="str">
        <f>IFERROR(__xludf.DUMMYFUNCTION("LOWER(REGEXREPLACE(B8&amp;"" ""&amp;C8,""[^а-яa-z0-9 ]"","" ""))")," етоши   кань обтирочная нетканая холстопрошивная  ширина 140см")</f>
        <v> етоши   кань обтирочная нетканая холстопрошивная  ширина 140см</v>
      </c>
      <c r="G8" s="10" t="str">
        <f>IFERROR(__xludf.DUMMYFUNCTION("TEXTJOIN(""|"",TRUE,UNIQUE(FILTER(SPLIT(F8,"" ""),LEN(SPLIT(F8,"" ""))&gt;2)))"),"етоши|кань|обтирочная|нетканая|холстопрошивная|ширина|140см")</f>
        <v>етоши|кань|обтирочная|нетканая|холстопрошивная|ширина|140см</v>
      </c>
      <c r="I8" s="6"/>
      <c r="J8" s="6"/>
    </row>
    <row r="9">
      <c r="A9" s="7"/>
      <c r="B9" s="7" t="s">
        <v>21</v>
      </c>
      <c r="C9" s="7" t="s">
        <v>22</v>
      </c>
      <c r="D9" s="8">
        <v>4900.0</v>
      </c>
      <c r="E9" s="9">
        <v>2.0</v>
      </c>
      <c r="F9" s="10" t="str">
        <f>IFERROR(__xludf.DUMMYFUNCTION("LOWER(REGEXREPLACE(B9&amp;"" ""&amp;C9,""[^а-яa-z0-9 ]"","" ""))")," релка резиновая  релка резиновая   это резиновый баллон с объемом 2000 мл с завинчивающейся крышкой ")</f>
        <v> релка резиновая  релка резиновая   это резиновый баллон с объемом 2000 мл с завинчивающейся крышкой </v>
      </c>
      <c r="G9" s="10" t="str">
        <f>IFERROR(__xludf.DUMMYFUNCTION("TEXTJOIN(""|"",TRUE,UNIQUE(FILTER(SPLIT(F9,"" ""),LEN(SPLIT(F9,"" ""))&gt;2)))"),"релка|резиновая|релка|резиновая|это|резиновый|баллон|объемом|2000|завинчивающейся|крышкой")</f>
        <v>релка|резиновая|релка|резиновая|это|резиновый|баллон|объемом|2000|завинчивающейся|крышкой</v>
      </c>
      <c r="I9" s="6"/>
      <c r="J9" s="6"/>
    </row>
    <row r="10">
      <c r="A10" s="7"/>
      <c r="B10" s="7" t="s">
        <v>23</v>
      </c>
      <c r="C10" s="7" t="s">
        <v>24</v>
      </c>
      <c r="D10" s="8">
        <v>13500.0</v>
      </c>
      <c r="E10" s="9">
        <v>2.0</v>
      </c>
      <c r="F10" s="10" t="str">
        <f>IFERROR(__xludf.DUMMYFUNCTION("LOWER(REGEXREPLACE(B10&amp;"" ""&amp;C10,""[^а-яa-z0-9 ]"","" ""))")," озатор для антисептика  едицинский локтевой дозатор для антисептика 1000 мл ")</f>
        <v> озатор для антисептика  едицинский локтевой дозатор для антисептика 1000 мл </v>
      </c>
      <c r="G10" s="10" t="str">
        <f>IFERROR(__xludf.DUMMYFUNCTION("TEXTJOIN(""|"",TRUE,UNIQUE(FILTER(SPLIT(F10,"" ""),LEN(SPLIT(F10,"" ""))&gt;2)))"),"озатор|для|антисептика|едицинский|локтевой|дозатор|для|антисептика|1000")</f>
        <v>озатор|для|антисептика|едицинский|локтевой|дозатор|для|антисептика|1000</v>
      </c>
      <c r="I10" s="6"/>
      <c r="J10" s="6"/>
    </row>
    <row r="11">
      <c r="A11" s="7"/>
      <c r="B11" s="7" t="s">
        <v>25</v>
      </c>
      <c r="C11" s="7" t="s">
        <v>26</v>
      </c>
      <c r="D11" s="8">
        <v>12000.0</v>
      </c>
      <c r="E11" s="9">
        <v>2.0</v>
      </c>
      <c r="F11" s="10" t="str">
        <f>IFERROR(__xludf.DUMMYFUNCTION("LOWER(REGEXREPLACE(B11&amp;"" ""&amp;C11,""[^а-яa-z0-9 ]"","" ""))")," озатор для житкого мыла  озатор для жидкого мыла")</f>
        <v> озатор для житкого мыла  озатор для жидкого мыла</v>
      </c>
      <c r="G11" s="10" t="str">
        <f>IFERROR(__xludf.DUMMYFUNCTION("TEXTJOIN(""|"",TRUE,UNIQUE(FILTER(SPLIT(F11,"" ""),LEN(SPLIT(F11,"" ""))&gt;2)))"),"озатор|для|житкого|мыла|озатор|для|жидкого|мыла")</f>
        <v>озатор|для|житкого|мыла|озатор|для|жидкого|мыла</v>
      </c>
      <c r="I11" s="6"/>
      <c r="J11" s="6"/>
    </row>
    <row r="12">
      <c r="A12" s="7"/>
      <c r="B12" s="7" t="s">
        <v>27</v>
      </c>
      <c r="C12" s="7" t="s">
        <v>28</v>
      </c>
      <c r="D12" s="8">
        <v>14490.0</v>
      </c>
      <c r="E12" s="9">
        <v>1.0</v>
      </c>
      <c r="F12" s="10" t="str">
        <f>IFERROR(__xludf.DUMMYFUNCTION("LOWER(REGEXREPLACE(B12&amp;"" ""&amp;C12,""[^а-яa-z0-9 ]"","" ""))")," мкости для дезинфекции инструментов и поверхностей  мкость контейнер для дезинфекции и  предстерилизационной обработки")</f>
        <v> мкости для дезинфекции инструментов и поверхностей  мкость контейнер для дезинфекции и  предстерилизационной обработки</v>
      </c>
      <c r="G12" s="10" t="str">
        <f>IFERROR(__xludf.DUMMYFUNCTION("TEXTJOIN(""|"",TRUE,UNIQUE(FILTER(SPLIT(F12,"" ""),LEN(SPLIT(F12,"" ""))&gt;2)))"),"мкости|для|дезинфекции|инструментов|поверхностей|мкость|контейнер|для|дезинфекции|предстерилизационной|обработки")</f>
        <v>мкости|для|дезинфекции|инструментов|поверхностей|мкость|контейнер|для|дезинфекции|предстерилизационной|обработки</v>
      </c>
      <c r="I12" s="6"/>
      <c r="J12" s="6"/>
    </row>
    <row r="13">
      <c r="A13" s="7"/>
      <c r="B13" s="7" t="s">
        <v>29</v>
      </c>
      <c r="C13" s="7" t="s">
        <v>30</v>
      </c>
      <c r="D13" s="8">
        <v>14220.0</v>
      </c>
      <c r="E13" s="9">
        <v>1.0</v>
      </c>
      <c r="F13" s="10" t="str">
        <f>IFERROR(__xludf.DUMMYFUNCTION("LOWER(REGEXREPLACE(B13&amp;"" ""&amp;C13,""[^а-яa-z0-9 ]"","" ""))")," мкость для дезинфицирующих растворов  мкость контейнер")</f>
        <v> мкость для дезинфицирующих растворов  мкость контейнер</v>
      </c>
      <c r="G13" s="10" t="str">
        <f>IFERROR(__xludf.DUMMYFUNCTION("TEXTJOIN(""|"",TRUE,UNIQUE(FILTER(SPLIT(F13,"" ""),LEN(SPLIT(F13,"" ""))&gt;2)))"),"мкость|для|дезинфицирующих|растворов|мкость|контейнер")</f>
        <v>мкость|для|дезинфицирующих|растворов|мкость|контейнер</v>
      </c>
      <c r="I13" s="6"/>
      <c r="J13" s="6"/>
    </row>
    <row r="14">
      <c r="A14" s="7"/>
      <c r="B14" s="7" t="s">
        <v>31</v>
      </c>
      <c r="C14" s="7" t="s">
        <v>32</v>
      </c>
      <c r="D14" s="8">
        <v>31860.0</v>
      </c>
      <c r="E14" s="9">
        <v>2.0</v>
      </c>
      <c r="F14" s="10" t="str">
        <f>IFERROR(__xludf.DUMMYFUNCTION("LOWER(REGEXREPLACE(B14&amp;"" ""&amp;C14,""[^а-яa-z0-9 ]"","" ""))"),"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ли"&amp;"тров")</f>
        <v>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литров</v>
      </c>
      <c r="G14" s="10" t="str">
        <f>IFERROR(__xludf.DUMMYFUNCTION("TEXTJOIN(""|"",TRUE,UNIQUE(FILTER(SPLIT(F14,"" ""),LEN(SPLIT(F14,"" ""))&gt;2)))"),"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f>
        <v>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v>
      </c>
      <c r="I14" s="6"/>
      <c r="J14" s="6"/>
    </row>
    <row r="15">
      <c r="A15" s="7"/>
      <c r="B15" s="7" t="s">
        <v>33</v>
      </c>
      <c r="C15" s="7" t="s">
        <v>34</v>
      </c>
      <c r="D15" s="8">
        <v>198000.0</v>
      </c>
      <c r="E15" s="9">
        <v>1.0</v>
      </c>
      <c r="F15" s="10" t="str">
        <f>IFERROR(__xludf.DUMMYFUNCTION("LOWER(REGEXREPLACE(B15&amp;"" ""&amp;C15,""[^а-яa-z0-9 ]"","" ""))"),"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f>
        <v>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v>
      </c>
      <c r="G15" s="10" t="str">
        <f>IFERROR(__xludf.DUMMYFUNCTION("TEXTJOIN(""|"",TRUE,UNIQUE(FILTER(SPLIT(F15,"" ""),LEN(SPLIT(F15,"" ""))&gt;2)))"),"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f>
        <v>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v>
      </c>
      <c r="I15" s="6"/>
      <c r="J15" s="6"/>
    </row>
    <row r="16">
      <c r="A16" s="7"/>
      <c r="B16" s="7" t="s">
        <v>35</v>
      </c>
      <c r="C16" s="7" t="s">
        <v>36</v>
      </c>
      <c r="D16" s="8">
        <v>2810.0</v>
      </c>
      <c r="E16" s="9">
        <v>2.0</v>
      </c>
      <c r="F16" s="10" t="str">
        <f>IFERROR(__xludf.DUMMYFUNCTION("LOWER(REGEXREPLACE(B16&amp;"" ""&amp;C16,""[^а-яa-z0-9 ]"","" ""))")," гут резиновый  спользуется для временной остановки кровотечения и при проведении медицинских процедур ")</f>
        <v> гут резиновый  спользуется для временной остановки кровотечения и при проведении медицинских процедур </v>
      </c>
      <c r="G16" s="10" t="str">
        <f>IFERROR(__xludf.DUMMYFUNCTION("TEXTJOIN(""|"",TRUE,UNIQUE(FILTER(SPLIT(F16,"" ""),LEN(SPLIT(F16,"" ""))&gt;2)))"),"гут|резиновый|спользуется|для|временной|остановки|кровотечения|при|проведении|медицинских|процедур")</f>
        <v>гут|резиновый|спользуется|для|временной|остановки|кровотечения|при|проведении|медицинских|процедур</v>
      </c>
      <c r="I16" s="6"/>
      <c r="J16" s="6"/>
    </row>
    <row r="17">
      <c r="A17" s="7"/>
      <c r="B17" s="7" t="s">
        <v>37</v>
      </c>
      <c r="C17" s="7" t="s">
        <v>38</v>
      </c>
      <c r="D17" s="8">
        <v>204000.0</v>
      </c>
      <c r="E17" s="9">
        <v>1.0</v>
      </c>
      <c r="F17" s="10" t="str">
        <f>IFERROR(__xludf.DUMMYFUNCTION("LOWER(REGEXREPLACE(B17&amp;"" ""&amp;C17,""[^а-яa-z0-9 ]"","" ""))")," онт вытяжной вентиляционный  онт вытяжной вентиляционный размерами 1200х700 мм")</f>
        <v> онт вытяжной вентиляционный  онт вытяжной вентиляционный размерами 1200х700 мм</v>
      </c>
      <c r="G17" s="10" t="str">
        <f>IFERROR(__xludf.DUMMYFUNCTION("TEXTJOIN(""|"",TRUE,UNIQUE(FILTER(SPLIT(F17,"" ""),LEN(SPLIT(F17,"" ""))&gt;2)))"),"онт|вытяжной|вентиляционный|онт|вытяжной|вентиляционный|размерами|1200х700")</f>
        <v>онт|вытяжной|вентиляционный|онт|вытяжной|вентиляционный|размерами|1200х700</v>
      </c>
      <c r="I17" s="6"/>
      <c r="J17" s="6"/>
    </row>
    <row r="18">
      <c r="A18" s="7"/>
      <c r="B18" s="7"/>
      <c r="C18" s="7" t="s">
        <v>39</v>
      </c>
      <c r="D18" s="8">
        <v>674900.0</v>
      </c>
      <c r="E18" s="11">
        <v>1.0</v>
      </c>
      <c r="F18" s="10" t="str">
        <f>IFERROR(__xludf.DUMMYFUNCTION("LOWER(REGEXREPLACE(B18&amp;"" ""&amp;C18,""[^а-яa-z0-9 ]"","" ""))"),"  онт вытяжной вентиляционный размерами 1200х700мм")</f>
        <v>  онт вытяжной вентиляционный размерами 1200х700мм</v>
      </c>
      <c r="G18" s="10" t="str">
        <f>IFERROR(__xludf.DUMMYFUNCTION("TEXTJOIN(""|"",TRUE,UNIQUE(FILTER(SPLIT(F18,"" ""),LEN(SPLIT(F18,"" ""))&gt;2)))"),"онт|вытяжной|вентиляционный|размерами|1200х700мм")</f>
        <v>онт|вытяжной|вентиляционный|размерами|1200х700мм</v>
      </c>
      <c r="I18" s="6"/>
      <c r="J18" s="6"/>
    </row>
    <row r="19">
      <c r="A19" s="7"/>
      <c r="B19" s="7"/>
      <c r="C19" s="7" t="s">
        <v>40</v>
      </c>
      <c r="D19" s="8">
        <v>807500.0</v>
      </c>
      <c r="E19" s="11">
        <v>1.0</v>
      </c>
      <c r="F19" s="10" t="str">
        <f>IFERROR(__xludf.DUMMYFUNCTION("LOWER(REGEXREPLACE(B19&amp;"" ""&amp;C19,""[^а-яa-z0-9 ]"","" ""))"),"  онт вытяжной вентиляционный размерами 1600х800мм")</f>
        <v>  онт вытяжной вентиляционный размерами 1600х800мм</v>
      </c>
      <c r="G19" s="10" t="str">
        <f>IFERROR(__xludf.DUMMYFUNCTION("TEXTJOIN(""|"",TRUE,UNIQUE(FILTER(SPLIT(F19,"" ""),LEN(SPLIT(F19,"" ""))&gt;2)))"),"онт|вытяжной|вентиляционный|размерами|1600х800мм")</f>
        <v>онт|вытяжной|вентиляционный|размерами|1600х800мм</v>
      </c>
      <c r="I19" s="6"/>
      <c r="J19" s="6"/>
    </row>
    <row r="20">
      <c r="A20" s="7"/>
      <c r="B20" s="7"/>
      <c r="C20" s="7" t="s">
        <v>41</v>
      </c>
      <c r="D20" s="8">
        <v>491300.0</v>
      </c>
      <c r="E20" s="11">
        <v>13.0</v>
      </c>
      <c r="F20" s="10" t="str">
        <f>IFERROR(__xludf.DUMMYFUNCTION("LOWER(REGEXREPLACE(B20&amp;"" ""&amp;C20,""[^а-яa-z0-9 ]"","" ""))"),"  онт вытяжной вентиляционный размерами 600х300мм")</f>
        <v>  онт вытяжной вентиляционный размерами 600х300мм</v>
      </c>
      <c r="G20" s="10" t="str">
        <f>IFERROR(__xludf.DUMMYFUNCTION("TEXTJOIN(""|"",TRUE,UNIQUE(FILTER(SPLIT(F20,"" ""),LEN(SPLIT(F20,"" ""))&gt;2)))"),"онт|вытяжной|вентиляционный|размерами|600х300мм")</f>
        <v>онт|вытяжной|вентиляционный|размерами|600х300мм</v>
      </c>
      <c r="I20" s="6"/>
      <c r="J20" s="6"/>
    </row>
    <row r="21">
      <c r="A21" s="7"/>
      <c r="B21" s="7" t="s">
        <v>42</v>
      </c>
      <c r="C21" s="7" t="s">
        <v>43</v>
      </c>
      <c r="D21" s="8">
        <v>2500.0</v>
      </c>
      <c r="E21" s="9">
        <v>1.0</v>
      </c>
      <c r="F21" s="10" t="str">
        <f>IFERROR(__xludf.DUMMYFUNCTION("LOWER(REGEXREPLACE(B21&amp;"" ""&amp;C21,""[^а-яa-z0-9 ]"","" ""))")," онтейнер для отходов класса    ак с крышкой для сбора медицинских отходов  класс    10 литров")</f>
        <v> онтейнер для отходов класса    ак с крышкой для сбора медицинских отходов  класс    10 литров</v>
      </c>
      <c r="G21" s="10" t="str">
        <f>IFERROR(__xludf.DUMMYFUNCTION("TEXTJOIN(""|"",TRUE,UNIQUE(FILTER(SPLIT(F21,"" ""),LEN(SPLIT(F21,"" ""))&gt;2)))"),"онтейнер|для|отходов|класса|крышкой|для|сбора|медицинских|отходов|класс|литров")</f>
        <v>онтейнер|для|отходов|класса|крышкой|для|сбора|медицинских|отходов|класс|литров</v>
      </c>
      <c r="I21" s="6"/>
      <c r="J21" s="6"/>
    </row>
    <row r="22">
      <c r="A22" s="7"/>
      <c r="B22" s="7" t="s">
        <v>44</v>
      </c>
      <c r="C22" s="7" t="s">
        <v>45</v>
      </c>
      <c r="D22" s="8">
        <v>4900.0</v>
      </c>
      <c r="E22" s="9">
        <v>1.0</v>
      </c>
      <c r="F22" s="10" t="str">
        <f>IFERROR(__xludf.DUMMYFUNCTION("LOWER(REGEXREPLACE(B22&amp;"" ""&amp;C22,""[^а-яa-z0-9 ]"","" ""))")," онтейнер для отходов класса    ак для сбора медицинских отходов  класс    1 литр")</f>
        <v> онтейнер для отходов класса    ак для сбора медицинских отходов  класс    1 литр</v>
      </c>
      <c r="G22" s="10" t="str">
        <f>IFERROR(__xludf.DUMMYFUNCTION("TEXTJOIN(""|"",TRUE,UNIQUE(FILTER(SPLIT(F22,"" ""),LEN(SPLIT(F22,"" ""))&gt;2)))"),"онтейнер|для|отходов|класса|для|сбора|медицинских|отходов|класс|литр")</f>
        <v>онтейнер|для|отходов|класса|для|сбора|медицинских|отходов|класс|литр</v>
      </c>
      <c r="I22" s="6"/>
      <c r="J22" s="6"/>
    </row>
    <row r="23">
      <c r="A23" s="7"/>
      <c r="B23" s="7" t="s">
        <v>46</v>
      </c>
      <c r="C23" s="7" t="s">
        <v>47</v>
      </c>
      <c r="D23" s="8">
        <v>35100.0</v>
      </c>
      <c r="E23" s="9">
        <v>1.0</v>
      </c>
      <c r="F23" s="10" t="str">
        <f>IFERROR(__xludf.DUMMYFUNCTION("LOWER(REGEXREPLACE(B23&amp;"" ""&amp;C23,""[^а-яa-z0-9 ]"",""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G23" s="10" t="str">
        <f>IFERROR(__xludf.DUMMYFUNCTION("TEXTJOIN(""|"",TRUE,UNIQUE(FILTER(SPLIT(F23,"" ""),LEN(SPLIT(F23,""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I23" s="6"/>
      <c r="J23" s="6"/>
    </row>
    <row r="24">
      <c r="A24" s="7"/>
      <c r="B24" s="7" t="s">
        <v>48</v>
      </c>
      <c r="C24" s="7" t="s">
        <v>49</v>
      </c>
      <c r="D24" s="8">
        <v>8200.0</v>
      </c>
      <c r="E24" s="9">
        <v>3.0</v>
      </c>
      <c r="F24" s="10" t="str">
        <f>IFERROR(__xludf.DUMMYFUNCTION("LOWER(REGEXREPLACE(B24&amp;"" ""&amp;C24,""[^а-яa-z0-9 ]"","" ""))")," оток медицинский почкообразный  редназначен для размещения инструментов и расходных материалов во время процедур ")</f>
        <v> оток медицинский почкообразный  редназначен для размещения инструментов и расходных материалов во время процедур </v>
      </c>
      <c r="G24" s="10" t="str">
        <f>IFERROR(__xludf.DUMMYFUNCTION("TEXTJOIN(""|"",TRUE,UNIQUE(FILTER(SPLIT(F24,"" ""),LEN(SPLIT(F24,""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I24" s="6"/>
      <c r="J24" s="6"/>
    </row>
    <row r="25">
      <c r="A25" s="7"/>
      <c r="B25" s="7" t="s">
        <v>50</v>
      </c>
      <c r="C25" s="7" t="s">
        <v>51</v>
      </c>
      <c r="D25" s="8">
        <v>40.0</v>
      </c>
      <c r="E25" s="9">
        <v>100.0</v>
      </c>
      <c r="F25" s="10" t="str">
        <f>IFERROR(__xludf.DUMMYFUNCTION("LOWER(REGEXREPLACE(B25&amp;"" ""&amp;C25,""[^а-яa-z0-9 ]"","" ""))")," аски одноразовые  аска на резинках медицинская 3 х слойная")</f>
        <v> аски одноразовые  аска на резинках медицинская 3 х слойная</v>
      </c>
      <c r="G25" s="10" t="str">
        <f>IFERROR(__xludf.DUMMYFUNCTION("TEXTJOIN(""|"",TRUE,UNIQUE(FILTER(SPLIT(F25,"" ""),LEN(SPLIT(F25,"" ""))&gt;2)))"),"аски|одноразовые|аска|резинках|медицинская|слойная")</f>
        <v>аски|одноразовые|аска|резинках|медицинская|слойная</v>
      </c>
      <c r="I25" s="6"/>
      <c r="J25" s="6"/>
    </row>
    <row r="26">
      <c r="A26" s="7"/>
      <c r="B26" s="7" t="s">
        <v>52</v>
      </c>
      <c r="C26" s="7" t="s">
        <v>53</v>
      </c>
      <c r="D26" s="8">
        <v>220710.0</v>
      </c>
      <c r="E26" s="9">
        <v>1.0</v>
      </c>
      <c r="F26" s="10" t="str">
        <f>IFERROR(__xludf.DUMMYFUNCTION("LOWER(REGEXREPLACE(B26&amp;"" ""&amp;C26,""[^а-яa-z0-9 ]"","" ""))")," ойка двойная  ойка 120х60   147                                   ")</f>
        <v> ойка двойная  ойка 120х60   147                                   </v>
      </c>
      <c r="G26" s="10" t="str">
        <f>IFERROR(__xludf.DUMMYFUNCTION("TEXTJOIN(""|"",TRUE,UNIQUE(FILTER(SPLIT(F26,"" ""),LEN(SPLIT(F26,"" ""))&gt;2)))"),"ойка|двойная|ойка|120х60|147")</f>
        <v>ойка|двойная|ойка|120х60|147</v>
      </c>
      <c r="I26" s="6"/>
      <c r="J26" s="6"/>
    </row>
    <row r="27">
      <c r="A27" s="7"/>
      <c r="B27" s="7" t="s">
        <v>54</v>
      </c>
      <c r="C27" s="7" t="s">
        <v>55</v>
      </c>
      <c r="D27" s="8">
        <v>43690.0</v>
      </c>
      <c r="E27" s="9">
        <v>1.0</v>
      </c>
      <c r="F27" s="10" t="str">
        <f>IFERROR(__xludf.DUMMYFUNCTION("LOWER(REGEXREPLACE(B27&amp;"" ""&amp;C27,""[^а-яa-z0-9 ]"","" ""))")," блучатель ультрафиолетовый  кварцевая лампа  с комплектом тубусов  блучатель ультрафиолетовый  кварцевый      01  олнышко   тандартная комплектация ")</f>
        <v> блучатель ультрафиолетовый  кварцевая лампа  с комплектом тубусов  блучатель ультрафиолетовый  кварцевый      01  олнышко   тандартная комплектация </v>
      </c>
      <c r="G27" s="10" t="str">
        <f>IFERROR(__xludf.DUMMYFUNCTION("TEXTJOIN(""|"",TRUE,UNIQUE(FILTER(SPLIT(F27,"" ""),LEN(SPLIT(F27,"" ""))&gt;2)))"),"блучатель|ультрафиолетовый|кварцевая|лампа|комплектом|тубусов|блучатель|ультрафиолетовый|кварцевый|олнышко|тандартная|комплектация")</f>
        <v>блучатель|ультрафиолетовый|кварцевая|лампа|комплектом|тубусов|блучатель|ультрафиолетовый|кварцевый|олнышко|тандартная|комплектация</v>
      </c>
      <c r="I27" s="6"/>
      <c r="J27" s="6"/>
    </row>
    <row r="28">
      <c r="A28" s="7"/>
      <c r="B28" s="7" t="s">
        <v>56</v>
      </c>
      <c r="C28" s="7"/>
      <c r="D28" s="8">
        <v>2520.0</v>
      </c>
      <c r="E28" s="9">
        <v>20.0</v>
      </c>
      <c r="F28" s="10" t="str">
        <f>IFERROR(__xludf.DUMMYFUNCTION("LOWER(REGEXREPLACE(B28&amp;"" ""&amp;C28,""[^а-яa-z0-9 ]"","" ""))")," ерчатки из резины ")</f>
        <v> ерчатки из резины </v>
      </c>
      <c r="G28" s="10" t="str">
        <f>IFERROR(__xludf.DUMMYFUNCTION("TEXTJOIN(""|"",TRUE,UNIQUE(FILTER(SPLIT(F28,"" ""),LEN(SPLIT(F28,"" ""))&gt;2)))"),"ерчатки|резины")</f>
        <v>ерчатки|резины</v>
      </c>
      <c r="I28" s="6"/>
      <c r="J28" s="6"/>
    </row>
    <row r="29">
      <c r="A29" s="7"/>
      <c r="B29" s="7" t="s">
        <v>57</v>
      </c>
      <c r="C29" s="7" t="s">
        <v>58</v>
      </c>
      <c r="D29" s="8">
        <v>11750.0</v>
      </c>
      <c r="E29" s="9">
        <v>20.0</v>
      </c>
      <c r="F29" s="10" t="str">
        <f>IFERROR(__xludf.DUMMYFUNCTION("LOWER(REGEXREPLACE(B29&amp;"" ""&amp;C29,""[^а-яa-z0-9 ]"","" ""))")," олотенца одноразовые  олотенца одноразовые из спанлейса  35 70 см  40 г м2  50 шт упак")</f>
        <v> олотенца одноразовые  олотенца одноразовые из спанлейса  35 70 см  40 г м2  50 шт упак</v>
      </c>
      <c r="G29" s="10" t="str">
        <f>IFERROR(__xludf.DUMMYFUNCTION("TEXTJOIN(""|"",TRUE,UNIQUE(FILTER(SPLIT(F29,"" ""),LEN(SPLIT(F29,"" ""))&gt;2)))"),"олотенца|одноразовые|олотенца|одноразовые|спанлейса|упак")</f>
        <v>олотенца|одноразовые|олотенца|одноразовые|спанлейса|упак</v>
      </c>
      <c r="I29" s="6"/>
      <c r="J29" s="6"/>
    </row>
    <row r="30">
      <c r="A30" s="7"/>
      <c r="B30" s="7" t="s">
        <v>59</v>
      </c>
      <c r="C30" s="7" t="s">
        <v>60</v>
      </c>
      <c r="D30" s="8">
        <v>15930.0</v>
      </c>
      <c r="E30" s="9">
        <v>20.0</v>
      </c>
      <c r="F30" s="10" t="str">
        <f>IFERROR(__xludf.DUMMYFUNCTION("LOWER(REGEXREPLACE(B30&amp;"" ""&amp;C30,""[^а-яa-z0-9 ]"","" ""))"),"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f>
        <v>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v>
      </c>
      <c r="G30" s="10" t="str">
        <f>IFERROR(__xludf.DUMMYFUNCTION("TEXTJOIN(""|"",TRUE,UNIQUE(FILTER(SPLIT(F30,"" ""),LEN(SPLIT(F30,"" ""))&gt;2)))"),"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f>
        <v>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v>
      </c>
      <c r="I30" s="6"/>
      <c r="J30" s="6"/>
    </row>
    <row r="31">
      <c r="A31" s="7"/>
      <c r="B31" s="7" t="s">
        <v>61</v>
      </c>
      <c r="C31" s="7" t="s">
        <v>62</v>
      </c>
      <c r="D31" s="8">
        <v>729360.0</v>
      </c>
      <c r="E31" s="9">
        <v>6.0</v>
      </c>
      <c r="F31" s="10" t="str">
        <f>IFERROR(__xludf.DUMMYFUNCTION("LOWER(REGEXREPLACE(B31&amp;"" ""&amp;C31,""[^а-яa-z0-9 ]"","" ""))"),"       2               120 70  ержавеющая сталь      430    бортиком без полки   ойка  50x40x25 см   араметры  1200x700x850 мм")</f>
        <v>       2               120 70  ержавеющая сталь      430    бортиком без полки   ойка  50x40x25 см   араметры  1200x700x850 мм</v>
      </c>
      <c r="G31" s="10" t="str">
        <f>IFERROR(__xludf.DUMMYFUNCTION("TEXTJOIN(""|"",TRUE,UNIQUE(FILTER(SPLIT(F31,"" ""),LEN(SPLIT(F31,"" ""))&gt;2)))"),"120|ержавеющая|сталь|430|бортиком|без|полки|ойка|50x40x25|араметры|1200x700x850")</f>
        <v>120|ержавеющая|сталь|430|бортиком|без|полки|ойка|50x40x25|араметры|1200x700x850</v>
      </c>
      <c r="I31" s="6"/>
      <c r="J31" s="6"/>
    </row>
    <row r="32">
      <c r="A32" s="7"/>
      <c r="B32" s="7" t="s">
        <v>63</v>
      </c>
      <c r="C32" s="7" t="s">
        <v>64</v>
      </c>
      <c r="D32" s="8">
        <v>3800.0</v>
      </c>
      <c r="E32" s="9">
        <v>37.0</v>
      </c>
      <c r="F32" s="10" t="str">
        <f>IFERROR(__xludf.DUMMYFUNCTION("LOWER(REGEXREPLACE(B32&amp;"" ""&amp;C32,""[^а-яa-z0-9 ]"","" ""))")," ермометр  ермометр исп 1   20 70   с  поверкой  комнатный скл помещения     применяется для измерения  температуры в складских и производственных  помещениях")</f>
        <v> ермометр  ермометр исп 1   20 70   с  поверкой  комнатный скл помещения     применяется для измерения  температуры в складских и производственных  помещениях</v>
      </c>
      <c r="G32" s="10" t="str">
        <f>IFERROR(__xludf.DUMMYFUNCTION("TEXTJOIN(""|"",TRUE,UNIQUE(FILTER(SPLIT(F32,"" ""),LEN(SPLIT(F32,"" ""))&gt;2)))"),"ермометр|ермометр|исп|поверкой|комнатный|скл|помещения|применяется|для|измерения|температуры|складских|производственных|помещениях")</f>
        <v>ермометр|ермометр|исп|поверкой|комнатный|скл|помещения|применяется|для|измерения|температуры|складских|производственных|помещениях</v>
      </c>
      <c r="I32" s="6"/>
      <c r="J32" s="6"/>
    </row>
    <row r="33">
      <c r="A33" s="7"/>
      <c r="B33" s="7" t="s">
        <v>65</v>
      </c>
      <c r="C33" s="7" t="s">
        <v>66</v>
      </c>
      <c r="D33" s="8">
        <v>19000.0</v>
      </c>
      <c r="E33" s="9">
        <v>2.0</v>
      </c>
      <c r="F33" s="10" t="str">
        <f>IFERROR(__xludf.DUMMYFUNCTION("LOWER(REGEXREPLACE(B33&amp;"" ""&amp;C33,""[^а-яa-z0-9 ]"","" ""))"),"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f>
        <v>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v>
      </c>
      <c r="G33" s="10" t="str">
        <f>IFERROR(__xludf.DUMMYFUNCTION("TEXTJOIN(""|"",TRUE,UNIQUE(FILTER(SPLIT(F33,"" ""),LEN(SPLIT(F33,"" ""))&gt;2)))"),"алаты|темные|для|уборки|алат|рабочий|вет|серый|екомендован|для|защиты|незначительных|загрязнений|бытовой|производственной|пыли|одробнее|https|largo|p75874235|halat|seryj|html")</f>
        <v>алаты|темные|для|уборки|алат|рабочий|вет|серый|екомендован|для|защиты|незначительных|загрязнений|бытовой|производственной|пыли|одробнее|https|largo|p75874235|halat|seryj|html</v>
      </c>
      <c r="I33" s="6"/>
      <c r="J33" s="6"/>
    </row>
    <row r="34">
      <c r="A34" s="7"/>
      <c r="B34" s="7" t="s">
        <v>67</v>
      </c>
      <c r="C34" s="7" t="s">
        <v>68</v>
      </c>
      <c r="D34" s="8">
        <v>41040.0</v>
      </c>
      <c r="E34" s="9">
        <v>5.0</v>
      </c>
      <c r="F34" s="10" t="str">
        <f>IFERROR(__xludf.DUMMYFUNCTION("LOWER(REGEXREPLACE(B34&amp;"" ""&amp;C34,""[^а-яa-z0-9 ]"","" ""))"),"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f>
        <v>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v>
      </c>
      <c r="G34" s="10" t="str">
        <f>IFERROR(__xludf.DUMMYFUNCTION("TEXTJOIN(""|"",TRUE,UNIQUE(FILTER(SPLIT(F34,"" ""),LEN(SPLIT(F34,"" ""))&gt;2)))"),"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f>
        <v>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v>
      </c>
      <c r="I34" s="6"/>
      <c r="J34" s="6"/>
    </row>
    <row r="35">
      <c r="A35" s="7"/>
      <c r="B35" s="7" t="s">
        <v>69</v>
      </c>
      <c r="C35" s="7" t="s">
        <v>70</v>
      </c>
      <c r="D35" s="8">
        <v>41040.0</v>
      </c>
      <c r="E35" s="9">
        <v>5.0</v>
      </c>
      <c r="F35" s="10" t="str">
        <f>IFERROR(__xludf.DUMMYFUNCTION("LOWER(REGEXREPLACE(B35&amp;"" ""&amp;C35,""[^а-яa-z0-9 ]"","" ""))"),"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f>
        <v>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v>
      </c>
      <c r="G35" s="10" t="str">
        <f>IFERROR(__xludf.DUMMYFUNCTION("TEXTJOIN(""|"",TRUE,UNIQUE(FILTER(SPLIT(F35,"" ""),LEN(SPLIT(F35,"" ""))&gt;2)))"),"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f>
        <v>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v>
      </c>
      <c r="I35" s="6"/>
      <c r="J35" s="6"/>
    </row>
    <row r="36">
      <c r="A36" s="7"/>
      <c r="B36" s="7" t="s">
        <v>71</v>
      </c>
      <c r="C36" s="7" t="s">
        <v>72</v>
      </c>
      <c r="D36" s="8">
        <v>132800.0</v>
      </c>
      <c r="E36" s="9">
        <v>2.0</v>
      </c>
      <c r="F36" s="10" t="str">
        <f>IFERROR(__xludf.DUMMYFUNCTION("LOWER(REGEXREPLACE(B36&amp;"" ""&amp;C36,""[^а-яa-z0-9 ]"","" ""))")," ирмы медицинские  металлический каркас   моющаяся ткань пластик  ирма 2 створчатая  ткань болонь  на колесах")</f>
        <v> ирмы медицинские  металлический каркас   моющаяся ткань пластик  ирма 2 створчатая  ткань болонь  на колесах</v>
      </c>
      <c r="G36" s="10" t="str">
        <f>IFERROR(__xludf.DUMMYFUNCTION("TEXTJOIN(""|"",TRUE,UNIQUE(FILTER(SPLIT(F36,"" ""),LEN(SPLIT(F36,"" ""))&gt;2)))"),"ирмы|медицинские|металлический|каркас|моющаяся|ткань|пластик|ирма|створчатая|ткань|болонь|колесах")</f>
        <v>ирмы|медицинские|металлический|каркас|моющаяся|ткань|пластик|ирма|створчатая|ткань|болонь|колесах</v>
      </c>
      <c r="I36" s="6"/>
      <c r="J36" s="6"/>
    </row>
    <row r="37">
      <c r="A37" s="7"/>
      <c r="B37" s="7" t="s">
        <v>73</v>
      </c>
      <c r="C37" s="7" t="s">
        <v>74</v>
      </c>
      <c r="D37" s="8">
        <v>67.0</v>
      </c>
      <c r="E37" s="9">
        <v>100.0</v>
      </c>
      <c r="F37" s="10" t="str">
        <f>IFERROR(__xludf.DUMMYFUNCTION("LOWER(REGEXREPLACE(B37&amp;"" ""&amp;C37,""[^а-яa-z0-9 ]"","" ""))")," прицы одноразовые с иглами 10 0  терильные трехкомпонентные шприцы объемом 10 мл с иглой размером 21   0  8   40 мм  ")</f>
        <v> прицы одноразовые с иглами 10 0  терильные трехкомпонентные шприцы объемом 10 мл с иглой размером 21   0  8   40 мм  </v>
      </c>
      <c r="G37" s="10" t="str">
        <f>IFERROR(__xludf.DUMMYFUNCTION("TEXTJOIN(""|"",TRUE,UNIQUE(FILTER(SPLIT(F37,"" ""),LEN(SPLIT(F37,"" ""))&gt;2)))"),"прицы|одноразовые|иглами|терильные|трехкомпонентные|шприцы|объемом|иглой|размером")</f>
        <v>прицы|одноразовые|иглами|терильные|трехкомпонентные|шприцы|объемом|иглой|размером</v>
      </c>
      <c r="I37" s="6"/>
      <c r="J37" s="6"/>
    </row>
    <row r="38">
      <c r="A38" s="7"/>
      <c r="B38" s="7" t="s">
        <v>75</v>
      </c>
      <c r="C38" s="7" t="s">
        <v>76</v>
      </c>
      <c r="D38" s="8">
        <v>40.0</v>
      </c>
      <c r="E38" s="9">
        <v>100.0</v>
      </c>
      <c r="F38" s="10" t="str">
        <f>IFERROR(__xludf.DUMMYFUNCTION("LOWER(REGEXREPLACE(B38&amp;"" ""&amp;C38,""[^а-яa-z0-9 ]"","" ""))")," прицы одноразовые с иглами 2 0  терильные трехкомпонентные шприцы объемом 2 мл с установленной иглой 23   0  6   30 мм  ")</f>
        <v> прицы одноразовые с иглами 2 0  терильные трехкомпонентные шприцы объемом 2 мл с установленной иглой 23   0  6   30 мм  </v>
      </c>
      <c r="G38" s="10" t="str">
        <f>IFERROR(__xludf.DUMMYFUNCTION("TEXTJOIN(""|"",TRUE,UNIQUE(FILTER(SPLIT(F38,"" ""),LEN(SPLIT(F38,"" ""))&gt;2)))"),"прицы|одноразовые|иглами|терильные|трехкомпонентные|шприцы|объемом|установленной|иглой")</f>
        <v>прицы|одноразовые|иглами|терильные|трехкомпонентные|шприцы|объемом|установленной|иглой</v>
      </c>
      <c r="I38" s="6"/>
      <c r="J38" s="6"/>
    </row>
    <row r="39">
      <c r="A39" s="7"/>
      <c r="B39" s="7" t="s">
        <v>77</v>
      </c>
      <c r="C39" s="7" t="s">
        <v>78</v>
      </c>
      <c r="D39" s="8">
        <v>45.0</v>
      </c>
      <c r="E39" s="9">
        <v>100.0</v>
      </c>
      <c r="F39" s="10" t="str">
        <f>IFERROR(__xludf.DUMMYFUNCTION("LOWER(REGEXREPLACE(B39&amp;"" ""&amp;C39,""[^а-яa-z0-9 ]"","" ""))")," прицы одноразовые с иглами 5 0  дноразовые стерильные шприцы объ мом 5 мл с иглой 22   0 7 мм   30 мм ")</f>
        <v> прицы одноразовые с иглами 5 0  дноразовые стерильные шприцы объ мом 5 мл с иглой 22   0 7 мм   30 мм </v>
      </c>
      <c r="G39" s="10" t="str">
        <f>IFERROR(__xludf.DUMMYFUNCTION("TEXTJOIN(""|"",TRUE,UNIQUE(FILTER(SPLIT(F39,"" ""),LEN(SPLIT(F39,"" ""))&gt;2)))"),"прицы|одноразовые|иглами|дноразовые|стерильные|шприцы|объ|мом|иглой")</f>
        <v>прицы|одноразовые|иглами|дноразовые|стерильные|шприцы|объ|мом|иглой</v>
      </c>
      <c r="I39" s="6"/>
      <c r="J39" s="6"/>
    </row>
    <row r="40">
      <c r="A40" s="12" t="s">
        <v>79</v>
      </c>
      <c r="B40" s="7"/>
      <c r="C40" s="7" t="s">
        <v>79</v>
      </c>
      <c r="D40" s="7"/>
      <c r="E40" s="9">
        <v>0.0</v>
      </c>
      <c r="F40" s="10" t="str">
        <f>IFERROR(__xludf.DUMMYFUNCTION("LOWER(REGEXREPLACE(B40&amp;"" ""&amp;C40,""[^а-яa-z0-9 ]"","" ""))")," ")</f>
        <v> </v>
      </c>
      <c r="G40" s="10" t="str">
        <f>IFERROR(__xludf.DUMMYFUNCTION("TEXTJOIN(""|"",TRUE,UNIQUE(FILTER(SPLIT(F40,"" ""),LEN(SPLIT(F40,"" ""))&gt;2)))"),"#N/A")</f>
        <v>#N/A</v>
      </c>
      <c r="I40" s="6"/>
      <c r="J40" s="6"/>
    </row>
    <row r="41">
      <c r="A41" s="7"/>
      <c r="B41" s="7" t="s">
        <v>80</v>
      </c>
      <c r="C41" s="7" t="s">
        <v>79</v>
      </c>
      <c r="D41" s="7"/>
      <c r="E41" s="9">
        <v>0.0</v>
      </c>
      <c r="F41" s="10" t="str">
        <f>IFERROR(__xludf.DUMMYFUNCTION("LOWER(REGEXREPLACE(B41&amp;"" ""&amp;C41,""[^а-яa-z0-9 ]"","" ""))")," рупповая ")</f>
        <v> рупповая </v>
      </c>
      <c r="G41" s="10" t="str">
        <f>IFERROR(__xludf.DUMMYFUNCTION("TEXTJOIN(""|"",TRUE,UNIQUE(FILTER(SPLIT(F41,"" ""),LEN(SPLIT(F41,"" ""))&gt;2)))"),"рупповая")</f>
        <v>рупповая</v>
      </c>
      <c r="I41" s="6"/>
      <c r="J41" s="6"/>
    </row>
    <row r="42">
      <c r="A42" s="7"/>
      <c r="B42" s="7" t="s">
        <v>81</v>
      </c>
      <c r="C42" s="7" t="s">
        <v>79</v>
      </c>
      <c r="D42" s="7"/>
      <c r="E42" s="9">
        <v>0.0</v>
      </c>
      <c r="F42" s="10" t="str">
        <f>IFERROR(__xludf.DUMMYFUNCTION("LOWER(REGEXREPLACE(B42&amp;"" ""&amp;C42,""[^а-яa-z0-9 ]"","" ""))")," ополнительные товары ")</f>
        <v> ополнительные товары </v>
      </c>
      <c r="G42" s="10" t="str">
        <f>IFERROR(__xludf.DUMMYFUNCTION("TEXTJOIN(""|"",TRUE,UNIQUE(FILTER(SPLIT(F42,"" ""),LEN(SPLIT(F42,"" ""))&gt;2)))"),"ополнительные|товары")</f>
        <v>ополнительные|товары</v>
      </c>
      <c r="I42" s="6"/>
      <c r="J42" s="6"/>
    </row>
    <row r="43">
      <c r="A43" s="7"/>
      <c r="B43" s="7" t="s">
        <v>82</v>
      </c>
      <c r="C43" s="7" t="s">
        <v>79</v>
      </c>
      <c r="D43" s="7"/>
      <c r="E43" s="9">
        <v>0.0</v>
      </c>
      <c r="F43" s="10" t="str">
        <f>IFERROR(__xludf.DUMMYFUNCTION("LOWER(REGEXREPLACE(B43&amp;"" ""&amp;C43,""[^а-яa-z0-9 ]"","" ""))")," ладовая овощей ")</f>
        <v> ладовая овощей </v>
      </c>
      <c r="G43" s="10" t="str">
        <f>IFERROR(__xludf.DUMMYFUNCTION("TEXTJOIN(""|"",TRUE,UNIQUE(FILTER(SPLIT(F43,"" ""),LEN(SPLIT(F43,"" ""))&gt;2)))"),"ладовая|овощей")</f>
        <v>ладовая|овощей</v>
      </c>
      <c r="I43" s="6"/>
      <c r="J43" s="6"/>
    </row>
    <row r="44">
      <c r="A44" s="7"/>
      <c r="B44" s="7" t="s">
        <v>83</v>
      </c>
      <c r="C44" s="7" t="s">
        <v>79</v>
      </c>
      <c r="D44" s="7"/>
      <c r="E44" s="9">
        <v>0.0</v>
      </c>
      <c r="F44" s="10" t="str">
        <f>IFERROR(__xludf.DUMMYFUNCTION("LOWER(REGEXREPLACE(B44&amp;"" ""&amp;C44,""[^а-яa-z0-9 ]"","" ""))")," омпьютерная техника и устройства ")</f>
        <v> омпьютерная техника и устройства </v>
      </c>
      <c r="G44" s="10" t="str">
        <f>IFERROR(__xludf.DUMMYFUNCTION("TEXTJOIN(""|"",TRUE,UNIQUE(FILTER(SPLIT(F44,"" ""),LEN(SPLIT(F44,"" ""))&gt;2)))"),"омпьютерная|техника|устройства")</f>
        <v>омпьютерная|техника|устройства</v>
      </c>
      <c r="I44" s="6"/>
      <c r="J44" s="6"/>
    </row>
    <row r="45">
      <c r="A45" s="7"/>
      <c r="B45" s="7" t="s">
        <v>84</v>
      </c>
      <c r="C45" s="7" t="s">
        <v>79</v>
      </c>
      <c r="D45" s="7"/>
      <c r="E45" s="9">
        <v>0.0</v>
      </c>
      <c r="F45" s="10" t="str">
        <f>IFERROR(__xludf.DUMMYFUNCTION("LOWER(REGEXREPLACE(B45&amp;"" ""&amp;C45,""[^а-яa-z0-9 ]"","" ""))")," атериалы для гончарки ")</f>
        <v> атериалы для гончарки </v>
      </c>
      <c r="G45" s="10" t="str">
        <f>IFERROR(__xludf.DUMMYFUNCTION("TEXTJOIN(""|"",TRUE,UNIQUE(FILTER(SPLIT(F45,"" ""),LEN(SPLIT(F45,"" ""))&gt;2)))"),"атериалы|для|гончарки")</f>
        <v>атериалы|для|гончарки</v>
      </c>
      <c r="I45" s="6"/>
      <c r="J45" s="6"/>
    </row>
    <row r="46">
      <c r="A46" s="7"/>
      <c r="B46" s="7" t="s">
        <v>85</v>
      </c>
      <c r="C46" s="7" t="s">
        <v>79</v>
      </c>
      <c r="D46" s="7"/>
      <c r="E46" s="9">
        <v>0.0</v>
      </c>
      <c r="F46" s="10" t="str">
        <f>IFERROR(__xludf.DUMMYFUNCTION("LOWER(REGEXREPLACE(B46&amp;"" ""&amp;C46,""[^а-яa-z0-9 ]"","" ""))")," ебель ")</f>
        <v> ебель </v>
      </c>
      <c r="G46" s="10" t="str">
        <f>IFERROR(__xludf.DUMMYFUNCTION("TEXTJOIN(""|"",TRUE,UNIQUE(FILTER(SPLIT(F46,"" ""),LEN(SPLIT(F46,"" ""))&gt;2)))"),"ебель")</f>
        <v>ебель</v>
      </c>
      <c r="I46" s="6"/>
      <c r="J46" s="6"/>
    </row>
    <row r="47">
      <c r="A47" s="7"/>
      <c r="B47" s="7" t="s">
        <v>86</v>
      </c>
      <c r="C47" s="7" t="s">
        <v>79</v>
      </c>
      <c r="D47" s="7"/>
      <c r="E47" s="9">
        <v>0.0</v>
      </c>
      <c r="F47" s="10" t="str">
        <f>IFERROR(__xludf.DUMMYFUNCTION("LOWER(REGEXREPLACE(B47&amp;"" ""&amp;C47,""[^а-яa-z0-9 ]"","" ""))")," ебель для гончарки ")</f>
        <v> ебель для гончарки </v>
      </c>
      <c r="G47" s="10" t="str">
        <f>IFERROR(__xludf.DUMMYFUNCTION("TEXTJOIN(""|"",TRUE,UNIQUE(FILTER(SPLIT(F47,"" ""),LEN(SPLIT(F47,"" ""))&gt;2)))"),"ебель|для|гончарки")</f>
        <v>ебель|для|гончарки</v>
      </c>
      <c r="I47" s="6"/>
      <c r="J47" s="6"/>
    </row>
    <row r="48">
      <c r="A48" s="7"/>
      <c r="B48" s="7" t="s">
        <v>87</v>
      </c>
      <c r="C48" s="7" t="s">
        <v>79</v>
      </c>
      <c r="D48" s="7"/>
      <c r="E48" s="9">
        <v>0.0</v>
      </c>
      <c r="F48" s="10" t="str">
        <f>IFERROR(__xludf.DUMMYFUNCTION("LOWER(REGEXREPLACE(B48&amp;"" ""&amp;C48,""[^а-яa-z0-9 ]"","" ""))")," ебель для     и  телье ")</f>
        <v> ебель для     и  телье </v>
      </c>
      <c r="G48" s="10" t="str">
        <f>IFERROR(__xludf.DUMMYFUNCTION("TEXTJOIN(""|"",TRUE,UNIQUE(FILTER(SPLIT(F48,"" ""),LEN(SPLIT(F48,"" ""))&gt;2)))"),"ебель|для|телье")</f>
        <v>ебель|для|телье</v>
      </c>
      <c r="I48" s="6"/>
      <c r="J48" s="6"/>
    </row>
    <row r="49">
      <c r="A49" s="7"/>
      <c r="B49" s="7" t="s">
        <v>88</v>
      </c>
      <c r="C49" s="7" t="s">
        <v>79</v>
      </c>
      <c r="D49" s="7"/>
      <c r="E49" s="9">
        <v>0.0</v>
      </c>
      <c r="F49" s="10" t="str">
        <f>IFERROR(__xludf.DUMMYFUNCTION("LOWER(REGEXREPLACE(B49&amp;"" ""&amp;C49,""[^а-яa-z0-9 ]"","" ""))")," борудование для гончарки ")</f>
        <v> борудование для гончарки </v>
      </c>
      <c r="G49" s="10" t="str">
        <f>IFERROR(__xludf.DUMMYFUNCTION("TEXTJOIN(""|"",TRUE,UNIQUE(FILTER(SPLIT(F49,"" ""),LEN(SPLIT(F49,"" ""))&gt;2)))"),"борудование|для|гончарки")</f>
        <v>борудование|для|гончарки</v>
      </c>
      <c r="I49" s="6"/>
      <c r="J49" s="6"/>
    </row>
    <row r="50">
      <c r="A50" s="7"/>
      <c r="B50" s="7" t="s">
        <v>89</v>
      </c>
      <c r="C50" s="7" t="s">
        <v>79</v>
      </c>
      <c r="D50" s="7"/>
      <c r="E50" s="11">
        <v>0.0</v>
      </c>
      <c r="F50" s="10" t="str">
        <f>IFERROR(__xludf.DUMMYFUNCTION("LOWER(REGEXREPLACE(B50&amp;"" ""&amp;C50,""[^а-яa-z0-9 ]"","" ""))")," омещение камеры охлаждения ")</f>
        <v> омещение камеры охлаждения </v>
      </c>
      <c r="G50" s="10" t="str">
        <f>IFERROR(__xludf.DUMMYFUNCTION("TEXTJOIN(""|"",TRUE,UNIQUE(FILTER(SPLIT(F50,"" ""),LEN(SPLIT(F50,"" ""))&gt;2)))"),"омещение|камеры|охлаждения")</f>
        <v>омещение|камеры|охлаждения</v>
      </c>
      <c r="I50" s="6"/>
      <c r="J50" s="6"/>
    </row>
    <row r="51">
      <c r="A51" s="12" t="s">
        <v>90</v>
      </c>
      <c r="B51" s="7" t="s">
        <v>91</v>
      </c>
      <c r="C51" s="7" t="s">
        <v>92</v>
      </c>
      <c r="D51" s="13">
        <v>55386.78912000001</v>
      </c>
      <c r="E51" s="9">
        <v>59.0</v>
      </c>
      <c r="F51" s="10" t="str">
        <f>IFERROR(__xludf.DUMMYFUNCTION("LOWER(REGEXREPLACE(B51&amp;"" ""&amp;C51,""[^а-яa-z0-9 ]"","" ""))")," олл шторы  олл шторы белые однотонные   х х в м2               2410х1810х4360 мм")</f>
        <v> олл шторы  олл шторы белые однотонные   х х в м2               2410х1810х4360 мм</v>
      </c>
      <c r="G51" s="10" t="str">
        <f>IFERROR(__xludf.DUMMYFUNCTION("TEXTJOIN(""|"",TRUE,UNIQUE(FILTER(SPLIT(F51,"" ""),LEN(SPLIT(F51,"" ""))&gt;2)))"),"олл|шторы|олл|шторы|белые|однотонные|2410х1810х4360")</f>
        <v>олл|шторы|олл|шторы|белые|однотонные|2410х1810х4360</v>
      </c>
      <c r="I51" s="6"/>
      <c r="J51" s="6"/>
    </row>
    <row r="52">
      <c r="A52" s="12" t="s">
        <v>93</v>
      </c>
      <c r="B52" s="7" t="s">
        <v>91</v>
      </c>
      <c r="C52" s="7" t="s">
        <v>94</v>
      </c>
      <c r="D52" s="13">
        <v>41667.125759999995</v>
      </c>
      <c r="E52" s="9">
        <v>49.0</v>
      </c>
      <c r="F52" s="10" t="str">
        <f>IFERROR(__xludf.DUMMYFUNCTION("LOWER(REGEXREPLACE(B52&amp;"" ""&amp;C52,""[^а-яa-z0-9 ]"","" ""))")," олл шторы  олл шторы белые однотонные   х х в м2               1810х1810х3280 мм")</f>
        <v> олл шторы  олл шторы белые однотонные   х х в м2               1810х1810х3280 мм</v>
      </c>
      <c r="G52" s="10" t="str">
        <f>IFERROR(__xludf.DUMMYFUNCTION("TEXTJOIN(""|"",TRUE,UNIQUE(FILTER(SPLIT(F52,"" ""),LEN(SPLIT(F52,"" ""))&gt;2)))"),"олл|шторы|олл|шторы|белые|однотонные|1810х1810х3280")</f>
        <v>олл|шторы|олл|шторы|белые|однотонные|1810х1810х3280</v>
      </c>
      <c r="I52" s="6"/>
      <c r="J52" s="6"/>
    </row>
    <row r="53">
      <c r="A53" s="12" t="s">
        <v>95</v>
      </c>
      <c r="B53" s="7" t="s">
        <v>91</v>
      </c>
      <c r="C53" s="7" t="s">
        <v>96</v>
      </c>
      <c r="D53" s="13">
        <v>27820.42848</v>
      </c>
      <c r="E53" s="9">
        <v>3.0</v>
      </c>
      <c r="F53" s="10" t="str">
        <f>IFERROR(__xludf.DUMMYFUNCTION("LOWER(REGEXREPLACE(B53&amp;"" ""&amp;C53,""[^а-яa-z0-9 ]"","" ""))")," олл шторы  олл шторы белые однотонные   х х в м2               1210х1810х2190 мм")</f>
        <v> олл шторы  олл шторы белые однотонные   х х в м2               1210х1810х2190 мм</v>
      </c>
      <c r="G53" s="10" t="str">
        <f>IFERROR(__xludf.DUMMYFUNCTION("TEXTJOIN(""|"",TRUE,UNIQUE(FILTER(SPLIT(F53,"" ""),LEN(SPLIT(F53,"" ""))&gt;2)))"),"олл|шторы|олл|шторы|белые|однотонные|1210х1810х2190")</f>
        <v>олл|шторы|олл|шторы|белые|однотонные|1210х1810х2190</v>
      </c>
      <c r="I53" s="6"/>
      <c r="J53" s="6"/>
    </row>
    <row r="54">
      <c r="A54" s="12" t="s">
        <v>97</v>
      </c>
      <c r="B54" s="7" t="s">
        <v>91</v>
      </c>
      <c r="C54" s="7" t="s">
        <v>98</v>
      </c>
      <c r="D54" s="13">
        <v>41158.990079999996</v>
      </c>
      <c r="E54" s="9">
        <v>2.0</v>
      </c>
      <c r="F54" s="10" t="str">
        <f>IFERROR(__xludf.DUMMYFUNCTION("LOWER(REGEXREPLACE(B54&amp;"" ""&amp;C54,""[^а-яa-z0-9 ]"","" ""))")," олл шторы  олл шторы белые однотонные   х х в м2               2000х1200х3240 мм")</f>
        <v> олл шторы  олл шторы белые однотонные   х х в м2               2000х1200х3240 мм</v>
      </c>
      <c r="G54" s="10" t="str">
        <f>IFERROR(__xludf.DUMMYFUNCTION("TEXTJOIN(""|"",TRUE,UNIQUE(FILTER(SPLIT(F54,"" ""),LEN(SPLIT(F54,"" ""))&gt;2)))"),"олл|шторы|олл|шторы|белые|однотонные|2000х1200х3240")</f>
        <v>олл|шторы|олл|шторы|белые|однотонные|2000х1200х3240</v>
      </c>
      <c r="I54" s="6"/>
      <c r="J54" s="6"/>
    </row>
    <row r="55">
      <c r="A55" s="12" t="s">
        <v>99</v>
      </c>
      <c r="B55" s="7" t="s">
        <v>91</v>
      </c>
      <c r="C55" s="7" t="s">
        <v>100</v>
      </c>
      <c r="D55" s="13">
        <v>100991.9664</v>
      </c>
      <c r="E55" s="9">
        <v>6.0</v>
      </c>
      <c r="F55" s="10" t="str">
        <f>IFERROR(__xludf.DUMMYFUNCTION("LOWER(REGEXREPLACE(B55&amp;"" ""&amp;C55,""[^а-яa-z0-9 ]"","" ""))")," олл шторы  олл шторы белые однотонные   х х в м2               2410х3300х7950 мм")</f>
        <v> олл шторы  олл шторы белые однотонные   х х в м2               2410х3300х7950 мм</v>
      </c>
      <c r="G55" s="10" t="str">
        <f>IFERROR(__xludf.DUMMYFUNCTION("TEXTJOIN(""|"",TRUE,UNIQUE(FILTER(SPLIT(F55,"" ""),LEN(SPLIT(F55,"" ""))&gt;2)))"),"олл|шторы|олл|шторы|белые|однотонные|2410х3300х7950")</f>
        <v>олл|шторы|олл|шторы|белые|однотонные|2410х3300х7950</v>
      </c>
      <c r="I55" s="6"/>
      <c r="J55" s="6"/>
    </row>
    <row r="56">
      <c r="A56" s="12" t="s">
        <v>101</v>
      </c>
      <c r="B56" s="7" t="s">
        <v>91</v>
      </c>
      <c r="C56" s="7" t="s">
        <v>102</v>
      </c>
      <c r="D56" s="13">
        <v>19055.088</v>
      </c>
      <c r="E56" s="9">
        <v>4.0</v>
      </c>
      <c r="F56" s="10" t="str">
        <f>IFERROR(__xludf.DUMMYFUNCTION("LOWER(REGEXREPLACE(B56&amp;"" ""&amp;C56,""[^а-яa-z0-9 ]"","" ""))")," олл шторы  олл шторы белые однотонные   х х в м2               910х1650х1500 мм")</f>
        <v> олл шторы  олл шторы белые однотонные   х х в м2               910х1650х1500 мм</v>
      </c>
      <c r="G56" s="10" t="str">
        <f>IFERROR(__xludf.DUMMYFUNCTION("TEXTJOIN(""|"",TRUE,UNIQUE(FILTER(SPLIT(F56,"" ""),LEN(SPLIT(F56,"" ""))&gt;2)))"),"олл|шторы|олл|шторы|белые|однотонные|910х1650х1500")</f>
        <v>олл|шторы|олл|шторы|белые|однотонные|910х1650х1500</v>
      </c>
      <c r="I56" s="6"/>
      <c r="J56" s="6"/>
    </row>
    <row r="57">
      <c r="A57" s="12" t="s">
        <v>103</v>
      </c>
      <c r="B57" s="7" t="s">
        <v>91</v>
      </c>
      <c r="C57" s="7" t="s">
        <v>104</v>
      </c>
      <c r="D57" s="13">
        <v>27439.326720000005</v>
      </c>
      <c r="E57" s="9">
        <v>6.0</v>
      </c>
      <c r="F57" s="10" t="str">
        <f>IFERROR(__xludf.DUMMYFUNCTION("LOWER(REGEXREPLACE(B57&amp;"" ""&amp;C57,""[^а-яa-z0-9 ]"","" ""))")," олл шторы  олл шторы белые однотонные   х х в м2               1310х1650х2160 мм")</f>
        <v> олл шторы  олл шторы белые однотонные   х х в м2               1310х1650х2160 мм</v>
      </c>
      <c r="G57" s="10" t="str">
        <f>IFERROR(__xludf.DUMMYFUNCTION("TEXTJOIN(""|"",TRUE,UNIQUE(FILTER(SPLIT(F57,"" ""),LEN(SPLIT(F57,"" ""))&gt;2)))"),"олл|шторы|олл|шторы|белые|однотонные|1310х1650х2160")</f>
        <v>олл|шторы|олл|шторы|белые|однотонные|1310х1650х2160</v>
      </c>
      <c r="I57" s="6"/>
      <c r="J57" s="6"/>
    </row>
    <row r="58">
      <c r="A58" s="12" t="s">
        <v>105</v>
      </c>
      <c r="B58" s="7" t="s">
        <v>106</v>
      </c>
      <c r="C58" s="7" t="s">
        <v>107</v>
      </c>
      <c r="D58" s="8">
        <v>1400.0</v>
      </c>
      <c r="E58" s="9">
        <v>1.0</v>
      </c>
      <c r="F58" s="10" t="str">
        <f>IFERROR(__xludf.DUMMYFUNCTION("LOWER(REGEXREPLACE(B58&amp;"" ""&amp;C58,""[^а-яa-z0-9 ]"","" ""))"),"   ылды  бояма    аз    мная  раскраска   аскрась по коду   ето  енаги   ")</f>
        <v>   ылды  бояма    аз    мная  раскраска   аскрась по коду   ето  енаги   </v>
      </c>
      <c r="G58" s="10" t="str">
        <f>IFERROR(__xludf.DUMMYFUNCTION("TEXTJOIN(""|"",TRUE,UNIQUE(FILTER(SPLIT(F58,"" ""),LEN(SPLIT(F58,"" ""))&gt;2)))"),"ылды|бояма|мная|раскраска|аскрась|коду|ето|енаги")</f>
        <v>ылды|бояма|мная|раскраска|аскрась|коду|ето|енаги</v>
      </c>
      <c r="I58" s="6"/>
      <c r="J58" s="6"/>
    </row>
    <row r="59">
      <c r="A59" s="12" t="s">
        <v>108</v>
      </c>
      <c r="B59" s="7" t="s">
        <v>109</v>
      </c>
      <c r="C59" s="7" t="s">
        <v>110</v>
      </c>
      <c r="D59" s="8">
        <v>16000.0</v>
      </c>
      <c r="E59" s="9">
        <v>50.0</v>
      </c>
      <c r="F59" s="10" t="str">
        <f>IFERROR(__xludf.DUMMYFUNCTION("LOWER(REGEXREPLACE(B59&amp;"" ""&amp;C59,""[^а-яa-z0-9 ]"","" ""))"),"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детал"&amp;"и   6 шт    желтые детали   6 шт    зеленые детали   5 шт ")</f>
        <v>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детали   6 шт    желтые детали   6 шт    зеленые детали   5 шт </v>
      </c>
      <c r="G59" s="10" t="str">
        <f>IFERROR(__xludf.DUMMYFUNCTION("TEXTJOIN(""|"",TRUE,UNIQUE(FILTER(SPLIT(F59,"" ""),LEN(SPLIT(F59,"" ""))&gt;2)))"),"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f>
        <v>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v>
      </c>
      <c r="I59" s="6"/>
      <c r="J59" s="6"/>
    </row>
    <row r="60">
      <c r="A60" s="12" t="s">
        <v>111</v>
      </c>
      <c r="B60" s="7" t="s">
        <v>112</v>
      </c>
      <c r="C60" s="7" t="s">
        <v>113</v>
      </c>
      <c r="D60" s="8">
        <v>6700.0</v>
      </c>
      <c r="E60" s="9">
        <v>5.0</v>
      </c>
      <c r="F60" s="10" t="str">
        <f>IFERROR(__xludf.DUMMYFUNCTION("LOWER(REGEXREPLACE(B60&amp;"" ""&amp;C60,""[^а-яa-z0-9 ]"","" ""))"),"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демонстрацион"&amp;"ных картинок и 16 раздаточных карточек ")</f>
        <v>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демонстрационных картинок и 16 раздаточных карточек </v>
      </c>
      <c r="G60" s="10" t="str">
        <f>IFERROR(__xludf.DUMMYFUNCTION("TEXTJOIN(""|"",TRUE,UNIQUE(FILTER(SPLIT(F60,"" ""),LEN(SPLIT(F60,"" ""))&gt;2)))"),"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amp;"очных|карточек")</f>
        <v>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очных|карточек</v>
      </c>
      <c r="I60" s="6"/>
      <c r="J60" s="6"/>
    </row>
    <row r="61">
      <c r="A61" s="12" t="s">
        <v>114</v>
      </c>
      <c r="B61" s="7" t="s">
        <v>115</v>
      </c>
      <c r="C61" s="7" t="s">
        <v>115</v>
      </c>
      <c r="D61" s="8">
        <v>229300.0</v>
      </c>
      <c r="E61" s="9">
        <v>5.0</v>
      </c>
      <c r="F61" s="10" t="str">
        <f>IFERROR(__xludf.DUMMYFUNCTION("LOWER(REGEXREPLACE(B61&amp;"" ""&amp;C61,""[^а-яa-z0-9 ]"","" ""))")," акет расходных материалов для инструментов  akerspace  акет расходных материалов для инструментов  akerspace")</f>
        <v> акет расходных материалов для инструментов  akerspace  акет расходных материалов для инструментов  akerspace</v>
      </c>
      <c r="G61" s="10" t="str">
        <f>IFERROR(__xludf.DUMMYFUNCTION("TEXTJOIN(""|"",TRUE,UNIQUE(FILTER(SPLIT(F61,"" ""),LEN(SPLIT(F61,"" ""))&gt;2)))"),"акет|расходных|материалов|для|инструментов|akerspace|акет|расходных|материалов|для|инструментов|akerspace")</f>
        <v>акет|расходных|материалов|для|инструментов|akerspace|акет|расходных|материалов|для|инструментов|akerspace</v>
      </c>
      <c r="I61" s="6"/>
      <c r="J61" s="6"/>
    </row>
    <row r="62">
      <c r="A62" s="12" t="s">
        <v>116</v>
      </c>
      <c r="B62" s="7" t="s">
        <v>117</v>
      </c>
      <c r="C62" s="7" t="s">
        <v>118</v>
      </c>
      <c r="D62" s="8">
        <v>567000.0</v>
      </c>
      <c r="E62" s="9">
        <v>0.0</v>
      </c>
      <c r="F62" s="10" t="str">
        <f>IFERROR(__xludf.DUMMYFUNCTION("LOWER(REGEXREPLACE(B62&amp;"" ""&amp;C62,""[^а-яa-z0-9 ]"","" ""))"),"3  принтер  1  ombo 3  принтер ")</f>
        <v>3  принтер  1  ombo 3  принтер </v>
      </c>
      <c r="G62" s="10" t="str">
        <f>IFERROR(__xludf.DUMMYFUNCTION("TEXTJOIN(""|"",TRUE,UNIQUE(FILTER(SPLIT(F62,"" ""),LEN(SPLIT(F62,"" ""))&gt;2)))"),"принтер|ombo|принтер")</f>
        <v>принтер|ombo|принтер</v>
      </c>
      <c r="I62" s="6"/>
      <c r="J62" s="6"/>
    </row>
    <row r="63">
      <c r="A63" s="12" t="s">
        <v>119</v>
      </c>
      <c r="B63" s="12" t="s">
        <v>120</v>
      </c>
      <c r="C63" s="7" t="s">
        <v>121</v>
      </c>
      <c r="D63" s="8">
        <v>1429200.0</v>
      </c>
      <c r="E63" s="9">
        <v>3.0</v>
      </c>
      <c r="F63" s="10" t="str">
        <f>IFERROR(__xludf.DUMMYFUNCTION("LOWER(REGEXREPLACE(B63&amp;"" ""&amp;C63,""[^а-яa-z0-9 ]"","" ""))")," ерстак для сборки   сновная рабочая зона для конструирования моделей и работы с инструментами ")</f>
        <v> ерстак для сборки   сновная рабочая зона для конструирования моделей и работы с инструментами </v>
      </c>
      <c r="G63" s="10" t="str">
        <f>IFERROR(__xludf.DUMMYFUNCTION("TEXTJOIN(""|"",TRUE,UNIQUE(FILTER(SPLIT(F63,"" ""),LEN(SPLIT(F63,"" ""))&gt;2)))"),"ерстак|для|сборки|сновная|рабочая|зона|для|конструирования|моделей|работы|инструментами")</f>
        <v>ерстак|для|сборки|сновная|рабочая|зона|для|конструирования|моделей|работы|инструментами</v>
      </c>
      <c r="I63" s="6"/>
      <c r="J63" s="6"/>
    </row>
    <row r="64">
      <c r="A64" s="12" t="s">
        <v>122</v>
      </c>
      <c r="B64" s="12" t="s">
        <v>123</v>
      </c>
      <c r="C64" s="7" t="s">
        <v>124</v>
      </c>
      <c r="D64" s="8">
        <v>163000.0</v>
      </c>
      <c r="E64" s="9">
        <v>15.0</v>
      </c>
      <c r="F64" s="10" t="str">
        <f>IFERROR(__xludf.DUMMYFUNCTION("LOWER(REGEXREPLACE(B64&amp;"" ""&amp;C64,""[^а-яa-z0-9 ]"","" ""))")," тулья   ысота сиденья  25   26 см  ирина сиденья  29 см  лубина сиденья  27 см  ысота спинки  общая   52 см")</f>
        <v> тулья   ысота сиденья  25   26 см  ирина сиденья  29 см  лубина сиденья  27 см  ысота спинки  общая   52 см</v>
      </c>
      <c r="G64" s="10" t="str">
        <f>IFERROR(__xludf.DUMMYFUNCTION("TEXTJOIN(""|"",TRUE,UNIQUE(FILTER(SPLIT(F64,"" ""),LEN(SPLIT(F64,"" ""))&gt;2)))"),"тулья|ысота|сиденья|ирина|сиденья|лубина|сиденья|ысота|спинки|общая")</f>
        <v>тулья|ысота|сиденья|ирина|сиденья|лубина|сиденья|ысота|спинки|общая</v>
      </c>
      <c r="I64" s="6"/>
      <c r="J64" s="6"/>
    </row>
    <row r="65">
      <c r="A65" s="12" t="s">
        <v>125</v>
      </c>
      <c r="B65" s="12" t="s">
        <v>126</v>
      </c>
      <c r="C65" s="7" t="s">
        <v>127</v>
      </c>
      <c r="D65" s="8">
        <v>722400.0</v>
      </c>
      <c r="E65" s="9">
        <v>3.0</v>
      </c>
      <c r="F65" s="10" t="str">
        <f>IFERROR(__xludf.DUMMYFUNCTION("LOWER(REGEXREPLACE(B65&amp;"" ""&amp;C65,""[^а-яa-z0-9 ]"","" ""))")," истема хранения   теллаж для организации лотков с деталями роботов и микросхемами ")</f>
        <v> истема хранения   теллаж для организации лотков с деталями роботов и микросхемами </v>
      </c>
      <c r="G65" s="10" t="str">
        <f>IFERROR(__xludf.DUMMYFUNCTION("TEXTJOIN(""|"",TRUE,UNIQUE(FILTER(SPLIT(F65,"" ""),LEN(SPLIT(F65,"" ""))&gt;2)))"),"истема|хранения|теллаж|для|организации|лотков|деталями|роботов|микросхемами")</f>
        <v>истема|хранения|теллаж|для|организации|лотков|деталями|роботов|микросхемами</v>
      </c>
      <c r="I65" s="6"/>
      <c r="J65" s="6"/>
    </row>
    <row r="66">
      <c r="A66" s="12" t="s">
        <v>128</v>
      </c>
      <c r="B66" s="12" t="s">
        <v>129</v>
      </c>
      <c r="C66" s="7" t="s">
        <v>130</v>
      </c>
      <c r="D66" s="8">
        <v>166600.0</v>
      </c>
      <c r="E66" s="9">
        <v>3.0</v>
      </c>
      <c r="F66" s="10" t="str">
        <f>IFERROR(__xludf.DUMMYFUNCTION("LOWER(REGEXREPLACE(B66&amp;"" ""&amp;C66,""[^а-яa-z0-9 ]"","" ""))")," лубокие лотки   онтейнеры для сортировки конструкторов по типам деталей ")</f>
        <v> лубокие лотки   онтейнеры для сортировки конструкторов по типам деталей </v>
      </c>
      <c r="G66" s="10" t="str">
        <f>IFERROR(__xludf.DUMMYFUNCTION("TEXTJOIN(""|"",TRUE,UNIQUE(FILTER(SPLIT(F66,"" ""),LEN(SPLIT(F66,"" ""))&gt;2)))"),"лубокие|лотки|онтейнеры|для|сортировки|конструкторов|типам|деталей")</f>
        <v>лубокие|лотки|онтейнеры|для|сортировки|конструкторов|типам|деталей</v>
      </c>
      <c r="I66" s="6"/>
      <c r="J66" s="6"/>
    </row>
    <row r="67">
      <c r="A67" s="12" t="s">
        <v>131</v>
      </c>
      <c r="B67" s="12" t="s">
        <v>132</v>
      </c>
      <c r="C67" s="7" t="s">
        <v>133</v>
      </c>
      <c r="D67" s="8">
        <v>1826200.0</v>
      </c>
      <c r="E67" s="9">
        <v>1.0</v>
      </c>
      <c r="F67" s="10" t="str">
        <f>IFERROR(__xludf.DUMMYFUNCTION("LOWER(REGEXREPLACE(B67&amp;"" ""&amp;C67,""[^а-яa-z0-9 ]"","" ""))")," астенная механика  нтерактивный стенд для изучения передач  вращения и крутящего момента")</f>
        <v> астенная механика  нтерактивный стенд для изучения передач  вращения и крутящего момента</v>
      </c>
      <c r="G67" s="10" t="str">
        <f>IFERROR(__xludf.DUMMYFUNCTION("TEXTJOIN(""|"",TRUE,UNIQUE(FILTER(SPLIT(F67,"" ""),LEN(SPLIT(F67,"" ""))&gt;2)))"),"астенная|механика|нтерактивный|стенд|для|изучения|передач|вращения|крутящего|момента")</f>
        <v>астенная|механика|нтерактивный|стенд|для|изучения|передач|вращения|крутящего|момента</v>
      </c>
      <c r="I67" s="6"/>
      <c r="J67" s="6"/>
    </row>
    <row r="68">
      <c r="A68" s="12" t="s">
        <v>134</v>
      </c>
      <c r="B68" s="12" t="s">
        <v>135</v>
      </c>
      <c r="C68" s="7" t="s">
        <v>136</v>
      </c>
      <c r="D68" s="8">
        <v>338900.0</v>
      </c>
      <c r="E68" s="9">
        <v>4.0</v>
      </c>
      <c r="F68" s="10" t="str">
        <f>IFERROR(__xludf.DUMMYFUNCTION("LOWER(REGEXREPLACE(B68&amp;"" ""&amp;C68,""[^а-яa-z0-9 ]"","" ""))")," сновы алгоритмики   гра для развития логического мышления  база перед программированием ")</f>
        <v> сновы алгоритмики   гра для развития логического мышления  база перед программированием </v>
      </c>
      <c r="G68" s="10" t="str">
        <f>IFERROR(__xludf.DUMMYFUNCTION("TEXTJOIN(""|"",TRUE,UNIQUE(FILTER(SPLIT(F68,"" ""),LEN(SPLIT(F68,"" ""))&gt;2)))"),"сновы|алгоритмики|гра|для|развития|логического|мышления|база|перед|программированием")</f>
        <v>сновы|алгоритмики|гра|для|развития|логического|мышления|база|перед|программированием</v>
      </c>
      <c r="I68" s="6"/>
      <c r="J68" s="6"/>
    </row>
    <row r="69">
      <c r="A69" s="12" t="s">
        <v>137</v>
      </c>
      <c r="B69" s="12" t="s">
        <v>138</v>
      </c>
      <c r="C69" s="7" t="s">
        <v>139</v>
      </c>
      <c r="D69" s="8">
        <v>104900.0</v>
      </c>
      <c r="E69" s="9">
        <v>5.0</v>
      </c>
      <c r="F69" s="10" t="str">
        <f>IFERROR(__xludf.DUMMYFUNCTION("LOWER(REGEXREPLACE(B69&amp;"" ""&amp;C69,""[^а-яa-z0-9 ]"","" ""))")," аборатория шестеренок  астольный набор для понимания принципов работы механических узлов ")</f>
        <v> аборатория шестеренок  астольный набор для понимания принципов работы механических узлов </v>
      </c>
      <c r="G69" s="10" t="str">
        <f>IFERROR(__xludf.DUMMYFUNCTION("TEXTJOIN(""|"",TRUE,UNIQUE(FILTER(SPLIT(F69,"" ""),LEN(SPLIT(F69,"" ""))&gt;2)))"),"аборатория|шестеренок|астольный|набор|для|понимания|принципов|работы|механических|узлов")</f>
        <v>аборатория|шестеренок|астольный|набор|для|понимания|принципов|работы|механических|узлов</v>
      </c>
      <c r="I69" s="6"/>
      <c r="J69" s="6"/>
    </row>
    <row r="70">
      <c r="A70" s="12" t="s">
        <v>140</v>
      </c>
      <c r="B70" s="12" t="s">
        <v>141</v>
      </c>
      <c r="C70" s="7" t="s">
        <v>142</v>
      </c>
      <c r="D70" s="8">
        <v>777000.0</v>
      </c>
      <c r="E70" s="9">
        <v>1.0</v>
      </c>
      <c r="F70" s="10" t="str">
        <f>IFERROR(__xludf.DUMMYFUNCTION("LOWER(REGEXREPLACE(B70&amp;"" ""&amp;C70,""[^а-яa-z0-9 ]"","" ""))")," спытательный полигон   ягкая зона для запуска мобильных роботов и групповых обсуждений ")</f>
        <v> спытательный полигон   ягкая зона для запуска мобильных роботов и групповых обсуждений </v>
      </c>
      <c r="G70" s="10" t="str">
        <f>IFERROR(__xludf.DUMMYFUNCTION("TEXTJOIN(""|"",TRUE,UNIQUE(FILTER(SPLIT(F70,"" ""),LEN(SPLIT(F70,"" ""))&gt;2)))"),"спытательный|полигон|ягкая|зона|для|запуска|мобильных|роботов|групповых|обсуждений")</f>
        <v>спытательный|полигон|ягкая|зона|для|запуска|мобильных|роботов|групповых|обсуждений</v>
      </c>
      <c r="I70" s="6"/>
      <c r="J70" s="6"/>
    </row>
    <row r="71">
      <c r="A71" s="12" t="s">
        <v>143</v>
      </c>
      <c r="B71" s="7" t="s">
        <v>144</v>
      </c>
      <c r="C71" s="7" t="s">
        <v>145</v>
      </c>
      <c r="D71" s="8">
        <v>6700.0</v>
      </c>
      <c r="E71" s="9">
        <v>5.0</v>
      </c>
      <c r="F71" s="10" t="str">
        <f>IFERROR(__xludf.DUMMYFUNCTION("LOWER(REGEXREPLACE(B71&amp;"" ""&amp;C71,""[^а-яa-z0-9 ]"","" ""))"),"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16"&amp;" демонстрационных и 16 раздаточных карточек ")</f>
        <v>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 демонстрационных и 16 раздаточных карточек </v>
      </c>
      <c r="G71" s="10" t="str">
        <f>IFERROR(__xludf.DUMMYFUNCTION("TEXTJOIN(""|"",TRUE,UNIQUE(FILTER(SPLIT(F71,"" ""),LEN(SPLIT(F71,"" ""))&gt;2)))"),"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amp;"|раздаточных|карточек")</f>
        <v>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раздаточных|карточек</v>
      </c>
      <c r="I71" s="6"/>
      <c r="J71" s="6"/>
    </row>
    <row r="72">
      <c r="A72" s="12" t="s">
        <v>146</v>
      </c>
      <c r="B72" s="12" t="s">
        <v>147</v>
      </c>
      <c r="C72" s="7" t="s">
        <v>148</v>
      </c>
      <c r="D72" s="8">
        <v>94800.0</v>
      </c>
      <c r="E72" s="9">
        <v>2.0</v>
      </c>
      <c r="F72" s="10" t="str">
        <f>IFERROR(__xludf.DUMMYFUNCTION("LOWER(REGEXREPLACE(B72&amp;"" ""&amp;C72,""[^а-яa-z0-9 ]"","" ""))")," азовый набор робототехники для детей     онструктор  ego  ducation      iscover")</f>
        <v> азовый набор робототехники для детей     онструктор  ego  ducation      iscover</v>
      </c>
      <c r="G72" s="10" t="str">
        <f>IFERROR(__xludf.DUMMYFUNCTION("TEXTJOIN(""|"",TRUE,UNIQUE(FILTER(SPLIT(F72,"" ""),LEN(SPLIT(F72,"" ""))&gt;2)))"),"азовый|набор|робототехники|для|детей|онструктор|ego|ducation|iscover")</f>
        <v>азовый|набор|робототехники|для|детей|онструктор|ego|ducation|iscover</v>
      </c>
      <c r="I72" s="6"/>
      <c r="J72" s="6"/>
    </row>
    <row r="73">
      <c r="A73" s="12" t="s">
        <v>149</v>
      </c>
      <c r="B73" s="12" t="s">
        <v>150</v>
      </c>
      <c r="C73" s="7" t="s">
        <v>151</v>
      </c>
      <c r="D73" s="8">
        <v>453300.0</v>
      </c>
      <c r="E73" s="9">
        <v>4.0</v>
      </c>
      <c r="F73" s="10" t="str">
        <f>IFERROR(__xludf.DUMMYFUNCTION("LOWER(REGEXREPLACE(B73&amp;"" ""&amp;C73,""[^а-яa-z0-9 ]"","" ""))"),"  obo  underkind  ducation  it  азовый набор  obowunderkind для начальных классов")</f>
        <v>  obo  underkind  ducation  it  азовый набор  obowunderkind для начальных классов</v>
      </c>
      <c r="G73" s="10" t="str">
        <f>IFERROR(__xludf.DUMMYFUNCTION("TEXTJOIN(""|"",TRUE,UNIQUE(FILTER(SPLIT(F73,"" ""),LEN(SPLIT(F73,"" ""))&gt;2)))"),"obo|underkind|ducation|азовый|набор|obowunderkind|для|начальных|классов")</f>
        <v>obo|underkind|ducation|азовый|набор|obowunderkind|для|начальных|классов</v>
      </c>
      <c r="I73" s="6"/>
      <c r="J73" s="6"/>
    </row>
    <row r="74">
      <c r="A74" s="12" t="s">
        <v>152</v>
      </c>
      <c r="B74" s="12" t="s">
        <v>153</v>
      </c>
      <c r="C74" s="7" t="s">
        <v>154</v>
      </c>
      <c r="D74" s="8">
        <v>313400.0</v>
      </c>
      <c r="E74" s="9">
        <v>4.0</v>
      </c>
      <c r="F74" s="10" t="str">
        <f>IFERROR(__xludf.DUMMYFUNCTION("LOWER(REGEXREPLACE(B74&amp;"" ""&amp;C74,""[^а-яa-z0-9 ]"","" ""))")," obo  underkind  xtension  it  азовый набор  obo wunderkind для начальных классов")</f>
        <v> obo  underkind  xtension  it  азовый набор  obo wunderkind для начальных классов</v>
      </c>
      <c r="G74" s="10" t="str">
        <f>IFERROR(__xludf.DUMMYFUNCTION("TEXTJOIN(""|"",TRUE,UNIQUE(FILTER(SPLIT(F74,"" ""),LEN(SPLIT(F74,"" ""))&gt;2)))"),"obo|underkind|xtension|азовый|набор|obo|wunderkind|для|начальных|классов")</f>
        <v>obo|underkind|xtension|азовый|набор|obo|wunderkind|для|начальных|классов</v>
      </c>
      <c r="I74" s="6"/>
      <c r="J74" s="6"/>
    </row>
    <row r="75">
      <c r="A75" s="12" t="s">
        <v>155</v>
      </c>
      <c r="B75" s="12" t="s">
        <v>156</v>
      </c>
      <c r="C75" s="7" t="s">
        <v>156</v>
      </c>
      <c r="D75" s="8">
        <v>965600.0</v>
      </c>
      <c r="E75" s="9">
        <v>1.0</v>
      </c>
      <c r="F75" s="10" t="str">
        <f>IFERROR(__xludf.DUMMYFUNCTION("LOWER(REGEXREPLACE(B75&amp;"" ""&amp;C75,""[^а-яa-z0-9 ]"","" ""))")," абор для изучения управлению роботом  убо  абор для изучения управлению роботом  убо")</f>
        <v> абор для изучения управлению роботом  убо  абор для изучения управлению роботом  убо</v>
      </c>
      <c r="G75" s="10" t="str">
        <f>IFERROR(__xludf.DUMMYFUNCTION("TEXTJOIN(""|"",TRUE,UNIQUE(FILTER(SPLIT(F75,"" ""),LEN(SPLIT(F75,"" ""))&gt;2)))"),"абор|для|изучения|управлению|роботом|убо|абор|для|изучения|управлению|роботом|убо")</f>
        <v>абор|для|изучения|управлению|роботом|убо|абор|для|изучения|управлению|роботом|убо</v>
      </c>
      <c r="I75" s="6"/>
      <c r="J75" s="6"/>
    </row>
    <row r="76">
      <c r="A76" s="12" t="s">
        <v>157</v>
      </c>
      <c r="B76" s="7" t="s">
        <v>158</v>
      </c>
      <c r="C76" s="7" t="s">
        <v>159</v>
      </c>
      <c r="D76" s="8">
        <v>6700.0</v>
      </c>
      <c r="E76" s="9">
        <v>5.0</v>
      </c>
      <c r="F76" s="10" t="str">
        <f>IFERROR(__xludf.DUMMYFUNCTION("LOWER(REGEXREPLACE(B76&amp;"" ""&amp;C76,""[^а-яa-z0-9 ]"","" ""))"),"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"&amp;"входит 16 демонстрационных и 16 раздаточных карточек ")</f>
        <v>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входит 16 демонстрационных и 16 раздаточных карточек </v>
      </c>
      <c r="G76" s="10" t="str">
        <f>IFERROR(__xludf.DUMMYFUNCTION("TEXTJOIN(""|"",TRUE,UNIQUE(FILTER(SPLIT(F76,"" ""),LEN(SPLIT(F76,"" ""))&gt;2)))"),"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amp;"нных|раздаточных|карточек")</f>
        <v>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нных|раздаточных|карточек</v>
      </c>
      <c r="I76" s="6"/>
      <c r="J76" s="6"/>
    </row>
    <row r="77">
      <c r="A77" s="12" t="s">
        <v>160</v>
      </c>
      <c r="B77" s="7" t="s">
        <v>161</v>
      </c>
      <c r="C77" s="7" t="s">
        <v>162</v>
      </c>
      <c r="D77" s="8">
        <v>6700.0</v>
      </c>
      <c r="E77" s="9">
        <v>5.0</v>
      </c>
      <c r="F77" s="10" t="str">
        <f>IFERROR(__xludf.DUMMYFUNCTION("LOWER(REGEXREPLACE(B77&amp;"" ""&amp;C77,""[^а-яa-z0-9 ]"","" ""))"),"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разда"&amp;"точных карточек ")</f>
        <v>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раздаточных карточек </v>
      </c>
      <c r="G77" s="10" t="str">
        <f>IFERROR(__xludf.DUMMYFUNCTION("TEXTJOIN(""|"",TRUE,UNIQUE(FILTER(SPLIT(F77,"" ""),LEN(SPLIT(F77,"" ""))&gt;2)))"),"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f>
        <v>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v>
      </c>
      <c r="I77" s="6"/>
      <c r="J77" s="6"/>
    </row>
    <row r="78">
      <c r="A78" s="12" t="s">
        <v>163</v>
      </c>
      <c r="B78" s="7" t="s">
        <v>164</v>
      </c>
      <c r="C78" s="7" t="s">
        <v>165</v>
      </c>
      <c r="D78" s="8">
        <v>6700.0</v>
      </c>
      <c r="E78" s="9">
        <v>5.0</v>
      </c>
      <c r="F78" s="10" t="str">
        <f>IFERROR(__xludf.DUMMYFUNCTION("LOWER(REGEXREPLACE(B78&amp;"" ""&amp;C78,""[^а-яa-z0-9 ]"","" ""))"),"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раздат"&amp;"очных карточек ")</f>
        <v>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раздаточных карточек </v>
      </c>
      <c r="G78" s="10" t="str">
        <f>IFERROR(__xludf.DUMMYFUNCTION("TEXTJOIN(""|"",TRUE,UNIQUE(FILTER(SPLIT(F78,"" ""),LEN(SPLIT(F78,"" ""))&gt;2)))"),"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f>
        <v>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v>
      </c>
      <c r="I78" s="6"/>
      <c r="J78" s="6"/>
    </row>
    <row r="79">
      <c r="A79" s="12" t="s">
        <v>166</v>
      </c>
      <c r="B79" s="7" t="s">
        <v>167</v>
      </c>
      <c r="C79" s="7" t="s">
        <v>168</v>
      </c>
      <c r="D79" s="8">
        <v>6700.0</v>
      </c>
      <c r="E79" s="9">
        <v>5.0</v>
      </c>
      <c r="F79" s="10" t="str">
        <f>IFERROR(__xludf.DUMMYFUNCTION("LOWER(REGEXREPLACE(B79&amp;"" ""&amp;C79,""[^а-яa-z0-9 ]"","" ""))"),"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карт"&amp;"очек ")</f>
        <v>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карточек </v>
      </c>
      <c r="G79" s="10" t="str">
        <f>IFERROR(__xludf.DUMMYFUNCTION("TEXTJOIN(""|"",TRUE,UNIQUE(FILTER(SPLIT(F79,"" ""),LEN(SPLIT(F79,"" ""))&gt;2)))"),"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f>
        <v>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v>
      </c>
      <c r="I79" s="6"/>
      <c r="J79" s="6"/>
    </row>
    <row r="80">
      <c r="A80" s="12" t="s">
        <v>169</v>
      </c>
      <c r="B80" s="7" t="s">
        <v>170</v>
      </c>
      <c r="C80" s="7" t="s">
        <v>171</v>
      </c>
      <c r="D80" s="8">
        <v>6700.0</v>
      </c>
      <c r="E80" s="9">
        <v>5.0</v>
      </c>
      <c r="F80" s="10" t="str">
        <f>IFERROR(__xludf.DUMMYFUNCTION("LOWER(REGEXREPLACE(B80&amp;"" ""&amp;C80,""[^а-яa-z0-9 ]"","" ""))"),"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"&amp;"16 раздаточных карточек ")</f>
        <v>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16 раздаточных карточек </v>
      </c>
      <c r="G80" s="10" t="str">
        <f>IFERROR(__xludf.DUMMYFUNCTION("TEXTJOIN(""|"",TRUE,UNIQUE(FILTER(SPLIT(F80,"" ""),LEN(SPLIT(F80,"" ""))&gt;2)))"),"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f>
        <v>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v>
      </c>
      <c r="I80" s="6"/>
      <c r="J80" s="6"/>
    </row>
    <row r="81">
      <c r="A81" s="12" t="s">
        <v>172</v>
      </c>
      <c r="B81" s="7" t="s">
        <v>173</v>
      </c>
      <c r="C81" s="7" t="s">
        <v>174</v>
      </c>
      <c r="D81" s="8">
        <v>6700.0</v>
      </c>
      <c r="E81" s="9">
        <v>5.0</v>
      </c>
      <c r="F81" s="10" t="str">
        <f>IFERROR(__xludf.DUMMYFUNCTION("LOWER(REGEXREPLACE(B81&amp;"" ""&amp;C81,""[^а-яa-z0-9 ]"","" ""))"),"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входи"&amp;"т 16 демонстрационных и 16 раздаточных карточек ")</f>
        <v>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входит 16 демонстрационных и 16 раздаточных карточек </v>
      </c>
      <c r="G81" s="10" t="str">
        <f>IFERROR(__xludf.DUMMYFUNCTION("TEXTJOIN(""|"",TRUE,UNIQUE(FILTER(SPLIT(F81,"" ""),LEN(SPLIT(F81,"" ""))&gt;2)))"),"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amp;"нных|раздаточных|карточек")</f>
        <v>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нных|раздаточных|карточек</v>
      </c>
      <c r="I81" s="6"/>
      <c r="J81" s="6"/>
    </row>
    <row r="82">
      <c r="A82" s="12" t="s">
        <v>175</v>
      </c>
      <c r="B82" s="7" t="s">
        <v>176</v>
      </c>
      <c r="C82" s="7" t="s">
        <v>177</v>
      </c>
      <c r="D82" s="8">
        <v>6700.0</v>
      </c>
      <c r="E82" s="9">
        <v>5.0</v>
      </c>
      <c r="F82" s="10" t="str">
        <f>IFERROR(__xludf.DUMMYFUNCTION("LOWER(REGEXREPLACE(B82&amp;"" ""&amp;C82,""[^а-яa-z0-9 ]"","" ""))"),"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карт"&amp;"очек ")</f>
        <v>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карточек </v>
      </c>
      <c r="G82" s="10" t="str">
        <f>IFERROR(__xludf.DUMMYFUNCTION("TEXTJOIN(""|"",TRUE,UNIQUE(FILTER(SPLIT(F82,"" ""),LEN(SPLIT(F82,"" ""))&gt;2)))"),"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f>
        <v>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v>
      </c>
      <c r="I82" s="6"/>
      <c r="J82" s="6"/>
    </row>
    <row r="83">
      <c r="A83" s="12" t="s">
        <v>178</v>
      </c>
      <c r="B83" s="7" t="s">
        <v>179</v>
      </c>
      <c r="C83" s="7" t="s">
        <v>180</v>
      </c>
      <c r="D83" s="8">
        <v>6700.0</v>
      </c>
      <c r="E83" s="9">
        <v>5.0</v>
      </c>
      <c r="F83" s="10" t="str">
        <f>IFERROR(__xludf.DUMMYFUNCTION("LOWER(REGEXREPLACE(B83&amp;"" ""&amp;C83,""[^а-яa-z0-9 ]"","" ""))"),"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f>
        <v>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v>
      </c>
      <c r="G83" s="10" t="str">
        <f>IFERROR(__xludf.DUMMYFUNCTION("TEXTJOIN(""|"",TRUE,UNIQUE(FILTER(SPLIT(F83,"" ""),LEN(SPLIT(F83,"" ""))&gt;2)))"),"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f>
        <v>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v>
      </c>
      <c r="I83" s="6"/>
      <c r="J83" s="6"/>
    </row>
    <row r="84">
      <c r="A84" s="12" t="s">
        <v>181</v>
      </c>
      <c r="B84" s="7" t="s">
        <v>182</v>
      </c>
      <c r="C84" s="7" t="s">
        <v>183</v>
      </c>
      <c r="D84" s="8">
        <v>3500.0</v>
      </c>
      <c r="E84" s="9">
        <v>5.0</v>
      </c>
      <c r="F84" s="10" t="str">
        <f>IFERROR(__xludf.DUMMYFUNCTION("LOWER(REGEXREPLACE(B84&amp;"" ""&amp;C84,""[^а-яa-z0-9 ]"","" ""))"),"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дошкольн"&amp;"иков  а также для ознакомления с художественной литературой ")</f>
        <v>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дошкольников  а также для ознакомления с художественной литературой </v>
      </c>
      <c r="G84" s="10" t="str">
        <f>IFERROR(__xludf.DUMMYFUNCTION("TEXTJOIN(""|"",TRUE,UNIQUE(FILTER(SPLIT(F84,"" ""),LEN(SPLIT(F84,"" ""))&gt;2)))"),"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amp;"я|художественной|литературой")</f>
        <v>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я|художественной|литературой</v>
      </c>
      <c r="I84" s="6"/>
      <c r="J84" s="6"/>
    </row>
    <row r="85">
      <c r="A85" s="12" t="s">
        <v>184</v>
      </c>
      <c r="B85" s="7" t="s">
        <v>185</v>
      </c>
      <c r="C85" s="7" t="s">
        <v>186</v>
      </c>
      <c r="D85" s="8">
        <v>6700.0</v>
      </c>
      <c r="E85" s="9">
        <v>5.0</v>
      </c>
      <c r="F85" s="10" t="str">
        <f>IFERROR(__xludf.DUMMYFUNCTION("LOWER(REGEXREPLACE(B85&amp;"" ""&amp;C85,""[^а-яa-z0-9 ]"","" ""))"),"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f>
        <v>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v>
      </c>
      <c r="G85" s="10" t="str">
        <f>IFERROR(__xludf.DUMMYFUNCTION("TEXTJOIN(""|"",TRUE,UNIQUE(FILTER(SPLIT(F85,"" ""),LEN(SPLIT(F85,"" ""))&gt;2)))"),"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f>
        <v>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v>
      </c>
      <c r="I85" s="6"/>
      <c r="J85" s="6"/>
    </row>
    <row r="86">
      <c r="A86" s="12" t="s">
        <v>187</v>
      </c>
      <c r="B86" s="7" t="s">
        <v>188</v>
      </c>
      <c r="C86" s="7" t="s">
        <v>189</v>
      </c>
      <c r="D86" s="8">
        <v>6700.0</v>
      </c>
      <c r="E86" s="9">
        <v>5.0</v>
      </c>
      <c r="F86" s="10" t="str">
        <f>IFERROR(__xludf.DUMMYFUNCTION("LOWER(REGEXREPLACE(B86&amp;"" ""&amp;C86,""[^а-яa-z0-9 ]"","" ""))"),"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карточе"&amp;"к ")</f>
        <v>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карточек </v>
      </c>
      <c r="G86" s="10" t="str">
        <f>IFERROR(__xludf.DUMMYFUNCTION("TEXTJOIN(""|"",TRUE,UNIQUE(FILTER(SPLIT(F86,"" ""),LEN(SPLIT(F86,"" ""))&gt;2)))"),"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v>
      </c>
      <c r="I86" s="6"/>
      <c r="J86" s="6"/>
    </row>
    <row r="87">
      <c r="A87" s="12" t="s">
        <v>190</v>
      </c>
      <c r="B87" s="7" t="s">
        <v>191</v>
      </c>
      <c r="C87" s="7" t="s">
        <v>192</v>
      </c>
      <c r="D87" s="8">
        <v>6700.0</v>
      </c>
      <c r="E87" s="9">
        <v>5.0</v>
      </c>
      <c r="F87" s="10" t="str">
        <f>IFERROR(__xludf.DUMMYFUNCTION("LOWER(REGEXREPLACE(B87&amp;"" ""&amp;C87,""[^а-яa-z0-9 ]"","" ""))"),"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карточе"&amp;"к ")</f>
        <v>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карточек </v>
      </c>
      <c r="G87" s="10" t="str">
        <f>IFERROR(__xludf.DUMMYFUNCTION("TEXTJOIN(""|"",TRUE,UNIQUE(FILTER(SPLIT(F87,"" ""),LEN(SPLIT(F87,"" ""))&gt;2)))"),"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f>
        <v>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v>
      </c>
      <c r="I87" s="6"/>
      <c r="J87" s="6"/>
    </row>
    <row r="88">
      <c r="A88" s="12" t="s">
        <v>193</v>
      </c>
      <c r="B88" s="7" t="s">
        <v>194</v>
      </c>
      <c r="C88" s="7" t="s">
        <v>195</v>
      </c>
      <c r="D88" s="8">
        <v>6700.0</v>
      </c>
      <c r="E88" s="9">
        <v>5.0</v>
      </c>
      <c r="F88" s="10" t="str">
        <f>IFERROR(__xludf.DUMMYFUNCTION("LOWER(REGEXREPLACE(B88&amp;"" ""&amp;C88,""[^а-яa-z0-9 ]"","" ""))"),"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раздат"&amp;"очных карточек ")</f>
        <v>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раздаточных карточек </v>
      </c>
      <c r="G88" s="10" t="str">
        <f>IFERROR(__xludf.DUMMYFUNCTION("TEXTJOIN(""|"",TRUE,UNIQUE(FILTER(SPLIT(F88,"" ""),LEN(SPLIT(F88,"" ""))&gt;2)))"),"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f>
        <v>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v>
      </c>
      <c r="I88" s="6"/>
      <c r="J88" s="6"/>
    </row>
    <row r="89">
      <c r="A89" s="12" t="s">
        <v>196</v>
      </c>
      <c r="B89" s="7" t="s">
        <v>197</v>
      </c>
      <c r="C89" s="7" t="s">
        <v>198</v>
      </c>
      <c r="D89" s="8">
        <v>6700.0</v>
      </c>
      <c r="E89" s="9">
        <v>5.0</v>
      </c>
      <c r="F89" s="10" t="str">
        <f>IFERROR(__xludf.DUMMYFUNCTION("LOWER(REGEXREPLACE(B89&amp;"" ""&amp;C89,""[^а-яa-z0-9 ]"","" ""))"),"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демонстраци"&amp;"онных и 16 раздаточных карточек ")</f>
        <v>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демонстрационных и 16 раздаточных карточек </v>
      </c>
      <c r="G89" s="10" t="str">
        <f>IFERROR(__xludf.DUMMYFUNCTION("TEXTJOIN(""|"",TRUE,UNIQUE(FILTER(SPLIT(F89,"" ""),LEN(SPLIT(F89,"" ""))&gt;2)))"),"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amp;"рточек")</f>
        <v>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рточек</v>
      </c>
      <c r="I89" s="6"/>
      <c r="J89" s="6"/>
    </row>
    <row r="90">
      <c r="A90" s="12" t="s">
        <v>199</v>
      </c>
      <c r="B90" s="7" t="s">
        <v>200</v>
      </c>
      <c r="C90" s="7" t="s">
        <v>201</v>
      </c>
      <c r="D90" s="8">
        <v>6700.0</v>
      </c>
      <c r="E90" s="9">
        <v>5.0</v>
      </c>
      <c r="F90" s="10" t="str">
        <f>IFERROR(__xludf.DUMMYFUNCTION("LOWER(REGEXREPLACE(B90&amp;"" ""&amp;C90,""[^а-яa-z0-9 ]"","" ""))"),"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раздаточ"&amp;"ных карточек ")</f>
        <v>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раздаточных карточек </v>
      </c>
      <c r="G90" s="10" t="str">
        <f>IFERROR(__xludf.DUMMYFUNCTION("TEXTJOIN(""|"",TRUE,UNIQUE(FILTER(SPLIT(F90,"" ""),LEN(SPLIT(F90,"" ""))&gt;2)))"),"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f>
        <v>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v>
      </c>
      <c r="I90" s="6"/>
      <c r="J90" s="6"/>
    </row>
    <row r="91">
      <c r="A91" s="12" t="s">
        <v>202</v>
      </c>
      <c r="B91" s="7" t="s">
        <v>203</v>
      </c>
      <c r="C91" s="7" t="s">
        <v>204</v>
      </c>
      <c r="D91" s="8">
        <v>7600.0</v>
      </c>
      <c r="E91" s="9">
        <v>5.0</v>
      </c>
      <c r="F91" s="10" t="str">
        <f>IFERROR(__xludf.DUMMYFUNCTION("LOWER(REGEXREPLACE(B91&amp;"" ""&amp;C91,""[^а-яa-z0-9 ]"","" ""))"),"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1"&amp;"6 раздаточных карточек ")</f>
        <v>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16 раздаточных карточек </v>
      </c>
      <c r="G91" s="10" t="str">
        <f>IFERROR(__xludf.DUMMYFUNCTION("TEXTJOIN(""|"",TRUE,UNIQUE(FILTER(SPLIT(F91,"" ""),LEN(SPLIT(F91,"" ""))&gt;2)))"),"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f>
        <v>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v>
      </c>
      <c r="I91" s="6"/>
      <c r="J91" s="6"/>
    </row>
    <row r="92">
      <c r="A92" s="12" t="s">
        <v>205</v>
      </c>
      <c r="B92" s="7" t="s">
        <v>206</v>
      </c>
      <c r="C92" s="7" t="s">
        <v>207</v>
      </c>
      <c r="D92" s="8">
        <v>7600.0</v>
      </c>
      <c r="E92" s="9">
        <v>5.0</v>
      </c>
      <c r="F92" s="10" t="str">
        <f>IFERROR(__xludf.DUMMYFUNCTION("LOWER(REGEXREPLACE(B92&amp;"" ""&amp;C92,""[^а-яa-z0-9 ]"","" ""))"),"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р"&amp;"аздаточных карточек ")</f>
        <v>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раздаточных карточек </v>
      </c>
      <c r="G92" s="10" t="str">
        <f>IFERROR(__xludf.DUMMYFUNCTION("TEXTJOIN(""|"",TRUE,UNIQUE(FILTER(SPLIT(F92,"" ""),LEN(SPLIT(F92,"" ""))&gt;2)))"),"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f>
        <v>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v>
      </c>
      <c r="I92" s="6"/>
      <c r="J92" s="6"/>
    </row>
    <row r="93">
      <c r="A93" s="12" t="s">
        <v>208</v>
      </c>
      <c r="B93" s="7" t="s">
        <v>209</v>
      </c>
      <c r="C93" s="7" t="s">
        <v>210</v>
      </c>
      <c r="D93" s="8">
        <v>7600.0</v>
      </c>
      <c r="E93" s="9">
        <v>5.0</v>
      </c>
      <c r="F93" s="10" t="str">
        <f>IFERROR(__xludf.DUMMYFUNCTION("LOWER(REGEXREPLACE(B93&amp;"" ""&amp;C93,""[^а-яa-z0-9 ]"","" ""))"),"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f>
        <v>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v>
      </c>
      <c r="G93" s="10" t="str">
        <f>IFERROR(__xludf.DUMMYFUNCTION("TEXTJOIN(""|"",TRUE,UNIQUE(FILTER(SPLIT(F93,"" ""),LEN(SPLIT(F93,"" ""))&gt;2)))"),"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v>
      </c>
      <c r="I93" s="6"/>
      <c r="J93" s="6"/>
    </row>
    <row r="94">
      <c r="A94" s="12" t="s">
        <v>211</v>
      </c>
      <c r="B94" s="7" t="s">
        <v>212</v>
      </c>
      <c r="C94" s="7" t="s">
        <v>213</v>
      </c>
      <c r="D94" s="8">
        <v>7600.0</v>
      </c>
      <c r="E94" s="9">
        <v>5.0</v>
      </c>
      <c r="F94" s="10" t="str">
        <f>IFERROR(__xludf.DUMMYFUNCTION("LOWER(REGEXREPLACE(B94&amp;"" ""&amp;C94,""[^а-яa-z0-9 ]"","" ""))"),"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раз"&amp;"даточных карточек ")</f>
        <v>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раздаточных карточек </v>
      </c>
      <c r="G94" s="10" t="str">
        <f>IFERROR(__xludf.DUMMYFUNCTION("TEXTJOIN(""|"",TRUE,UNIQUE(FILTER(SPLIT(F94,"" ""),LEN(SPLIT(F94,"" ""))&gt;2)))"),"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f>
        <v>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v>
      </c>
      <c r="I94" s="6"/>
      <c r="J94" s="6"/>
    </row>
    <row r="95">
      <c r="A95" s="12" t="s">
        <v>214</v>
      </c>
      <c r="B95" s="7" t="s">
        <v>215</v>
      </c>
      <c r="C95" s="7" t="s">
        <v>216</v>
      </c>
      <c r="D95" s="8">
        <v>10400.0</v>
      </c>
      <c r="E95" s="9">
        <v>125.0</v>
      </c>
      <c r="F95" s="10" t="str">
        <f>IFERROR(__xludf.DUMMYFUNCTION("LOWER(REGEXREPLACE(B95&amp;"" ""&amp;C95,""[^а-яa-z0-9 ]"","" ""))"),"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образ"&amp;"овательной деятельности дошкольного учреждения ")</f>
        <v>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образовательной деятельности дошкольного учреждения </v>
      </c>
      <c r="G95" s="10" t="str">
        <f>IFERROR(__xludf.DUMMYFUNCTION("TEXTJOIN(""|"",TRUE,UNIQUE(FILTER(SPLIT(F95,"" ""),LEN(SPLIT(F95,"" ""))&gt;2)))"),"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amp;"и|дошкольного|учреждения")</f>
        <v>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и|дошкольного|учреждения</v>
      </c>
      <c r="I95" s="6"/>
      <c r="J95" s="6"/>
    </row>
    <row r="96">
      <c r="A96" s="12" t="s">
        <v>217</v>
      </c>
      <c r="B96" s="7" t="s">
        <v>218</v>
      </c>
      <c r="C96" s="7" t="s">
        <v>219</v>
      </c>
      <c r="D96" s="8">
        <v>6700.0</v>
      </c>
      <c r="E96" s="9">
        <v>5.0</v>
      </c>
      <c r="F96" s="10" t="str">
        <f>IFERROR(__xludf.DUMMYFUNCTION("LOWER(REGEXREPLACE(B96&amp;"" ""&amp;C96,""[^а-яa-z0-9 ]"","" ""))"),"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карточ"&amp;"ек ")</f>
        <v>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карточек </v>
      </c>
      <c r="G96" s="10" t="str">
        <f>IFERROR(__xludf.DUMMYFUNCTION("TEXTJOIN(""|"",TRUE,UNIQUE(FILTER(SPLIT(F96,"" ""),LEN(SPLIT(F96,"" ""))&gt;2)))"),"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f>
        <v>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v>
      </c>
      <c r="I96" s="6"/>
      <c r="J96" s="6"/>
    </row>
    <row r="97">
      <c r="A97" s="12" t="s">
        <v>220</v>
      </c>
      <c r="B97" s="7" t="s">
        <v>221</v>
      </c>
      <c r="C97" s="7" t="s">
        <v>222</v>
      </c>
      <c r="D97" s="8">
        <v>6700.0</v>
      </c>
      <c r="E97" s="9">
        <v>5.0</v>
      </c>
      <c r="F97" s="10" t="str">
        <f>IFERROR(__xludf.DUMMYFUNCTION("LOWER(REGEXREPLACE(B97&amp;"" ""&amp;C97,""[^а-яa-z0-9 ]"","" ""))"),"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16"&amp;" раздаточных карточек ")</f>
        <v>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 раздаточных карточек </v>
      </c>
      <c r="G97" s="10" t="str">
        <f>IFERROR(__xludf.DUMMYFUNCTION("TEXTJOIN(""|"",TRUE,UNIQUE(FILTER(SPLIT(F97,"" ""),LEN(SPLIT(F97,"" ""))&gt;2)))"),"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v>
      </c>
      <c r="I97" s="6"/>
      <c r="J97" s="6"/>
    </row>
    <row r="98">
      <c r="A98" s="12" t="s">
        <v>223</v>
      </c>
      <c r="B98" s="7" t="s">
        <v>224</v>
      </c>
      <c r="C98" s="7" t="s">
        <v>225</v>
      </c>
      <c r="D98" s="8">
        <v>6700.0</v>
      </c>
      <c r="E98" s="9">
        <v>5.0</v>
      </c>
      <c r="F98" s="10" t="str">
        <f>IFERROR(__xludf.DUMMYFUNCTION("LOWER(REGEXREPLACE(B98&amp;"" ""&amp;C98,""[^а-яa-z0-9 ]"","" ""))"),"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f>
        <v>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v>
      </c>
      <c r="G98" s="10" t="str">
        <f>IFERROR(__xludf.DUMMYFUNCTION("TEXTJOIN(""|"",TRUE,UNIQUE(FILTER(SPLIT(F98,"" ""),LEN(SPLIT(F98,"" ""))&gt;2)))"),"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v>
      </c>
      <c r="I98" s="6"/>
      <c r="J98" s="6"/>
    </row>
    <row r="99">
      <c r="A99" s="12" t="s">
        <v>226</v>
      </c>
      <c r="B99" s="12" t="s">
        <v>227</v>
      </c>
      <c r="C99" s="7" t="s">
        <v>228</v>
      </c>
      <c r="D99" s="8">
        <v>1110200.0</v>
      </c>
      <c r="E99" s="9">
        <v>2.0</v>
      </c>
      <c r="F99" s="10" t="str">
        <f>IFERROR(__xludf.DUMMYFUNCTION("LOWER(REGEXREPLACE(B99&amp;"" ""&amp;C99,""[^а-яa-z0-9 ]"","" ""))")," ветовой стол   тол для опытов и изучения цвета света")</f>
        <v> ветовой стол   тол для опытов и изучения цвета света</v>
      </c>
      <c r="G99" s="10" t="str">
        <f>IFERROR(__xludf.DUMMYFUNCTION("TEXTJOIN(""|"",TRUE,UNIQUE(FILTER(SPLIT(F99,"" ""),LEN(SPLIT(F99,"" ""))&gt;2)))"),"ветовой|стол|тол|для|опытов|изучения|цвета|света")</f>
        <v>ветовой|стол|тол|для|опытов|изучения|цвета|света</v>
      </c>
      <c r="I99" s="6"/>
      <c r="J99" s="6"/>
    </row>
    <row r="100">
      <c r="A100" s="12" t="s">
        <v>229</v>
      </c>
      <c r="B100" s="7" t="s">
        <v>230</v>
      </c>
      <c r="C100" s="7" t="s">
        <v>231</v>
      </c>
      <c r="D100" s="8">
        <v>14300.0</v>
      </c>
      <c r="E100" s="9">
        <v>7.0</v>
      </c>
      <c r="F100" s="10" t="str">
        <f>IFERROR(__xludf.DUMMYFUNCTION("LOWER(REGEXREPLACE(B100&amp;"" ""&amp;C100,""[^а-яa-z0-9 ]"","" ""))"),"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в"&amp;"еличин и соотношений   рименяются при объяснении и закреплении учебного материала   атериалы представлены в электронном формате ")</f>
        <v>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величин и соотношений   рименяются при объяснении и закреплении учебного материала   атериалы представлены в электронном формате </v>
      </c>
      <c r="G100" s="10" t="str">
        <f>IFERROR(__xludf.DUMMYFUNCTION("TEXTJOIN(""|"",TRUE,UNIQUE(FILTER(SPLIT(F100,"" ""),LEN(SPLIT(F100,"" ""))&gt;2)))"),"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amp;"ений|рименяются|при|объяснении|закреплении|учебного|материала|атериалы|представлены|электронном|формате")</f>
        <v>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ений|рименяются|при|объяснении|закреплении|учебного|материала|атериалы|представлены|электронном|формате</v>
      </c>
      <c r="I100" s="6"/>
      <c r="J100" s="6"/>
    </row>
    <row r="101">
      <c r="A101" s="12" t="s">
        <v>232</v>
      </c>
      <c r="B101" s="7" t="s">
        <v>233</v>
      </c>
      <c r="C101" s="7"/>
      <c r="D101" s="8">
        <v>1700.0</v>
      </c>
      <c r="E101" s="9">
        <v>1.0</v>
      </c>
      <c r="F101" s="10" t="str">
        <f>IFERROR(__xludf.DUMMYFUNCTION("LOWER(REGEXREPLACE(B101&amp;"" ""&amp;C101,""[^а-яa-z0-9 ]"","" ""))")," енсаулы ты  алай са тау а болады   ак сохранить здоровье   ow to stay fit  каз   рус   англ яз   ")</f>
        <v> енсаулы ты  алай са тау а болады   ак сохранить здоровье   ow to stay fit  каз   рус   англ яз   </v>
      </c>
      <c r="G101" s="10" t="str">
        <f>IFERROR(__xludf.DUMMYFUNCTION("TEXTJOIN(""|"",TRUE,UNIQUE(FILTER(SPLIT(F101,"" ""),LEN(SPLIT(F101,"" ""))&gt;2)))"),"енсаулы|алай|тау|болады|сохранить|здоровье|stay|fit|каз|рус|англ")</f>
        <v>енсаулы|алай|тау|болады|сохранить|здоровье|stay|fit|каз|рус|англ</v>
      </c>
      <c r="I101" s="6"/>
      <c r="J101" s="6"/>
    </row>
    <row r="102">
      <c r="A102" s="12" t="s">
        <v>234</v>
      </c>
      <c r="B102" s="7" t="s">
        <v>235</v>
      </c>
      <c r="C102" s="7" t="s">
        <v>236</v>
      </c>
      <c r="D102" s="8">
        <v>5700.0</v>
      </c>
      <c r="E102" s="9">
        <v>1.0</v>
      </c>
      <c r="F102" s="10" t="str">
        <f>IFERROR(__xludf.DUMMYFUNCTION("LOWER(REGEXREPLACE(B102&amp;"" ""&amp;C102,""[^а-яa-z0-9 ]"","" ""))"),"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формир"&amp;"ованием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f>
        <v>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v>
      </c>
      <c r="G102" s="10" t="str">
        <f>IFERROR(__xludf.DUMMYFUNCTION("TEXTJOIN(""|"",TRUE,UNIQUE(FILTER(SPLIT(F102,"" ""),LEN(SPLIT(F102,"" ""))&gt;2)))"),"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amp;"ьных|навыков|слухового|восприятия|зделие|изготовлено|дерева|лина|дудочки|составляет|менее|редназначена|для|многократного|использования")</f>
        <v>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ьных|навыков|слухового|восприятия|зделие|изготовлено|дерева|лина|дудочки|составляет|менее|редназначена|для|многократного|использования</v>
      </c>
      <c r="I102" s="6"/>
      <c r="J102" s="6"/>
    </row>
    <row r="103">
      <c r="A103" s="12" t="s">
        <v>237</v>
      </c>
      <c r="B103" s="7" t="s">
        <v>238</v>
      </c>
      <c r="C103" s="7" t="s">
        <v>239</v>
      </c>
      <c r="D103" s="8">
        <v>7800.0</v>
      </c>
      <c r="E103" s="9">
        <v>15.0</v>
      </c>
      <c r="F103" s="10" t="str">
        <f>IFERROR(__xludf.DUMMYFUNCTION("LOWER(REGEXREPLACE(B103&amp;"" ""&amp;C103,""[^а-яa-z0-9 ]"","" ""))"),"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развитию"&amp;" пространственного мышления  координации движений и навыков анализа формы    комплект входит не менее 4 пазлов   атериал изготовления   дерево ")</f>
        <v>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 пространственного мышления  координации движений и навыков анализа формы    комплект входит не менее 4 пазлов   атериал изготовления   дерево </v>
      </c>
      <c r="G103" s="10" t="str">
        <f>IFERROR(__xludf.DUMMYFUNCTION("TEXTJOIN(""|"",TRUE,UNIQUE(FILTER(SPLIT(F103,"" ""),LEN(SPLIT(F103,"" ""))&gt;2)))"),"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amp;"ышления|координации|движений|навыков|анализа|формы|комплект|входит|менее|пазлов|атериал|изготовления|дерево")</f>
        <v>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ышления|координации|движений|навыков|анализа|формы|комплект|входит|менее|пазлов|атериал|изготовления|дерево</v>
      </c>
      <c r="I103" s="6"/>
      <c r="J103" s="6"/>
    </row>
    <row r="104">
      <c r="A104" s="12" t="s">
        <v>240</v>
      </c>
      <c r="B104" s="7" t="s">
        <v>241</v>
      </c>
      <c r="C104" s="7" t="s">
        <v>242</v>
      </c>
      <c r="D104" s="8">
        <v>47500.0</v>
      </c>
      <c r="E104" s="9">
        <v>7.0</v>
      </c>
      <c r="F104" s="10" t="str">
        <f>IFERROR(__xludf.DUMMYFUNCTION("LOWER(REGEXREPLACE(B104&amp;"" ""&amp;C104,""[^а-яa-z0-9 ]"","" ""))"),"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"&amp;"пространственные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f>
        <v>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v>
      </c>
      <c r="G104" s="10" t="str">
        <f>IFERROR(__xludf.DUMMYFUNCTION("TEXTJOIN(""|"",TRUE,UNIQUE(FILTER(SPLIT(F104,"" ""),LEN(SPLIT(F104,"" ""))&gt;2)))"),"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amp;"|представления|координацию|движений|омплект|включает|блоки|размеров|менее|менее|менее|атериал|изготовления|дерево")</f>
        <v>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представления|координацию|движений|омплект|включает|блоки|размеров|менее|менее|менее|атериал|изготовления|дерево</v>
      </c>
      <c r="I104" s="6"/>
      <c r="J104" s="6"/>
    </row>
    <row r="105">
      <c r="A105" s="12" t="s">
        <v>243</v>
      </c>
      <c r="B105" s="7" t="s">
        <v>244</v>
      </c>
      <c r="C105" s="7" t="s">
        <v>245</v>
      </c>
      <c r="D105" s="8">
        <v>61200.0</v>
      </c>
      <c r="E105" s="9">
        <v>1.0</v>
      </c>
      <c r="F105" s="10" t="str">
        <f>IFERROR(__xludf.DUMMYFUNCTION("LOWER(REGEXREPLACE(B105&amp;"" ""&amp;C105,""[^а-яa-z0-9 ]"","" ""))"),"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активн"&amp;"ость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f>
        <v>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v>
      </c>
      <c r="G105" s="10" t="str">
        <f>IFERROR(__xludf.DUMMYFUNCTION("TEXTJOIN(""|"",TRUE,UNIQUE(FILTER(SPLIT(F105,"" ""),LEN(SPLIT(F105,"" ""))&gt;2)))"),"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amp;"ет|развитию|координации|концентрации|внимания|пространственного|восприятия|зделие|выполнено|дерева|предназначено|для|напольного|использования")</f>
        <v>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ет|развитию|координации|концентрации|внимания|пространственного|восприятия|зделие|выполнено|дерева|предназначено|для|напольного|использования</v>
      </c>
      <c r="I105" s="6"/>
      <c r="J105" s="6"/>
    </row>
    <row r="106">
      <c r="A106" s="12" t="s">
        <v>246</v>
      </c>
      <c r="B106" s="7" t="s">
        <v>247</v>
      </c>
      <c r="C106" s="7" t="s">
        <v>248</v>
      </c>
      <c r="D106" s="8">
        <v>28000.0</v>
      </c>
      <c r="E106" s="9">
        <v>5.0</v>
      </c>
      <c r="F106" s="10" t="str">
        <f>IFERROR(__xludf.DUMMYFUNCTION("LOWER(REGEXREPLACE(B106&amp;"" ""&amp;C106,""[^а-яa-z0-9 ]"","" ""))"),"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f>
        <v>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v>
      </c>
      <c r="G106" s="10" t="str">
        <f>IFERROR(__xludf.DUMMYFUNCTION("TEXTJOIN(""|"",TRUE,UNIQUE(FILTER(SPLIT(F106,"" ""),LEN(SPLIT(F106,"" ""))&gt;2)))"),"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f>
        <v>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v>
      </c>
      <c r="I106" s="6"/>
      <c r="J106" s="6"/>
    </row>
    <row r="107">
      <c r="A107" s="12" t="s">
        <v>249</v>
      </c>
      <c r="B107" s="7" t="s">
        <v>250</v>
      </c>
      <c r="C107" s="7" t="s">
        <v>251</v>
      </c>
      <c r="D107" s="8">
        <v>21200.0</v>
      </c>
      <c r="E107" s="9">
        <v>5.0</v>
      </c>
      <c r="F107" s="10" t="str">
        <f>IFERROR(__xludf.DUMMYFUNCTION("LOWER(REGEXREPLACE(B107&amp;"" ""&amp;C107,""[^а-яa-z0-9 ]"","" ""))"),"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деятел"&amp;"ьность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f>
        <v>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v>
      </c>
      <c r="G107" s="10" t="str">
        <f>IFERROR(__xludf.DUMMYFUNCTION("TEXTJOIN(""|"",TRUE,UNIQUE(FILTER(SPLIT(F107,"" ""),LEN(SPLIT(F107,"" ""))&gt;2)))"),"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amp;"азвитию|пространственного|мышления|аккуратности|выполнения|действий|комплект|входит|менее|деталей|атериал|изготовления|дерево")</f>
        <v>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азвитию|пространственного|мышления|аккуратности|выполнения|действий|комплект|входит|менее|деталей|атериал|изготовления|дерево</v>
      </c>
      <c r="I107" s="6"/>
      <c r="J107" s="6"/>
    </row>
    <row r="108">
      <c r="A108" s="12" t="s">
        <v>252</v>
      </c>
      <c r="B108" s="7" t="s">
        <v>253</v>
      </c>
      <c r="C108" s="7" t="s">
        <v>254</v>
      </c>
      <c r="D108" s="8">
        <v>21200.0</v>
      </c>
      <c r="E108" s="9">
        <v>7.0</v>
      </c>
      <c r="F108" s="10" t="str">
        <f>IFERROR(__xludf.DUMMYFUNCTION("LOWER(REGEXREPLACE(B108&amp;"" ""&amp;C108,""[^а-яa-z0-9 ]"","" ""))"),"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представл"&amp;"ения и навыки планирования действий    комплект входит не менее 66 деталей   азмер упаковки   не менее 34 29 5 6 см   атериал изготовления   дерево ")</f>
        <v>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представления и навыки планирования действий    комплект входит не менее 66 деталей   азмер упаковки   не менее 34 29 5 6 см   атериал изготовления   дерево </v>
      </c>
      <c r="G108" s="10" t="str">
        <f>IFERROR(__xludf.DUMMYFUNCTION("TEXTJOIN(""|"",TRUE,UNIQUE(FILTER(SPLIT(F108,"" ""),LEN(SPLIT(F108,"" ""))&gt;2)))"),"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amp;"ования|действий|комплект|входит|менее|деталей|азмер|упаковки|менее|атериал|изготовления|дерево")</f>
        <v>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ования|действий|комплект|входит|менее|деталей|азмер|упаковки|менее|атериал|изготовления|дерево</v>
      </c>
      <c r="I108" s="6"/>
      <c r="J108" s="6"/>
    </row>
    <row r="109">
      <c r="A109" s="12" t="s">
        <v>255</v>
      </c>
      <c r="B109" s="7" t="s">
        <v>256</v>
      </c>
      <c r="C109" s="7" t="s">
        <v>257</v>
      </c>
      <c r="D109" s="8">
        <v>2300.0</v>
      </c>
      <c r="E109" s="9">
        <v>14.0</v>
      </c>
      <c r="F109" s="10" t="str">
        <f>IFERROR(__xludf.DUMMYFUNCTION("LOWER(REGEXREPLACE(B109&amp;"" ""&amp;C109,""[^а-яa-z0-9 ]"","" ""))"),"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подбор"&amp;"у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f>
        <v>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v>
      </c>
      <c r="G109" s="10" t="str">
        <f>IFERROR(__xludf.DUMMYFUNCTION("TEXTJOIN(""|"",TRUE,UNIQUE(FILTER(SPLIT(F109,"" ""),LEN(SPLIT(F109,"" ""))&gt;2)))"),"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amp;"|акая|деятельность|способствует|формированию|представлений|числе|логике|выполнения|операций|азмер|набора|составляет|менее|атериал|изготовления|дерево")</f>
        <v>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акая|деятельность|способствует|формированию|представлений|числе|логике|выполнения|операций|азмер|набора|составляет|менее|атериал|изготовления|дерево</v>
      </c>
      <c r="I109" s="6"/>
      <c r="J109" s="6"/>
    </row>
    <row r="110">
      <c r="A110" s="12" t="s">
        <v>258</v>
      </c>
      <c r="B110" s="7" t="s">
        <v>259</v>
      </c>
      <c r="C110" s="7" t="s">
        <v>260</v>
      </c>
      <c r="D110" s="8">
        <v>14300.0</v>
      </c>
      <c r="E110" s="9">
        <v>5.0</v>
      </c>
      <c r="F110" s="10" t="str">
        <f>IFERROR(__xludf.DUMMYFUNCTION("LOWER(REGEXREPLACE(B110&amp;"" ""&amp;C110,""[^а-яa-z0-9 ]"","" ""))"),"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"&amp;"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f>
        <v>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v>
      </c>
      <c r="G110" s="10" t="str">
        <f>IFERROR(__xludf.DUMMYFUNCTION("TEXTJOIN(""|"",TRUE,UNIQUE(FILTER(SPLIT(F110,"" ""),LEN(SPLIT(F110,"" ""))&gt;2)))"),"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amp;"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f>
        <v>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v>
      </c>
      <c r="I110" s="6"/>
      <c r="J110" s="6"/>
    </row>
    <row r="111">
      <c r="A111" s="12" t="s">
        <v>261</v>
      </c>
      <c r="B111" s="7" t="s">
        <v>262</v>
      </c>
      <c r="C111" s="7" t="s">
        <v>263</v>
      </c>
      <c r="D111" s="8">
        <v>312400.0</v>
      </c>
      <c r="E111" s="9">
        <v>7.0</v>
      </c>
      <c r="F111" s="10" t="str">
        <f>IFERROR(__xludf.DUMMYFUNCTION("LOWER(REGEXREPLACE(B111&amp;"" ""&amp;C111,""[^а-яa-z0-9 ]"","" ""))"),"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f>
        <v>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v>
      </c>
      <c r="G111" s="10" t="str">
        <f>IFERROR(__xludf.DUMMYFUNCTION("TEXTJOIN(""|"",TRUE,UNIQUE(FILTER(SPLIT(F111,"" ""),LEN(SPLIT(F111,"" ""))&gt;2)))"),"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f>
        <v>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v>
      </c>
      <c r="I111" s="6"/>
      <c r="J111" s="6"/>
    </row>
    <row r="112">
      <c r="A112" s="12" t="s">
        <v>264</v>
      </c>
      <c r="B112" s="7" t="s">
        <v>265</v>
      </c>
      <c r="C112" s="7" t="s">
        <v>266</v>
      </c>
      <c r="D112" s="8">
        <v>3800.0</v>
      </c>
      <c r="E112" s="9">
        <v>55.0</v>
      </c>
      <c r="F112" s="10" t="str">
        <f>IFERROR(__xludf.DUMMYFUNCTION("LOWER(REGEXREPLACE(B112&amp;"" ""&amp;C112,""[^а-яa-z0-9 ]"","" ""))"),"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с"&amp;"иденья   оверхность гладкая  допускает мыть  и дезинфекционную обработку   зделие выполнено без острых углов и мелких деталей ")</f>
        <v>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сиденья   оверхность гладкая  допускает мыть  и дезинфекционную обработку   зделие выполнено без острых углов и мелких деталей </v>
      </c>
      <c r="G112" s="10" t="str">
        <f>IFERROR(__xludf.DUMMYFUNCTION("TEXTJOIN(""|"",TRUE,UNIQUE(FILTER(SPLIT(F112,"" ""),LEN(SPLIT(F112,"" ""))&gt;2)))"),"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amp;"гладкая|допускает|мыть|дезинфекционную|обработку|зделие|выполнено|без|острых|углов|мелких|деталей")</f>
        <v>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гладкая|допускает|мыть|дезинфекционную|обработку|зделие|выполнено|без|острых|углов|мелких|деталей</v>
      </c>
      <c r="I112" s="6"/>
      <c r="J112" s="6"/>
    </row>
    <row r="113">
      <c r="A113" s="12" t="s">
        <v>267</v>
      </c>
      <c r="B113" s="7" t="s">
        <v>268</v>
      </c>
      <c r="C113" s="7" t="s">
        <v>269</v>
      </c>
      <c r="D113" s="8">
        <v>13900.0</v>
      </c>
      <c r="E113" s="9">
        <v>14.0</v>
      </c>
      <c r="F113" s="10" t="str">
        <f>IFERROR(__xludf.DUMMYFUNCTION("LOWER(REGEXREPLACE(B113&amp;"" ""&amp;C113,""[^а-яa-z0-9 ]"","" ""))"),"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эки"&amp;"пировку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f>
        <v>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v>
      </c>
      <c r="G113" s="10" t="str">
        <f>IFERROR(__xludf.DUMMYFUNCTION("TEXTJOIN(""|"",TRUE,UNIQUE(FILTER(SPLIT(F113,"" ""),LEN(SPLIT(F113,"" ""))&gt;2)))"),"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amp;"|разыгрываются|рабочие|ситуации|связанные|строительством|ремонтом|лементы|комплекта|выполнены|безопасном|исполнении|рассчитаны|многократное|использование")</f>
        <v>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разыгрываются|рабочие|ситуации|связанные|строительством|ремонтом|лементы|комплекта|выполнены|безопасном|исполнении|рассчитаны|многократное|использование</v>
      </c>
      <c r="I113" s="6"/>
      <c r="J113" s="6"/>
    </row>
    <row r="114">
      <c r="A114" s="12" t="s">
        <v>270</v>
      </c>
      <c r="B114" s="7" t="s">
        <v>271</v>
      </c>
      <c r="C114" s="7" t="s">
        <v>272</v>
      </c>
      <c r="D114" s="8">
        <v>5300.0</v>
      </c>
      <c r="E114" s="9">
        <v>25.0</v>
      </c>
      <c r="F114" s="10" t="str">
        <f>IFERROR(__xludf.DUMMYFUNCTION("LOWER(REGEXREPLACE(B114&amp;"" ""&amp;C114,""[^а-яa-z0-9 ]"","" ""))"),"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редназ"&amp;"начен для применения в помещениях ")</f>
        <v>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редназначен для применения в помещениях </v>
      </c>
      <c r="G114" s="10" t="str">
        <f>IFERROR(__xludf.DUMMYFUNCTION("TEXTJOIN(""|"",TRUE,UNIQUE(FILTER(SPLIT(F114,"" ""),LEN(SPLIT(F114,"" ""))&gt;2)))"),"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amp;"нения|помещениях")</f>
        <v>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нения|помещениях</v>
      </c>
      <c r="I114" s="6"/>
      <c r="J114" s="6"/>
    </row>
    <row r="115">
      <c r="A115" s="12" t="s">
        <v>273</v>
      </c>
      <c r="B115" s="7" t="s">
        <v>274</v>
      </c>
      <c r="C115" s="7" t="s">
        <v>275</v>
      </c>
      <c r="D115" s="8">
        <v>19900.0</v>
      </c>
      <c r="E115" s="9">
        <v>1.0</v>
      </c>
      <c r="F115" s="10" t="str">
        <f>IFERROR(__xludf.DUMMYFUNCTION("LOWER(REGEXREPLACE(B115&amp;"" ""&amp;C115,""[^а-яa-z0-9 ]"","" ""))")," етям о  онституции  еспублики  азахстан  спанова   ")</f>
        <v> етям о  онституции  еспублики  азахстан  спанова   </v>
      </c>
      <c r="G115" s="10" t="str">
        <f>IFERROR(__xludf.DUMMYFUNCTION("TEXTJOIN(""|"",TRUE,UNIQUE(FILTER(SPLIT(F115,"" ""),LEN(SPLIT(F115,"" ""))&gt;2)))"),"етям|онституции|еспублики|азахстан|спанова")</f>
        <v>етям|онституции|еспублики|азахстан|спанова</v>
      </c>
      <c r="I115" s="6"/>
      <c r="J115" s="6"/>
    </row>
    <row r="116">
      <c r="A116" s="12" t="s">
        <v>276</v>
      </c>
      <c r="B116" s="7" t="s">
        <v>277</v>
      </c>
      <c r="C116" s="7" t="s">
        <v>278</v>
      </c>
      <c r="D116" s="8">
        <v>5900.0</v>
      </c>
      <c r="E116" s="9">
        <v>5.0</v>
      </c>
      <c r="F116" s="10" t="str">
        <f>IFERROR(__xludf.DUMMYFUNCTION("LOWER(REGEXREPLACE(B116&amp;"" ""&amp;C116,""[^а-яa-z0-9 ]"","" ""))"),"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липучкам"&amp;"и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f>
        <v>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v>
      </c>
      <c r="G116" s="10" t="str">
        <f>IFERROR(__xludf.DUMMYFUNCTION("TEXTJOIN(""|"",TRUE,UNIQUE(FILTER(SPLIT(F116,"" ""),LEN(SPLIT(F116,"" ""))&gt;2)))"),"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amp;"чек|закрепление|поле|что|требует|точных|движений|пальцев|рименяется|для|упражнений|сравнение|количеств|атериал|рассчитан|многократное|использование")</f>
        <v>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чек|закрепление|поле|что|требует|точных|движений|пальцев|рименяется|для|упражнений|сравнение|количеств|атериал|рассчитан|многократное|использование</v>
      </c>
      <c r="I116" s="6"/>
      <c r="J116" s="6"/>
    </row>
    <row r="117">
      <c r="A117" s="12" t="s">
        <v>279</v>
      </c>
      <c r="B117" s="7" t="s">
        <v>280</v>
      </c>
      <c r="C117" s="7" t="s">
        <v>281</v>
      </c>
      <c r="D117" s="8">
        <v>11700.0</v>
      </c>
      <c r="E117" s="9">
        <v>8.0</v>
      </c>
      <c r="F117" s="10" t="str">
        <f>IFERROR(__xludf.DUMMYFUNCTION("LOWER(REGEXREPLACE(B117&amp;"" ""&amp;C117,""[^а-яa-z0-9 ]"","" ""))"),"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f>
        <v>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v>
      </c>
      <c r="G117" s="10" t="str">
        <f>IFERROR(__xludf.DUMMYFUNCTION("TEXTJOIN(""|"",TRUE,UNIQUE(FILTER(SPLIT(F117,"" ""),LEN(SPLIT(F117,"" ""))&gt;2)))"),"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f>
        <v>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v>
      </c>
      <c r="I117" s="6"/>
      <c r="J117" s="6"/>
    </row>
    <row r="118">
      <c r="A118" s="12" t="s">
        <v>282</v>
      </c>
      <c r="B118" s="7" t="s">
        <v>283</v>
      </c>
      <c r="C118" s="7" t="s">
        <v>284</v>
      </c>
      <c r="D118" s="8">
        <v>32100.0</v>
      </c>
      <c r="E118" s="9">
        <v>35.0</v>
      </c>
      <c r="F118" s="10" t="str">
        <f>IFERROR(__xludf.DUMMYFUNCTION("LOWER(REGEXREPLACE(B118&amp;"" ""&amp;C118,""[^а-яa-z0-9 ]"","" ""))"),"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"&amp;"и учебной деятельности для формирования координации движений кисти и пальцев   онструкция рассчитана на многократное использование ")</f>
        <v>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и учебной деятельности для формирования координации движений кисти и пальцев   онструкция рассчитана на многократное использование </v>
      </c>
      <c r="G118" s="10" t="str">
        <f>IFERROR(__xludf.DUMMYFUNCTION("TEXTJOIN(""|"",TRUE,UNIQUE(FILTER(SPLIT(F118,"" ""),LEN(SPLIT(F118,"" ""))&gt;2)))"),"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amp;"льности|для|формирования|координации|движений|кисти|пальцев|онструкция|рассчитана|многократное|использование")</f>
        <v>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льности|для|формирования|координации|движений|кисти|пальцев|онструкция|рассчитана|многократное|использование</v>
      </c>
      <c r="I118" s="6"/>
      <c r="J118" s="6"/>
    </row>
    <row r="119">
      <c r="A119" s="12" t="s">
        <v>285</v>
      </c>
      <c r="B119" s="7" t="s">
        <v>286</v>
      </c>
      <c r="C119" s="7" t="s">
        <v>287</v>
      </c>
      <c r="D119" s="8">
        <v>26200.0</v>
      </c>
      <c r="E119" s="9">
        <v>1.0</v>
      </c>
      <c r="F119" s="10" t="str">
        <f>IFERROR(__xludf.DUMMYFUNCTION("LOWER(REGEXREPLACE(B119&amp;"" ""&amp;C119,""[^а-яa-z0-9 ]"","" ""))"),"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р"&amp;"именяется при игровых и проективных заданиях   атериал изготовления   дерево ")</f>
        <v>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рименяется при игровых и проективных заданиях   атериал изготовления   дерево </v>
      </c>
      <c r="G119" s="10" t="str">
        <f>IFERROR(__xludf.DUMMYFUNCTION("TEXTJOIN(""|"",TRUE,UNIQUE(FILTER(SPLIT(F119,"" ""),LEN(SPLIT(F119,"" ""))&gt;2)))"),"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amp;"роективных|заданиях|атериал|изготовления|дерево")</f>
        <v>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роективных|заданиях|атериал|изготовления|дерево</v>
      </c>
      <c r="I119" s="6"/>
      <c r="J119" s="6"/>
    </row>
    <row r="120">
      <c r="A120" s="12" t="s">
        <v>288</v>
      </c>
      <c r="B120" s="7" t="s">
        <v>289</v>
      </c>
      <c r="C120" s="7" t="s">
        <v>290</v>
      </c>
      <c r="D120" s="8">
        <v>30400.0</v>
      </c>
      <c r="E120" s="9">
        <v>43.0</v>
      </c>
      <c r="F120" s="10" t="str">
        <f>IFERROR(__xludf.DUMMYFUNCTION("LOWER(REGEXREPLACE(B120&amp;"" ""&amp;C120,""[^а-яa-z0-9 ]"","" ""))"),"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рим"&amp;"еняется при индивидуальной и групповой работе   гры направлены на закрепление базовых представлений об окружающем мире ")</f>
        <v>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рименяется при индивидуальной и групповой работе   гры направлены на закрепление базовых представлений об окружающем мире </v>
      </c>
      <c r="G120" s="10" t="str">
        <f>IFERROR(__xludf.DUMMYFUNCTION("TEXTJOIN(""|"",TRUE,UNIQUE(FILTER(SPLIT(F120,"" ""),LEN(SPLIT(F120,"" ""))&gt;2)))"),"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amp;"|работе|гры|направлены|закрепление|базовых|представлений|окружающем|мире")</f>
        <v>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работе|гры|направлены|закрепление|базовых|представлений|окружающем|мире</v>
      </c>
      <c r="I120" s="6"/>
      <c r="J120" s="6"/>
    </row>
    <row r="121">
      <c r="A121" s="12" t="s">
        <v>291</v>
      </c>
      <c r="B121" s="7" t="s">
        <v>292</v>
      </c>
      <c r="C121" s="7" t="s">
        <v>293</v>
      </c>
      <c r="D121" s="8">
        <v>8700.0</v>
      </c>
      <c r="E121" s="9">
        <v>1.0</v>
      </c>
      <c r="F121" s="10" t="str">
        <f>IFERROR(__xludf.DUMMYFUNCTION("LOWER(REGEXREPLACE(B121&amp;"" ""&amp;C121,""[^а-яa-z0-9 ]"","" ""))"),"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содержания"&amp;" комплекта ")</f>
        <v>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 комплекта </v>
      </c>
      <c r="G121" s="10" t="str">
        <f>IFERROR(__xludf.DUMMYFUNCTION("TEXTJOIN(""|"",TRUE,UNIQUE(FILTER(SPLIT(F121,"" ""),LEN(SPLIT(F121,"" ""))&gt;2)))"),"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f>
        <v>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v>
      </c>
      <c r="I121" s="6"/>
      <c r="J121" s="6"/>
    </row>
    <row r="122">
      <c r="A122" s="12" t="s">
        <v>294</v>
      </c>
      <c r="B122" s="7" t="s">
        <v>295</v>
      </c>
      <c r="C122" s="7" t="s">
        <v>296</v>
      </c>
      <c r="D122" s="8">
        <v>10500.0</v>
      </c>
      <c r="E122" s="9">
        <v>1.0</v>
      </c>
      <c r="F122" s="10" t="str">
        <f>IFERROR(__xludf.DUMMYFUNCTION("LOWER(REGEXREPLACE(B122&amp;"" ""&amp;C122,""[^а-яa-z0-9 ]"","" ""))"),"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подбир"&amp;"ается в зависимости от вида сенсорных упражнений ")</f>
        <v>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подбирается в зависимости от вида сенсорных упражнений </v>
      </c>
      <c r="G122" s="10" t="str">
        <f>IFERROR(__xludf.DUMMYFUNCTION("TEXTJOIN(""|"",TRUE,UNIQUE(FILTER(SPLIT(F122,"" ""),LEN(SPLIT(F122,"" ""))&gt;2)))"),"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amp;"|вида|сенсорных|упражнений")</f>
        <v>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вида|сенсорных|упражнений</v>
      </c>
      <c r="I122" s="6"/>
      <c r="J122" s="6"/>
    </row>
    <row r="123">
      <c r="A123" s="12" t="s">
        <v>297</v>
      </c>
      <c r="B123" s="7" t="s">
        <v>298</v>
      </c>
      <c r="C123" s="7" t="s">
        <v>299</v>
      </c>
      <c r="D123" s="8">
        <v>12400.0</v>
      </c>
      <c r="E123" s="9">
        <v>1.0</v>
      </c>
      <c r="F123" s="10" t="str">
        <f>IFERROR(__xludf.DUMMYFUNCTION("LOWER(REGEXREPLACE(B123&amp;"" ""&amp;C123,""[^а-яa-z0-9 ]"","" ""))"),"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4"&amp;"0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называни"&amp;"е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допускае"&amp;"т регулярную очистку  используется под контролем педагога ")</f>
        <v>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допускает регулярную очистку  используется под контролем педагога </v>
      </c>
      <c r="G123" s="10" t="str">
        <f>IFERROR(__xludf.DUMMYFUNCTION("TEXTJOIN(""|"",TRUE,UNIQUE(FILTER(SPLIT(F123,"" ""),LEN(SPLIT(F123,"" ""))&gt;2)))"),"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amp;"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amp;"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f>
        <v>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v>
      </c>
      <c r="I123" s="6"/>
      <c r="J123" s="6"/>
    </row>
    <row r="124">
      <c r="A124" s="12" t="s">
        <v>300</v>
      </c>
      <c r="B124" s="7" t="s">
        <v>301</v>
      </c>
      <c r="C124" s="7" t="s">
        <v>302</v>
      </c>
      <c r="D124" s="8">
        <v>27000.0</v>
      </c>
      <c r="E124" s="9">
        <v>1.0</v>
      </c>
      <c r="F124" s="10" t="str">
        <f>IFERROR(__xludf.DUMMYFUNCTION("LOWER(REGEXREPLACE(B124&amp;"" ""&amp;C124,""[^а-яa-z0-9 ]"","" ""))")," инмухамед  унаев   нига альбом к 110 летию со дня рождения  ужикова   ")</f>
        <v> инмухамед  унаев   нига альбом к 110 летию со дня рождения  ужикова   </v>
      </c>
      <c r="G124" s="10" t="str">
        <f>IFERROR(__xludf.DUMMYFUNCTION("TEXTJOIN(""|"",TRUE,UNIQUE(FILTER(SPLIT(F124,"" ""),LEN(SPLIT(F124,"" ""))&gt;2)))"),"инмухамед|унаев|нига|альбом|110|летию|дня|рождения|ужикова")</f>
        <v>инмухамед|унаев|нига|альбом|110|летию|дня|рождения|ужикова</v>
      </c>
      <c r="I124" s="6"/>
      <c r="J124" s="6"/>
    </row>
    <row r="125">
      <c r="A125" s="12" t="s">
        <v>303</v>
      </c>
      <c r="B125" s="7" t="s">
        <v>304</v>
      </c>
      <c r="C125" s="7" t="s">
        <v>305</v>
      </c>
      <c r="D125" s="8">
        <v>13300.0</v>
      </c>
      <c r="E125" s="9">
        <v>1.0</v>
      </c>
      <c r="F125" s="10" t="str">
        <f>IFERROR(__xludf.DUMMYFUNCTION("LOWER(REGEXREPLACE(B125&amp;"" ""&amp;C125,""[^а-яa-z0-9 ]"","" ""))")," инозаврлар   алы тырмайтын энциклопедия  огаэр   ")</f>
        <v> инозаврлар   алы тырмайтын энциклопедия  огаэр   </v>
      </c>
      <c r="G125" s="10" t="str">
        <f>IFERROR(__xludf.DUMMYFUNCTION("TEXTJOIN(""|"",TRUE,UNIQUE(FILTER(SPLIT(F125,"" ""),LEN(SPLIT(F125,"" ""))&gt;2)))"),"инозаврлар|алы|тырмайтын|энциклопедия|огаэр")</f>
        <v>инозаврлар|алы|тырмайтын|энциклопедия|огаэр</v>
      </c>
      <c r="I125" s="6"/>
      <c r="J125" s="6"/>
    </row>
    <row r="126">
      <c r="A126" s="12" t="s">
        <v>306</v>
      </c>
      <c r="B126" s="7" t="s">
        <v>307</v>
      </c>
      <c r="C126" s="7" t="s">
        <v>308</v>
      </c>
      <c r="D126" s="8">
        <v>22800.0</v>
      </c>
      <c r="E126" s="9">
        <v>1.0</v>
      </c>
      <c r="F126" s="10" t="str">
        <f>IFERROR(__xludf.DUMMYFUNCTION("LOWER(REGEXREPLACE(B126&amp;"" ""&amp;C126,""[^а-яa-z0-9 ]"","" ""))")," обро пожаловать   аурыз   книга   сундучок      спанова")</f>
        <v> обро пожаловать   аурыз   книга   сундучок      спанова</v>
      </c>
      <c r="G126" s="10" t="str">
        <f>IFERROR(__xludf.DUMMYFUNCTION("TEXTJOIN(""|"",TRUE,UNIQUE(FILTER(SPLIT(F126,"" ""),LEN(SPLIT(F126,"" ""))&gt;2)))"),"обро|пожаловать|аурыз|книга|сундучок|спанова")</f>
        <v>обро|пожаловать|аурыз|книга|сундучок|спанова</v>
      </c>
      <c r="I126" s="6"/>
      <c r="J126" s="6"/>
    </row>
    <row r="127">
      <c r="A127" s="12" t="s">
        <v>309</v>
      </c>
      <c r="B127" s="7" t="s">
        <v>310</v>
      </c>
      <c r="C127" s="7" t="s">
        <v>311</v>
      </c>
      <c r="D127" s="8">
        <v>36100.0</v>
      </c>
      <c r="E127" s="9">
        <v>35.0</v>
      </c>
      <c r="F127" s="10" t="str">
        <f>IFERROR(__xludf.DUMMYFUNCTION("LOWER(REGEXREPLACE(B127&amp;"" ""&amp;C127,""[^а-яa-z0-9 ]"","" ""))"),"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атери"&amp;"ал изготовления   дерево ")</f>
        <v>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атериал изготовления   дерево </v>
      </c>
      <c r="G127" s="10" t="str">
        <f>IFERROR(__xludf.DUMMYFUNCTION("TEXTJOIN(""|"",TRUE,UNIQUE(FILTER(SPLIT(F127,"" ""),LEN(SPLIT(F127,"" ""))&gt;2)))"),"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f>
        <v>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v>
      </c>
      <c r="I127" s="6"/>
      <c r="J127" s="6"/>
    </row>
    <row r="128">
      <c r="A128" s="12" t="s">
        <v>312</v>
      </c>
      <c r="B128" s="7" t="s">
        <v>313</v>
      </c>
      <c r="C128" s="7" t="s">
        <v>314</v>
      </c>
      <c r="D128" s="8">
        <v>15600.0</v>
      </c>
      <c r="E128" s="9">
        <v>50.0</v>
      </c>
      <c r="F128" s="10" t="str">
        <f>IFERROR(__xludf.DUMMYFUNCTION("LOWER(REGEXREPLACE(B128&amp;"" ""&amp;C128,""[^а-яa-z0-9 ]"","" ""))"),"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f>
        <v>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v>
      </c>
      <c r="G128" s="10" t="str">
        <f>IFERROR(__xludf.DUMMYFUNCTION("TEXTJOIN(""|"",TRUE,UNIQUE(FILTER(SPLIT(F128,"" ""),LEN(SPLIT(F128,"" ""))&gt;2)))"),"шалар|нтеллектум|гра|предназначена|для|тренировки|определения|места|предмета|пространстве|сравнения|сопоставления|развития|логического|мышления|ребенка")</f>
        <v>шалар|нтеллектум|гра|предназначена|для|тренировки|определения|места|предмета|пространстве|сравнения|сопоставления|развития|логического|мышления|ребенка</v>
      </c>
      <c r="I128" s="6"/>
      <c r="J128" s="6"/>
    </row>
    <row r="129">
      <c r="A129" s="12" t="s">
        <v>315</v>
      </c>
      <c r="B129" s="7" t="s">
        <v>316</v>
      </c>
      <c r="C129" s="7" t="s">
        <v>317</v>
      </c>
      <c r="D129" s="8">
        <v>4900.0</v>
      </c>
      <c r="E129" s="9">
        <v>35.0</v>
      </c>
      <c r="F129" s="10" t="str">
        <f>IFERROR(__xludf.DUMMYFUNCTION("LOWER(REGEXREPLACE(B129&amp;"" ""&amp;C129,""[^а-яa-z0-9 ]"","" ""))"),"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мышле"&amp;"ния   ишки выполнены из дерева ")</f>
        <v>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мышления   ишки выполнены из дерева </v>
      </c>
      <c r="G129" s="10" t="str">
        <f>IFERROR(__xludf.DUMMYFUNCTION("TEXTJOIN(""|"",TRUE,UNIQUE(FILTER(SPLIT(F129,"" ""),LEN(SPLIT(F129,"" ""))&gt;2)))"),"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amp;"|дерева")</f>
        <v>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дерева</v>
      </c>
      <c r="I129" s="6"/>
      <c r="J129" s="6"/>
    </row>
    <row r="130">
      <c r="A130" s="12" t="s">
        <v>318</v>
      </c>
      <c r="B130" s="7" t="s">
        <v>319</v>
      </c>
      <c r="C130" s="7" t="s">
        <v>320</v>
      </c>
      <c r="D130" s="8">
        <v>4900.0</v>
      </c>
      <c r="E130" s="9">
        <v>35.0</v>
      </c>
      <c r="F130" s="10" t="str">
        <f>IFERROR(__xludf.DUMMYFUNCTION("LOWER(REGEXREPLACE(B130&amp;"" ""&amp;C130,""[^а-яa-z0-9 ]"","" ""))"),"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совм"&amp;"естной игры ")</f>
        <v>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совместной игры </v>
      </c>
      <c r="G130" s="10" t="str">
        <f>IFERROR(__xludf.DUMMYFUNCTION("TEXTJOIN(""|"",TRUE,UNIQUE(FILTER(SPLIT(F130,"" ""),LEN(SPLIT(F130,"" ""))&gt;2)))"),"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f>
        <v>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v>
      </c>
      <c r="I130" s="6"/>
      <c r="J130" s="6"/>
    </row>
    <row r="131">
      <c r="A131" s="12" t="s">
        <v>321</v>
      </c>
      <c r="B131" s="7" t="s">
        <v>322</v>
      </c>
      <c r="C131" s="7" t="s">
        <v>323</v>
      </c>
      <c r="D131" s="8">
        <v>4900.0</v>
      </c>
      <c r="E131" s="9">
        <v>35.0</v>
      </c>
      <c r="F131" s="10" t="str">
        <f>IFERROR(__xludf.DUMMYFUNCTION("LOWER(REGEXREPLACE(B131&amp;"" ""&amp;C131,""[^а-яa-z0-9 ]"","" ""))"),"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исп"&amp;"ользование ")</f>
        <v>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использование </v>
      </c>
      <c r="G131" s="10" t="str">
        <f>IFERROR(__xludf.DUMMYFUNCTION("TEXTJOIN(""|"",TRUE,UNIQUE(FILTER(SPLIT(F131,"" ""),LEN(SPLIT(F131,"" ""))&gt;2)))"),"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f>
        <v>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v>
      </c>
      <c r="I131" s="6"/>
      <c r="J131" s="6"/>
    </row>
    <row r="132">
      <c r="A132" s="12" t="s">
        <v>324</v>
      </c>
      <c r="B132" s="7" t="s">
        <v>325</v>
      </c>
      <c r="C132" s="7" t="s">
        <v>326</v>
      </c>
      <c r="D132" s="8">
        <v>4900.0</v>
      </c>
      <c r="E132" s="9">
        <v>35.0</v>
      </c>
      <c r="F132" s="10" t="str">
        <f>IFERROR(__xludf.DUMMYFUNCTION("LOWER(REGEXREPLACE(B132&amp;"" ""&amp;C132,""[^а-яa-z0-9 ]"","" ""))"),"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рас"&amp;"считана на индивидуальное и совместное использование ")</f>
        <v>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рассчитана на индивидуальное и совместное использование </v>
      </c>
      <c r="G132" s="10" t="str">
        <f>IFERROR(__xludf.DUMMYFUNCTION("TEXTJOIN(""|"",TRUE,UNIQUE(FILTER(SPLIT(F132,"" ""),LEN(SPLIT(F132,"" ""))&gt;2)))"),"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amp;"е|совместное|использование")</f>
        <v>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е|совместное|использование</v>
      </c>
      <c r="I132" s="6"/>
      <c r="J132" s="6"/>
    </row>
    <row r="133">
      <c r="A133" s="12" t="s">
        <v>327</v>
      </c>
      <c r="B133" s="7" t="s">
        <v>328</v>
      </c>
      <c r="C133" s="7" t="s">
        <v>329</v>
      </c>
      <c r="D133" s="8">
        <v>4900.0</v>
      </c>
      <c r="E133" s="9">
        <v>14.0</v>
      </c>
      <c r="F133" s="10" t="str">
        <f>IFERROR(__xludf.DUMMYFUNCTION("LOWER(REGEXREPLACE(B133&amp;"" ""&amp;C133,""[^а-яa-z0-9 ]"","" ""))"),"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способствуе"&amp;"т развитию внимания  зрительного восприятия и навыков следования правилам   омплект включает не менее 28 фишек   атериал изготовления   фанера  дерево  ")</f>
        <v>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способствует развитию внимания  зрительного восприятия и навыков следования правилам   омплект включает не менее 28 фишек   атериал изготовления   фанера  дерево  </v>
      </c>
      <c r="G133" s="10" t="str">
        <f>IFERROR(__xludf.DUMMYFUNCTION("TEXTJOIN(""|"",TRUE,UNIQUE(FILTER(SPLIT(F133,"" ""),LEN(SPLIT(F133,"" ""))&gt;2)))"),"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amp;"ельного|восприятия|навыков|следования|правилам|омплект|включает|менее|фишек|атериал|изготовления|фанера|дерево")</f>
        <v>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ельного|восприятия|навыков|следования|правилам|омплект|включает|менее|фишек|атериал|изготовления|фанера|дерево</v>
      </c>
      <c r="I133" s="6"/>
      <c r="J133" s="6"/>
    </row>
    <row r="134">
      <c r="A134" s="12" t="s">
        <v>330</v>
      </c>
      <c r="B134" s="7" t="s">
        <v>331</v>
      </c>
      <c r="C134" s="7" t="s">
        <v>332</v>
      </c>
      <c r="D134" s="8">
        <v>3400.0</v>
      </c>
      <c r="E134" s="9">
        <v>7.0</v>
      </c>
      <c r="F134" s="10" t="str">
        <f>IFERROR(__xludf.DUMMYFUNCTION("LOWER(REGEXREPLACE(B134&amp;"" ""&amp;C134,""[^а-яa-z0-9 ]"","" ""))"),"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рассчитан"&amp;"ы на многократное использование ")</f>
        <v>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рассчитаны на многократное использование </v>
      </c>
      <c r="G134" s="10" t="str">
        <f>IFERROR(__xludf.DUMMYFUNCTION("TEXTJOIN(""|"",TRUE,UNIQUE(FILTER(SPLIT(F134,"" ""),LEN(SPLIT(F134,"" ""))&gt;2)))"),"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amp;"ользование")</f>
        <v>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ользование</v>
      </c>
      <c r="I134" s="6"/>
      <c r="J134" s="6"/>
    </row>
    <row r="135">
      <c r="A135" s="12" t="s">
        <v>333</v>
      </c>
      <c r="B135" s="7" t="s">
        <v>334</v>
      </c>
      <c r="C135" s="7" t="s">
        <v>335</v>
      </c>
      <c r="D135" s="8">
        <v>28100.0</v>
      </c>
      <c r="E135" s="9">
        <v>1.0</v>
      </c>
      <c r="F135" s="10" t="str">
        <f>IFERROR(__xludf.DUMMYFUNCTION("LOWER(REGEXREPLACE(B135&amp;"" ""&amp;C135,""[^а-яa-z0-9 ]"","" ""))"),"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формировани"&amp;"я эмоциональной осознанности ")</f>
        <v>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формирования эмоциональной осознанности </v>
      </c>
      <c r="G135" s="10" t="str">
        <f>IFERROR(__xludf.DUMMYFUNCTION("TEXTJOIN(""|"",TRUE,UNIQUE(FILTER(SPLIT(F135,"" ""),LEN(SPLIT(F135,"" ""))&gt;2)))"),"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amp;"ознанности")</f>
        <v>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ознанности</v>
      </c>
      <c r="I135" s="6"/>
      <c r="J135" s="6"/>
    </row>
    <row r="136">
      <c r="A136" s="12" t="s">
        <v>336</v>
      </c>
      <c r="B136" s="7" t="s">
        <v>337</v>
      </c>
      <c r="C136" s="7" t="s">
        <v>338</v>
      </c>
      <c r="D136" s="8">
        <v>36000.0</v>
      </c>
      <c r="E136" s="9">
        <v>1.0</v>
      </c>
      <c r="F136" s="10" t="str">
        <f>IFERROR(__xludf.DUMMYFUNCTION("LOWER(REGEXREPLACE(B136&amp;"" ""&amp;C136,""[^а-яa-z0-9 ]"","" ""))"),"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f>
        <v>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v>
      </c>
      <c r="G136" s="10" t="str">
        <f>IFERROR(__xludf.DUMMYFUNCTION("TEXTJOIN(""|"",TRUE,UNIQUE(FILTER(SPLIT(F136,"" ""),LEN(SPLIT(F136,"" ""))&gt;2)))"),"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f>
        <v>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v>
      </c>
      <c r="I136" s="6"/>
      <c r="J136" s="6"/>
    </row>
    <row r="137">
      <c r="A137" s="12" t="s">
        <v>339</v>
      </c>
      <c r="B137" s="7" t="s">
        <v>340</v>
      </c>
      <c r="C137" s="7" t="s">
        <v>341</v>
      </c>
      <c r="D137" s="8">
        <v>45000.0</v>
      </c>
      <c r="E137" s="9">
        <v>9.0</v>
      </c>
      <c r="F137" s="10" t="str">
        <f>IFERROR(__xludf.DUMMYFUNCTION("LOWER(REGEXREPLACE(B137&amp;"" ""&amp;C137,""[^а-яa-z0-9 ]"","" ""))"),"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f>
        <v>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v>
      </c>
      <c r="G137" s="10" t="str">
        <f>IFERROR(__xludf.DUMMYFUNCTION("TEXTJOIN(""|"",TRUE,UNIQUE(FILTER(SPLIT(F137,"" ""),LEN(SPLIT(F137,"" ""))&gt;2)))"),"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f>
        <v>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v>
      </c>
      <c r="I137" s="6"/>
      <c r="J137" s="6"/>
    </row>
    <row r="138">
      <c r="A138" s="12" t="s">
        <v>342</v>
      </c>
      <c r="B138" s="7" t="s">
        <v>343</v>
      </c>
      <c r="C138" s="7"/>
      <c r="D138" s="8">
        <v>1700.0</v>
      </c>
      <c r="E138" s="9">
        <v>1.0</v>
      </c>
      <c r="F138" s="10" t="str">
        <f>IFERROR(__xludf.DUMMYFUNCTION("LOWER(REGEXREPLACE(B138&amp;"" ""&amp;C138,""[^а-яa-z0-9 ]"","" ""))")," остарды  алай та даймын   ак завести друзей   ow to make friends  каз   рус   англ яз   ")</f>
        <v> остарды  алай та даймын   ак завести друзей   ow to make friends  каз   рус   англ яз   </v>
      </c>
      <c r="G138" s="10" t="str">
        <f>IFERROR(__xludf.DUMMYFUNCTION("TEXTJOIN(""|"",TRUE,UNIQUE(FILTER(SPLIT(F138,"" ""),LEN(SPLIT(F138,"" ""))&gt;2)))"),"остарды|алай|даймын|завести|друзей|make|friends|каз|рус|англ")</f>
        <v>остарды|алай|даймын|завести|друзей|make|friends|каз|рус|англ</v>
      </c>
      <c r="I138" s="6"/>
      <c r="J138" s="6"/>
    </row>
    <row r="139">
      <c r="A139" s="12" t="s">
        <v>344</v>
      </c>
      <c r="B139" s="7" t="s">
        <v>345</v>
      </c>
      <c r="C139" s="7" t="s">
        <v>346</v>
      </c>
      <c r="D139" s="8">
        <v>20500.0</v>
      </c>
      <c r="E139" s="9">
        <v>50.0</v>
      </c>
      <c r="F139" s="10" t="str">
        <f>IFERROR(__xludf.DUMMYFUNCTION("LOWER(REGEXREPLACE(B139&amp;"" ""&amp;C139,""[^а-яa-z0-9 ]"","" ""))"),"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карт"&amp;"ы   4 шт    инструкция   1 шт    голубые карты   15 шт    фиолетовые карты   15 шт  ")</f>
        <v>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карты   4 шт    инструкция   1 шт    голубые карты   15 шт    фиолетовые карты   15 шт  </v>
      </c>
      <c r="G139" s="10" t="str">
        <f>IFERROR(__xludf.DUMMYFUNCTION("TEXTJOIN(""|"",TRUE,UNIQUE(FILTER(SPLIT(F139,"" ""),LEN(SPLIT(F139,"" ""))&gt;2)))"),"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f>
        <v>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v>
      </c>
      <c r="I139" s="6"/>
      <c r="J139" s="6"/>
    </row>
    <row r="140">
      <c r="A140" s="12" t="s">
        <v>347</v>
      </c>
      <c r="B140" s="7" t="s">
        <v>348</v>
      </c>
      <c r="C140" s="7" t="s">
        <v>349</v>
      </c>
      <c r="D140" s="8">
        <v>72200.0</v>
      </c>
      <c r="E140" s="9">
        <v>2.0</v>
      </c>
      <c r="F140" s="10" t="str">
        <f>IFERROR(__xludf.DUMMYFUNCTION("LOWER(REGEXREPLACE(B140&amp;"" ""&amp;C140,""[^а-яa-z0-9 ]"","" ""))"),"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по"&amp;"крыты безопасной краской    комплект входят дуги разных размеров ")</f>
        <v>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покрыты безопасной краской    комплект входят дуги разных размеров </v>
      </c>
      <c r="G140" s="10" t="str">
        <f>IFERROR(__xludf.DUMMYFUNCTION("TEXTJOIN(""|"",TRUE,UNIQUE(FILTER(SPLIT(F140,"" ""),LEN(SPLIT(F140,"" ""))&gt;2)))"),"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amp;"мплект|входят|дуги|разных|размеров")</f>
        <v>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мплект|входят|дуги|разных|размеров</v>
      </c>
      <c r="I140" s="6"/>
      <c r="J140" s="6"/>
    </row>
    <row r="141">
      <c r="A141" s="12" t="s">
        <v>350</v>
      </c>
      <c r="B141" s="7" t="s">
        <v>351</v>
      </c>
      <c r="C141" s="7" t="s">
        <v>352</v>
      </c>
      <c r="D141" s="8">
        <v>218500.0</v>
      </c>
      <c r="E141" s="9">
        <v>20.0</v>
      </c>
      <c r="F141" s="10" t="str">
        <f>IFERROR(__xludf.DUMMYFUNCTION("LOWER(REGEXREPLACE(B141&amp;"" ""&amp;C141,""[^а-яa-z0-9 ]"","" ""))"),"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нержавеюще"&amp;"й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испол"&amp;"ьзование ")</f>
        <v>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использование </v>
      </c>
      <c r="G141" s="10" t="str">
        <f>IFERROR(__xludf.DUMMYFUNCTION("TEXTJOIN(""|"",TRUE,UNIQUE(FILTER(SPLIT(F141,"" ""),LEN(SPLIT(F141,"" ""))&gt;2)))"),"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amp;"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f>
        <v>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v>
      </c>
      <c r="I141" s="6"/>
      <c r="J141" s="6"/>
    </row>
    <row r="142">
      <c r="A142" s="12" t="s">
        <v>353</v>
      </c>
      <c r="B142" s="7" t="s">
        <v>354</v>
      </c>
      <c r="C142" s="7" t="s">
        <v>355</v>
      </c>
      <c r="D142" s="8">
        <v>8600.0</v>
      </c>
      <c r="E142" s="9">
        <v>5.0</v>
      </c>
      <c r="F142" s="10" t="str">
        <f>IFERROR(__xludf.DUMMYFUNCTION("LOWER(REGEXREPLACE(B142&amp;"" ""&amp;C142,""[^а-яa-z0-9 ]"","" ""))"),"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испол"&amp;"ьзуются для игровых заданий   рименяется при логопедической работе ")</f>
        <v>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используются для игровых заданий   рименяется при логопедической работе </v>
      </c>
      <c r="G142" s="10" t="str">
        <f>IFERROR(__xludf.DUMMYFUNCTION("TEXTJOIN(""|"",TRUE,UNIQUE(FILTER(SPLIT(F142,"" ""),LEN(SPLIT(F142,"" ""))&gt;2)))"),"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amp;"ний|рименяется|при|логопедической|работе")</f>
        <v>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ний|рименяется|при|логопедической|работе</v>
      </c>
      <c r="I142" s="6"/>
      <c r="J142" s="6"/>
    </row>
    <row r="143">
      <c r="A143" s="12" t="s">
        <v>356</v>
      </c>
      <c r="B143" s="7" t="s">
        <v>357</v>
      </c>
      <c r="C143" s="7" t="s">
        <v>358</v>
      </c>
      <c r="D143" s="8">
        <v>2200.0</v>
      </c>
      <c r="E143" s="9">
        <v>1.0</v>
      </c>
      <c r="F143" s="10" t="str">
        <f>IFERROR(__xludf.DUMMYFUNCTION("LOWER(REGEXREPLACE(B143&amp;"" ""&amp;C143,""[^а-яa-z0-9 ]"","" ""))")," г здер   лендер жина ы  аянбай   ")</f>
        <v> г здер   лендер жина ы  аянбай   </v>
      </c>
      <c r="G143" s="10" t="str">
        <f>IFERROR(__xludf.DUMMYFUNCTION("TEXTJOIN(""|"",TRUE,UNIQUE(FILTER(SPLIT(F143,"" ""),LEN(SPLIT(F143,"" ""))&gt;2)))"),"здер|лендер|жина|аянбай")</f>
        <v>здер|лендер|жина|аянбай</v>
      </c>
      <c r="I143" s="6"/>
      <c r="J143" s="6"/>
    </row>
    <row r="144">
      <c r="A144" s="12" t="s">
        <v>359</v>
      </c>
      <c r="B144" s="7" t="s">
        <v>360</v>
      </c>
      <c r="C144" s="7" t="s">
        <v>361</v>
      </c>
      <c r="D144" s="8">
        <v>6600.0</v>
      </c>
      <c r="E144" s="9">
        <v>1.0</v>
      </c>
      <c r="F144" s="10" t="str">
        <f>IFERROR(__xludf.DUMMYFUNCTION("LOWER(REGEXREPLACE(B144&amp;"" ""&amp;C144,""[^а-яa-z0-9 ]"","" ""))")," р  аргын  рус   англ    дапт   умисбаев   ")</f>
        <v> р  аргын  рус   англ    дапт   умисбаев   </v>
      </c>
      <c r="G144" s="10" t="str">
        <f>IFERROR(__xludf.DUMMYFUNCTION("TEXTJOIN(""|"",TRUE,UNIQUE(FILTER(SPLIT(F144,"" ""),LEN(SPLIT(F144,"" ""))&gt;2)))"),"аргын|рус|англ|дапт|умисбаев")</f>
        <v>аргын|рус|англ|дапт|умисбаев</v>
      </c>
      <c r="I144" s="6"/>
      <c r="J144" s="6"/>
    </row>
    <row r="145">
      <c r="A145" s="12" t="s">
        <v>362</v>
      </c>
      <c r="B145" s="7" t="s">
        <v>363</v>
      </c>
      <c r="C145" s="7" t="s">
        <v>364</v>
      </c>
      <c r="D145" s="8">
        <v>6600.0</v>
      </c>
      <c r="E145" s="9">
        <v>1.0</v>
      </c>
      <c r="F145" s="10" t="str">
        <f>IFERROR(__xludf.DUMMYFUNCTION("LOWER(REGEXREPLACE(B145&amp;"" ""&amp;C145,""[^а-яa-z0-9 ]"","" ""))")," р  ар ын  каз   агылш    ей мдеген    ум сбаев")</f>
        <v> р  ар ын  каз   агылш    ей мдеген    ум сбаев</v>
      </c>
      <c r="G145" s="10" t="str">
        <f>IFERROR(__xludf.DUMMYFUNCTION("TEXTJOIN(""|"",TRUE,UNIQUE(FILTER(SPLIT(F145,"" ""),LEN(SPLIT(F145,"" ""))&gt;2)))"),"каз|агылш|мдеген|сбаев")</f>
        <v>каз|агылш|мдеген|сбаев</v>
      </c>
      <c r="I145" s="6"/>
      <c r="J145" s="6"/>
    </row>
    <row r="146">
      <c r="A146" s="12" t="s">
        <v>365</v>
      </c>
      <c r="B146" s="7" t="s">
        <v>366</v>
      </c>
      <c r="C146" s="7" t="s">
        <v>367</v>
      </c>
      <c r="D146" s="8">
        <v>800.0</v>
      </c>
      <c r="E146" s="9">
        <v>1.0</v>
      </c>
      <c r="F146" s="10" t="str">
        <f>IFERROR(__xludf.DUMMYFUNCTION("LOWER(REGEXREPLACE(B146&amp;"" ""&amp;C146,""[^а-яa-z0-9 ]"","" ""))")," ртег лер   та анамен о имыз  1 б л м    растыр ан    усупова")</f>
        <v> ртег лер   та анамен о имыз  1 б л м    растыр ан    усупова</v>
      </c>
      <c r="G146" s="10" t="str">
        <f>IFERROR(__xludf.DUMMYFUNCTION("TEXTJOIN(""|"",TRUE,UNIQUE(FILTER(SPLIT(F146,"" ""),LEN(SPLIT(F146,"" ""))&gt;2)))"),"ртег|лер|анамен|имыз|растыр|усупова")</f>
        <v>ртег|лер|анамен|имыз|растыр|усупова</v>
      </c>
      <c r="I146" s="6"/>
      <c r="J146" s="6"/>
    </row>
    <row r="147">
      <c r="A147" s="12" t="s">
        <v>368</v>
      </c>
      <c r="B147" s="7" t="s">
        <v>369</v>
      </c>
      <c r="C147" s="7" t="s">
        <v>367</v>
      </c>
      <c r="D147" s="8">
        <v>800.0</v>
      </c>
      <c r="E147" s="9">
        <v>1.0</v>
      </c>
      <c r="F147" s="10" t="str">
        <f>IFERROR(__xludf.DUMMYFUNCTION("LOWER(REGEXREPLACE(B147&amp;"" ""&amp;C147,""[^а-яa-z0-9 ]"","" ""))")," ртег лер   та анамен о имыз  2 б л м    растыр ан    усупова")</f>
        <v> ртег лер   та анамен о имыз  2 б л м    растыр ан    усупова</v>
      </c>
      <c r="G147" s="10" t="str">
        <f>IFERROR(__xludf.DUMMYFUNCTION("TEXTJOIN(""|"",TRUE,UNIQUE(FILTER(SPLIT(F147,"" ""),LEN(SPLIT(F147,"" ""))&gt;2)))"),"ртег|лер|анамен|имыз|растыр|усупова")</f>
        <v>ртег|лер|анамен|имыз|растыр|усупова</v>
      </c>
      <c r="I147" s="6"/>
      <c r="J147" s="6"/>
    </row>
    <row r="148">
      <c r="A148" s="12" t="s">
        <v>370</v>
      </c>
      <c r="B148" s="7" t="s">
        <v>371</v>
      </c>
      <c r="C148" s="7" t="s">
        <v>367</v>
      </c>
      <c r="D148" s="8">
        <v>800.0</v>
      </c>
      <c r="E148" s="9">
        <v>1.0</v>
      </c>
      <c r="F148" s="10" t="str">
        <f>IFERROR(__xludf.DUMMYFUNCTION("LOWER(REGEXREPLACE(B148&amp;"" ""&amp;C148,""[^а-яa-z0-9 ]"","" ""))")," ртег лер   та анамен о имыз  3 б л м    растыр ан    усупова")</f>
        <v> ртег лер   та анамен о имыз  3 б л м    растыр ан    усупова</v>
      </c>
      <c r="G148" s="10" t="str">
        <f>IFERROR(__xludf.DUMMYFUNCTION("TEXTJOIN(""|"",TRUE,UNIQUE(FILTER(SPLIT(F148,"" ""),LEN(SPLIT(F148,"" ""))&gt;2)))"),"ртег|лер|анамен|имыз|растыр|усупова")</f>
        <v>ртег|лер|анамен|имыз|растыр|усупова</v>
      </c>
      <c r="I148" s="6"/>
      <c r="J148" s="6"/>
    </row>
    <row r="149">
      <c r="A149" s="12" t="s">
        <v>372</v>
      </c>
      <c r="B149" s="7" t="s">
        <v>373</v>
      </c>
      <c r="C149" s="7" t="s">
        <v>367</v>
      </c>
      <c r="D149" s="8">
        <v>800.0</v>
      </c>
      <c r="E149" s="9">
        <v>1.0</v>
      </c>
      <c r="F149" s="10" t="str">
        <f>IFERROR(__xludf.DUMMYFUNCTION("LOWER(REGEXREPLACE(B149&amp;"" ""&amp;C149,""[^а-яa-z0-9 ]"","" ""))")," ртег лер   уын а б л п о имыз  1 б л м    растыр ан    усупова")</f>
        <v> ртег лер   уын а б л п о имыз  1 б л м    растыр ан    усупова</v>
      </c>
      <c r="G149" s="10" t="str">
        <f>IFERROR(__xludf.DUMMYFUNCTION("TEXTJOIN(""|"",TRUE,UNIQUE(FILTER(SPLIT(F149,"" ""),LEN(SPLIT(F149,"" ""))&gt;2)))"),"ртег|лер|уын|имыз|растыр|усупова")</f>
        <v>ртег|лер|уын|имыз|растыр|усупова</v>
      </c>
      <c r="I149" s="6"/>
      <c r="J149" s="6"/>
    </row>
    <row r="150">
      <c r="A150" s="12" t="s">
        <v>374</v>
      </c>
      <c r="B150" s="7" t="s">
        <v>375</v>
      </c>
      <c r="C150" s="7" t="s">
        <v>376</v>
      </c>
      <c r="D150" s="8">
        <v>4800.0</v>
      </c>
      <c r="E150" s="9">
        <v>1.0</v>
      </c>
      <c r="F150" s="10" t="str">
        <f>IFERROR(__xludf.DUMMYFUNCTION("LOWER(REGEXREPLACE(B150&amp;"" ""&amp;C150,""[^а-яa-z0-9 ]"","" ""))"),"10 историй о пиратах  ертолет   ")</f>
        <v>10 историй о пиратах  ертолет   </v>
      </c>
      <c r="G150" s="10" t="str">
        <f>IFERROR(__xludf.DUMMYFUNCTION("TEXTJOIN(""|"",TRUE,UNIQUE(FILTER(SPLIT(F150,"" ""),LEN(SPLIT(F150,"" ""))&gt;2)))"),"историй|пиратах|ертолет")</f>
        <v>историй|пиратах|ертолет</v>
      </c>
      <c r="I150" s="6"/>
      <c r="J150" s="6"/>
    </row>
    <row r="151">
      <c r="A151" s="12" t="s">
        <v>377</v>
      </c>
      <c r="B151" s="7" t="s">
        <v>378</v>
      </c>
      <c r="C151" s="7" t="s">
        <v>367</v>
      </c>
      <c r="D151" s="8">
        <v>800.0</v>
      </c>
      <c r="E151" s="9">
        <v>1.0</v>
      </c>
      <c r="F151" s="10" t="str">
        <f>IFERROR(__xludf.DUMMYFUNCTION("LOWER(REGEXREPLACE(B151&amp;"" ""&amp;C151,""[^а-яa-z0-9 ]"","" ""))")," ртег лер   уын а б л п о имыз  2 б л м    растыр ан    усупова")</f>
        <v> ртег лер   уын а б л п о имыз  2 б л м    растыр ан    усупова</v>
      </c>
      <c r="G151" s="10" t="str">
        <f>IFERROR(__xludf.DUMMYFUNCTION("TEXTJOIN(""|"",TRUE,UNIQUE(FILTER(SPLIT(F151,"" ""),LEN(SPLIT(F151,"" ""))&gt;2)))"),"ртег|лер|уын|имыз|растыр|усупова")</f>
        <v>ртег|лер|уын|имыз|растыр|усупова</v>
      </c>
      <c r="I151" s="6"/>
      <c r="J151" s="6"/>
    </row>
    <row r="152">
      <c r="A152" s="12" t="s">
        <v>379</v>
      </c>
      <c r="B152" s="7" t="s">
        <v>380</v>
      </c>
      <c r="C152" s="7" t="s">
        <v>367</v>
      </c>
      <c r="D152" s="8">
        <v>800.0</v>
      </c>
      <c r="E152" s="9">
        <v>1.0</v>
      </c>
      <c r="F152" s="10" t="str">
        <f>IFERROR(__xludf.DUMMYFUNCTION("LOWER(REGEXREPLACE(B152&amp;"" ""&amp;C152,""[^а-яa-z0-9 ]"","" ""))")," ртег лер   уын а б л п о имыз  3 б л м    растыр ан    усупова")</f>
        <v> ртег лер   уын а б л п о имыз  3 б л м    растыр ан    усупова</v>
      </c>
      <c r="G152" s="10" t="str">
        <f>IFERROR(__xludf.DUMMYFUNCTION("TEXTJOIN(""|"",TRUE,UNIQUE(FILTER(SPLIT(F152,"" ""),LEN(SPLIT(F152,"" ""))&gt;2)))"),"ртег|лер|уын|имыз|растыр|усупова")</f>
        <v>ртег|лер|уын|имыз|растыр|усупова</v>
      </c>
      <c r="I152" s="6"/>
      <c r="J152" s="6"/>
    </row>
    <row r="153">
      <c r="A153" s="12" t="s">
        <v>381</v>
      </c>
      <c r="B153" s="7" t="s">
        <v>382</v>
      </c>
      <c r="C153" s="7" t="s">
        <v>367</v>
      </c>
      <c r="D153" s="8">
        <v>800.0</v>
      </c>
      <c r="E153" s="9">
        <v>1.0</v>
      </c>
      <c r="F153" s="10" t="str">
        <f>IFERROR(__xludf.DUMMYFUNCTION("LOWER(REGEXREPLACE(B153&amp;"" ""&amp;C153,""[^а-яa-z0-9 ]"","" ""))")," ртег лер   з м з о имыз  1 б л м    растыр ан    усупова")</f>
        <v> ртег лер   з м з о имыз  1 б л м    растыр ан    усупова</v>
      </c>
      <c r="G153" s="10" t="str">
        <f>IFERROR(__xludf.DUMMYFUNCTION("TEXTJOIN(""|"",TRUE,UNIQUE(FILTER(SPLIT(F153,"" ""),LEN(SPLIT(F153,"" ""))&gt;2)))"),"ртег|лер|имыз|растыр|усупова")</f>
        <v>ртег|лер|имыз|растыр|усупова</v>
      </c>
      <c r="I153" s="6"/>
      <c r="J153" s="6"/>
    </row>
    <row r="154">
      <c r="A154" s="12" t="s">
        <v>383</v>
      </c>
      <c r="B154" s="7" t="s">
        <v>384</v>
      </c>
      <c r="C154" s="7" t="s">
        <v>367</v>
      </c>
      <c r="D154" s="8">
        <v>800.0</v>
      </c>
      <c r="E154" s="9">
        <v>1.0</v>
      </c>
      <c r="F154" s="10" t="str">
        <f>IFERROR(__xludf.DUMMYFUNCTION("LOWER(REGEXREPLACE(B154&amp;"" ""&amp;C154,""[^а-яa-z0-9 ]"","" ""))")," ртег лер   з м з о имыз  2 б л м    растыр ан    усупова")</f>
        <v> ртег лер   з м з о имыз  2 б л м    растыр ан    усупова</v>
      </c>
      <c r="G154" s="10" t="str">
        <f>IFERROR(__xludf.DUMMYFUNCTION("TEXTJOIN(""|"",TRUE,UNIQUE(FILTER(SPLIT(F154,"" ""),LEN(SPLIT(F154,"" ""))&gt;2)))"),"ртег|лер|имыз|растыр|усупова")</f>
        <v>ртег|лер|имыз|растыр|усупова</v>
      </c>
      <c r="I154" s="6"/>
      <c r="J154" s="6"/>
    </row>
    <row r="155">
      <c r="A155" s="12" t="s">
        <v>385</v>
      </c>
      <c r="B155" s="7" t="s">
        <v>386</v>
      </c>
      <c r="C155" s="7" t="s">
        <v>367</v>
      </c>
      <c r="D155" s="8">
        <v>800.0</v>
      </c>
      <c r="E155" s="9">
        <v>1.0</v>
      </c>
      <c r="F155" s="10" t="str">
        <f>IFERROR(__xludf.DUMMYFUNCTION("LOWER(REGEXREPLACE(B155&amp;"" ""&amp;C155,""[^а-яa-z0-9 ]"","" ""))")," ртег лер   з м з о имыз  3 б л м    растыр ан    усупова")</f>
        <v> ртег лер   з м з о имыз  3 б л м    растыр ан    усупова</v>
      </c>
      <c r="G155" s="10" t="str">
        <f>IFERROR(__xludf.DUMMYFUNCTION("TEXTJOIN(""|"",TRUE,UNIQUE(FILTER(SPLIT(F155,"" ""),LEN(SPLIT(F155,"" ""))&gt;2)))"),"ртег|лер|имыз|растыр|усупова")</f>
        <v>ртег|лер|имыз|растыр|усупова</v>
      </c>
      <c r="I155" s="6"/>
      <c r="J155" s="6"/>
    </row>
    <row r="156">
      <c r="A156" s="12" t="s">
        <v>387</v>
      </c>
      <c r="B156" s="7" t="s">
        <v>388</v>
      </c>
      <c r="C156" s="7" t="s">
        <v>389</v>
      </c>
      <c r="D156" s="8">
        <v>6600.0</v>
      </c>
      <c r="E156" s="9">
        <v>1.0</v>
      </c>
      <c r="F156" s="10" t="str">
        <f>IFERROR(__xludf.DUMMYFUNCTION("LOWER(REGEXREPLACE(B156&amp;"" ""&amp;C156,""[^а-яa-z0-9 ]"","" ""))")," скертк ш орнаттым мен  олдан келмес        ушкин    растырушы   ужикова    ")</f>
        <v> скертк ш орнаттым мен  олдан келмес        ушкин    растырушы   ужикова    </v>
      </c>
      <c r="G156" s="10" t="str">
        <f>IFERROR(__xludf.DUMMYFUNCTION("TEXTJOIN(""|"",TRUE,UNIQUE(FILTER(SPLIT(F156,"" ""),LEN(SPLIT(F156,"" ""))&gt;2)))"),"скертк|орнаттым|мен|олдан|келмес|ушкин|растырушы|ужикова")</f>
        <v>скертк|орнаттым|мен|олдан|келмес|ушкин|растырушы|ужикова</v>
      </c>
      <c r="I156" s="6"/>
      <c r="J156" s="6"/>
    </row>
    <row r="157">
      <c r="A157" s="12" t="s">
        <v>390</v>
      </c>
      <c r="B157" s="7" t="s">
        <v>391</v>
      </c>
      <c r="C157" s="7" t="s">
        <v>392</v>
      </c>
      <c r="D157" s="8">
        <v>3000.0</v>
      </c>
      <c r="E157" s="9">
        <v>1.0</v>
      </c>
      <c r="F157" s="10" t="str">
        <f>IFERROR(__xludf.DUMMYFUNCTION("LOWER(REGEXREPLACE(B157&amp;"" ""&amp;C157,""[^а-яa-z0-9 ]"","" ""))")," абайы жануарларды б лес   бе    ылды бояма   ахипова     олтан азина   ")</f>
        <v> абайы жануарларды б лес   бе    ылды бояма   ахипова     олтан азина   </v>
      </c>
      <c r="G157" s="10" t="str">
        <f>IFERROR(__xludf.DUMMYFUNCTION("TEXTJOIN(""|"",TRUE,UNIQUE(FILTER(SPLIT(F157,"" ""),LEN(SPLIT(F157,"" ""))&gt;2)))"),"абайы|жануарларды|лес|ылды|бояма|ахипова|олтан|азина")</f>
        <v>абайы|жануарларды|лес|ылды|бояма|ахипова|олтан|азина</v>
      </c>
      <c r="I157" s="6"/>
      <c r="J157" s="6"/>
    </row>
    <row r="158">
      <c r="A158" s="12" t="s">
        <v>393</v>
      </c>
      <c r="B158" s="7" t="s">
        <v>394</v>
      </c>
      <c r="C158" s="7" t="s">
        <v>395</v>
      </c>
      <c r="D158" s="8">
        <v>7600.0</v>
      </c>
      <c r="E158" s="9">
        <v>1.0</v>
      </c>
      <c r="F158" s="10" t="str">
        <f>IFERROR(__xludf.DUMMYFUNCTION("LOWER(REGEXREPLACE(B158&amp;"" ""&amp;C158,""[^а-яa-z0-9 ]"","" ""))")," алы тырмайтын астрономия   алалар энциклопедиясы    айнберг")</f>
        <v> алы тырмайтын астрономия   алалар энциклопедиясы    айнберг</v>
      </c>
      <c r="G158" s="10" t="str">
        <f>IFERROR(__xludf.DUMMYFUNCTION("TEXTJOIN(""|"",TRUE,UNIQUE(FILTER(SPLIT(F158,"" ""),LEN(SPLIT(F158,"" ""))&gt;2)))"),"алы|тырмайтын|астрономия|алалар|энциклопедиясы|айнберг")</f>
        <v>алы|тырмайтын|астрономия|алалар|энциклопедиясы|айнберг</v>
      </c>
      <c r="I158" s="6"/>
      <c r="J158" s="6"/>
    </row>
    <row r="159">
      <c r="A159" s="12" t="s">
        <v>396</v>
      </c>
      <c r="B159" s="7" t="s">
        <v>397</v>
      </c>
      <c r="C159" s="7" t="s">
        <v>398</v>
      </c>
      <c r="D159" s="8">
        <v>11400.0</v>
      </c>
      <c r="E159" s="9">
        <v>1.0</v>
      </c>
      <c r="F159" s="10" t="str">
        <f>IFERROR(__xludf.DUMMYFUNCTION("LOWER(REGEXREPLACE(B159&amp;"" ""&amp;C159,""[^а-яa-z0-9 ]"","" ""))")," ануарлар   нциклопедиясы  рлон   ")</f>
        <v> ануарлар   нциклопедиясы  рлон   </v>
      </c>
      <c r="G159" s="10" t="str">
        <f>IFERROR(__xludf.DUMMYFUNCTION("TEXTJOIN(""|"",TRUE,UNIQUE(FILTER(SPLIT(F159,"" ""),LEN(SPLIT(F159,"" ""))&gt;2)))"),"ануарлар|нциклопедиясы|рлон")</f>
        <v>ануарлар|нциклопедиясы|рлон</v>
      </c>
      <c r="I159" s="6"/>
      <c r="J159" s="6"/>
    </row>
    <row r="160">
      <c r="A160" s="12" t="s">
        <v>399</v>
      </c>
      <c r="B160" s="7" t="s">
        <v>400</v>
      </c>
      <c r="C160" s="7" t="s">
        <v>401</v>
      </c>
      <c r="D160" s="8">
        <v>6400.0</v>
      </c>
      <c r="E160" s="9">
        <v>1.0</v>
      </c>
      <c r="F160" s="10" t="str">
        <f>IFERROR(__xludf.DUMMYFUNCTION("LOWER(REGEXREPLACE(B160&amp;"" ""&amp;C160,""[^а-яa-z0-9 ]"","" ""))")," а  ыры     ма ов")</f>
        <v> а  ыры     ма ов</v>
      </c>
      <c r="G160" s="10" t="str">
        <f>IFERROR(__xludf.DUMMYFUNCTION("TEXTJOIN(""|"",TRUE,UNIQUE(FILTER(SPLIT(F160,"" ""),LEN(SPLIT(F160,"" ""))&gt;2)))"),"ыры")</f>
        <v>ыры</v>
      </c>
      <c r="I160" s="6"/>
      <c r="J160" s="6"/>
    </row>
    <row r="161">
      <c r="A161" s="12" t="s">
        <v>402</v>
      </c>
      <c r="B161" s="7" t="s">
        <v>403</v>
      </c>
      <c r="C161" s="7" t="s">
        <v>376</v>
      </c>
      <c r="D161" s="8">
        <v>4800.0</v>
      </c>
      <c r="E161" s="9">
        <v>1.0</v>
      </c>
      <c r="F161" s="10" t="str">
        <f>IFERROR(__xludf.DUMMYFUNCTION("LOWER(REGEXREPLACE(B161&amp;"" ""&amp;C161,""[^а-яa-z0-9 ]"","" ""))"),"10 историй о принцессах  ертолет   ")</f>
        <v>10 историй о принцессах  ертолет   </v>
      </c>
      <c r="G161" s="10" t="str">
        <f>IFERROR(__xludf.DUMMYFUNCTION("TEXTJOIN(""|"",TRUE,UNIQUE(FILTER(SPLIT(F161,"" ""),LEN(SPLIT(F161,"" ""))&gt;2)))"),"историй|принцессах|ертолет")</f>
        <v>историй|принцессах|ертолет</v>
      </c>
      <c r="I161" s="6"/>
      <c r="J161" s="6"/>
    </row>
    <row r="162">
      <c r="A162" s="12" t="s">
        <v>404</v>
      </c>
      <c r="B162" s="7" t="s">
        <v>405</v>
      </c>
      <c r="C162" s="7"/>
      <c r="D162" s="8">
        <v>1700.0</v>
      </c>
      <c r="E162" s="9">
        <v>1.0</v>
      </c>
      <c r="F162" s="10" t="str">
        <f>IFERROR(__xludf.DUMMYFUNCTION("LOWER(REGEXREPLACE(B162&amp;"" ""&amp;C162,""[^а-яa-z0-9 ]"","" ""))")," ауапкерш л кт  сез ну   ак стать ответственным   ow to be responsible ")</f>
        <v> ауапкерш л кт  сез ну   ак стать ответственным   ow to be responsible </v>
      </c>
      <c r="G162" s="10" t="str">
        <f>IFERROR(__xludf.DUMMYFUNCTION("TEXTJOIN(""|"",TRUE,UNIQUE(FILTER(SPLIT(F162,"" ""),LEN(SPLIT(F162,"" ""))&gt;2)))"),"ауапкерш|сез|стать|ответственным|responsible")</f>
        <v>ауапкерш|сез|стать|ответственным|responsible</v>
      </c>
      <c r="I162" s="6"/>
      <c r="J162" s="6"/>
    </row>
    <row r="163">
      <c r="A163" s="12" t="s">
        <v>406</v>
      </c>
      <c r="B163" s="7" t="s">
        <v>407</v>
      </c>
      <c r="C163" s="7" t="s">
        <v>408</v>
      </c>
      <c r="D163" s="8">
        <v>8000.0</v>
      </c>
      <c r="E163" s="9">
        <v>1.0</v>
      </c>
      <c r="F163" s="10" t="str">
        <f>IFERROR(__xludf.DUMMYFUNCTION("LOWER(REGEXREPLACE(B163&amp;"" ""&amp;C163,""[^а-яa-z0-9 ]"","" ""))"),"  н бек пен атасы    манасов")</f>
        <v>  н бек пен атасы    манасов</v>
      </c>
      <c r="G163" s="10" t="str">
        <f>IFERROR(__xludf.DUMMYFUNCTION("TEXTJOIN(""|"",TRUE,UNIQUE(FILTER(SPLIT(F163,"" ""),LEN(SPLIT(F163,"" ""))&gt;2)))"),"бек|пен|атасы|манасов")</f>
        <v>бек|пен|атасы|манасов</v>
      </c>
      <c r="I163" s="6"/>
      <c r="J163" s="6"/>
    </row>
    <row r="164">
      <c r="A164" s="12" t="s">
        <v>409</v>
      </c>
      <c r="B164" s="7" t="s">
        <v>410</v>
      </c>
      <c r="C164" s="7" t="s">
        <v>36</v>
      </c>
      <c r="D164" s="8">
        <v>2800.0</v>
      </c>
      <c r="E164" s="9">
        <v>2.0</v>
      </c>
      <c r="F164" s="10" t="str">
        <f>IFERROR(__xludf.DUMMYFUNCTION("LOWER(REGEXREPLACE(B164&amp;"" ""&amp;C164,""[^а-яa-z0-9 ]"","" ""))")," гут кровоостанавливающий  спользуется для временной остановки кровотечения и при проведении медицинских процедур ")</f>
        <v> гут кровоостанавливающий  спользуется для временной остановки кровотечения и при проведении медицинских процедур </v>
      </c>
      <c r="G164" s="10" t="str">
        <f>IFERROR(__xludf.DUMMYFUNCTION("TEXTJOIN(""|"",TRUE,UNIQUE(FILTER(SPLIT(F164,"" ""),LEN(SPLIT(F164,"" ""))&gt;2)))"),"гут|кровоостанавливающий|спользуется|для|временной|остановки|кровотечения|при|проведении|медицинских|процедур")</f>
        <v>гут|кровоостанавливающий|спользуется|для|временной|остановки|кровотечения|при|проведении|медицинских|процедур</v>
      </c>
      <c r="I164" s="6"/>
      <c r="J164" s="6"/>
    </row>
    <row r="165">
      <c r="A165" s="12" t="s">
        <v>411</v>
      </c>
      <c r="B165" s="7" t="s">
        <v>412</v>
      </c>
      <c r="C165" s="7" t="s">
        <v>413</v>
      </c>
      <c r="D165" s="8">
        <v>19000.0</v>
      </c>
      <c r="E165" s="9">
        <v>1.0</v>
      </c>
      <c r="F165" s="10" t="str">
        <f>IFERROR(__xludf.DUMMYFUNCTION("LOWER(REGEXREPLACE(B165&amp;"" ""&amp;C165,""[^а-яa-z0-9 ]"","" ""))")," ер  аламшарыны  антологиясы  лдершоу   ")</f>
        <v> ер  аламшарыны  антологиясы  лдершоу   </v>
      </c>
      <c r="G165" s="10" t="str">
        <f>IFERROR(__xludf.DUMMYFUNCTION("TEXTJOIN(""|"",TRUE,UNIQUE(FILTER(SPLIT(F165,"" ""),LEN(SPLIT(F165,"" ""))&gt;2)))"),"аламшарыны|антологиясы|лдершоу")</f>
        <v>аламшарыны|антологиясы|лдершоу</v>
      </c>
      <c r="I165" s="6"/>
      <c r="J165" s="6"/>
    </row>
    <row r="166">
      <c r="A166" s="12" t="s">
        <v>414</v>
      </c>
      <c r="B166" s="7" t="s">
        <v>415</v>
      </c>
      <c r="C166" s="7" t="s">
        <v>416</v>
      </c>
      <c r="D166" s="8">
        <v>15600.0</v>
      </c>
      <c r="E166" s="9">
        <v>75.0</v>
      </c>
      <c r="F166" s="10" t="str">
        <f>IFERROR(__xludf.DUMMYFUNCTION("LOWER(REGEXREPLACE(B166&amp;"" ""&amp;C166,""[^а-яa-z0-9 ]"","" ""))")," ол ба дар  нтеллектум")</f>
        <v> ол ба дар  нтеллектум</v>
      </c>
      <c r="G166" s="10" t="str">
        <f>IFERROR(__xludf.DUMMYFUNCTION("TEXTJOIN(""|"",TRUE,UNIQUE(FILTER(SPLIT(F166,"" ""),LEN(SPLIT(F166,"" ""))&gt;2)))"),"дар|нтеллектум")</f>
        <v>дар|нтеллектум</v>
      </c>
      <c r="I166" s="6"/>
      <c r="J166" s="6"/>
    </row>
    <row r="167">
      <c r="A167" s="12" t="s">
        <v>417</v>
      </c>
      <c r="B167" s="7" t="s">
        <v>418</v>
      </c>
      <c r="C167" s="7" t="s">
        <v>419</v>
      </c>
      <c r="D167" s="8">
        <v>7200.0</v>
      </c>
      <c r="E167" s="9">
        <v>1.0</v>
      </c>
      <c r="F167" s="10" t="str">
        <f>IFERROR(__xludf.DUMMYFUNCTION("LOWER(REGEXREPLACE(B167&amp;"" ""&amp;C167,""[^а-яa-z0-9 ]"","" ""))")," ылдар ж не жа а жорамалдар   аза  оркестр    йыншы тар     тет леу лы")</f>
        <v> ылдар ж не жа а жорамалдар   аза  оркестр    йыншы тар     тет леу лы</v>
      </c>
      <c r="G167" s="10" t="str">
        <f>IFERROR(__xludf.DUMMYFUNCTION("TEXTJOIN(""|"",TRUE,UNIQUE(FILTER(SPLIT(F167,"" ""),LEN(SPLIT(F167,"" ""))&gt;2)))"),"ылдар|жорамалдар|аза|оркестр|йыншы|тар|тет|леу")</f>
        <v>ылдар|жорамалдар|аза|оркестр|йыншы|тар|тет|леу</v>
      </c>
      <c r="I167" s="6"/>
      <c r="J167" s="6"/>
    </row>
    <row r="168">
      <c r="A168" s="12" t="s">
        <v>420</v>
      </c>
      <c r="B168" s="7" t="s">
        <v>421</v>
      </c>
      <c r="C168" s="7" t="s">
        <v>422</v>
      </c>
      <c r="D168" s="8">
        <v>12600.0</v>
      </c>
      <c r="E168" s="9">
        <v>1.0</v>
      </c>
      <c r="F168" s="10" t="str">
        <f>IFERROR(__xludf.DUMMYFUNCTION("LOWER(REGEXREPLACE(B168&amp;"" ""&amp;C168,""[^а-яa-z0-9 ]"","" ""))")," ыраулардан жыр м ра  дилбеков     ")</f>
        <v> ыраулардан жыр м ра  дилбеков     </v>
      </c>
      <c r="G168" s="10" t="str">
        <f>IFERROR(__xludf.DUMMYFUNCTION("TEXTJOIN(""|"",TRUE,UNIQUE(FILTER(SPLIT(F168,"" ""),LEN(SPLIT(F168,"" ""))&gt;2)))"),"ыраулардан|жыр|дилбеков")</f>
        <v>ыраулардан|жыр|дилбеков</v>
      </c>
      <c r="I168" s="6"/>
      <c r="J168" s="6"/>
    </row>
    <row r="169">
      <c r="A169" s="12" t="s">
        <v>423</v>
      </c>
      <c r="B169" s="7" t="s">
        <v>424</v>
      </c>
      <c r="C169" s="7" t="s">
        <v>425</v>
      </c>
      <c r="D169" s="8">
        <v>13600.0</v>
      </c>
      <c r="E169" s="9">
        <v>1.0</v>
      </c>
      <c r="F169" s="10" t="str">
        <f>IFERROR(__xludf.DUMMYFUNCTION("LOWER(REGEXREPLACE(B169&amp;"" ""&amp;C169,""[^а-яa-z0-9 ]"","" ""))")," наю ли я своего ребенка   рактикум по детской психологии в помощь родителям  эри   ")</f>
        <v> наю ли я своего ребенка   рактикум по детской психологии в помощь родителям  эри   </v>
      </c>
      <c r="G169" s="10" t="str">
        <f>IFERROR(__xludf.DUMMYFUNCTION("TEXTJOIN(""|"",TRUE,UNIQUE(FILTER(SPLIT(F169,"" ""),LEN(SPLIT(F169,"" ""))&gt;2)))"),"наю|своего|ребенка|рактикум|детской|психологии|помощь|родителям|эри")</f>
        <v>наю|своего|ребенка|рактикум|детской|психологии|помощь|родителям|эри</v>
      </c>
      <c r="I169" s="6"/>
      <c r="J169" s="6"/>
    </row>
    <row r="170">
      <c r="A170" s="12" t="s">
        <v>426</v>
      </c>
      <c r="B170" s="7" t="s">
        <v>427</v>
      </c>
      <c r="C170" s="7" t="s">
        <v>428</v>
      </c>
      <c r="D170" s="8">
        <v>123500.0</v>
      </c>
      <c r="E170" s="9">
        <v>5.0</v>
      </c>
      <c r="F170" s="10" t="str">
        <f>IFERROR(__xludf.DUMMYFUNCTION("LOWER(REGEXREPLACE(B170&amp;"" ""&amp;C170,""[^а-яa-z0-9 ]"","" ""))"),"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f>
        <v>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v>
      </c>
      <c r="G170" s="10" t="str">
        <f>IFERROR(__xludf.DUMMYFUNCTION("TEXTJOIN(""|"",TRUE,UNIQUE(FILTER(SPLIT(F170,"" ""),LEN(SPLIT(F170,"" ""))&gt;2)))"),"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f>
        <v>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v>
      </c>
      <c r="I170" s="6"/>
      <c r="J170" s="6"/>
    </row>
    <row r="171">
      <c r="A171" s="12" t="s">
        <v>429</v>
      </c>
      <c r="B171" s="7" t="s">
        <v>430</v>
      </c>
      <c r="C171" s="7" t="s">
        <v>431</v>
      </c>
      <c r="D171" s="8">
        <v>1300.0</v>
      </c>
      <c r="E171" s="9">
        <v>6.0</v>
      </c>
      <c r="F171" s="10" t="str">
        <f>IFERROR(__xludf.DUMMYFUNCTION("LOWER(REGEXREPLACE(B171&amp;"" ""&amp;C171,""[^а-яa-z0-9 ]"","" ""))"),"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f>
        <v>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v>
      </c>
      <c r="G171" s="10" t="str">
        <f>IFERROR(__xludf.DUMMYFUNCTION("TEXTJOIN(""|"",TRUE,UNIQUE(FILTER(SPLIT(F171,"" ""),LEN(SPLIT(F171,"" ""))&gt;2)))"),"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f>
        <v>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v>
      </c>
      <c r="I171" s="6"/>
      <c r="J171" s="6"/>
    </row>
    <row r="172">
      <c r="A172" s="12" t="s">
        <v>432</v>
      </c>
      <c r="B172" s="7" t="s">
        <v>433</v>
      </c>
      <c r="C172" s="7" t="s">
        <v>416</v>
      </c>
      <c r="D172" s="8">
        <v>15300.0</v>
      </c>
      <c r="E172" s="9">
        <v>75.0</v>
      </c>
      <c r="F172" s="10" t="str">
        <f>IFERROR(__xludf.DUMMYFUNCTION("LOWER(REGEXREPLACE(B172&amp;"" ""&amp;C172,""[^а-яa-z0-9 ]"","" ""))"),"3    шб рыш  нтеллектум")</f>
        <v>3    шб рыш  нтеллектум</v>
      </c>
      <c r="G172" s="10" t="str">
        <f>IFERROR(__xludf.DUMMYFUNCTION("TEXTJOIN(""|"",TRUE,UNIQUE(FILTER(SPLIT(F172,"" ""),LEN(SPLIT(F172,"" ""))&gt;2)))"),"рыш|нтеллектум")</f>
        <v>рыш|нтеллектум</v>
      </c>
      <c r="I172" s="6"/>
      <c r="J172" s="6"/>
    </row>
    <row r="173">
      <c r="A173" s="12" t="s">
        <v>434</v>
      </c>
      <c r="B173" s="7" t="s">
        <v>435</v>
      </c>
      <c r="C173" s="7" t="s">
        <v>436</v>
      </c>
      <c r="D173" s="8">
        <v>13300.0</v>
      </c>
      <c r="E173" s="9">
        <v>2.0</v>
      </c>
      <c r="F173" s="10" t="str">
        <f>IFERROR(__xludf.DUMMYFUNCTION("LOWER(REGEXREPLACE(B173&amp;"" ""&amp;C173,""[^а-яa-z0-9 ]"","" ""))"),"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изго"&amp;"товления   пластик ")</f>
        <v>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изготовления   пластик </v>
      </c>
      <c r="G173" s="10" t="str">
        <f>IFERROR(__xludf.DUMMYFUNCTION("TEXTJOIN(""|"",TRUE,UNIQUE(FILTER(SPLIT(F173,"" ""),LEN(SPLIT(F173,"" ""))&gt;2)))"),"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f>
        <v>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v>
      </c>
      <c r="I173" s="6"/>
      <c r="J173" s="6"/>
    </row>
    <row r="174">
      <c r="A174" s="12" t="s">
        <v>437</v>
      </c>
      <c r="B174" s="7" t="s">
        <v>438</v>
      </c>
      <c r="C174" s="7" t="s">
        <v>439</v>
      </c>
      <c r="D174" s="8">
        <v>12000.0</v>
      </c>
      <c r="E174" s="9">
        <v>1.0</v>
      </c>
      <c r="F174" s="10" t="str">
        <f>IFERROR(__xludf.DUMMYFUNCTION("LOWER(REGEXREPLACE(B174&amp;"" ""&amp;C174,""[^а-яa-z0-9 ]"","" ""))"),"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дви"&amp;"жений   атериал изготовления   дерево ")</f>
        <v>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движений   атериал изготовления   дерево </v>
      </c>
      <c r="G174" s="10" t="str">
        <f>IFERROR(__xludf.DUMMYFUNCTION("TEXTJOIN(""|"",TRUE,UNIQUE(FILTER(SPLIT(F174,"" ""),LEN(SPLIT(F174,"" ""))&gt;2)))"),"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amp;"вления|дерево")</f>
        <v>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вления|дерево</v>
      </c>
      <c r="I174" s="6"/>
      <c r="J174" s="6"/>
    </row>
    <row r="175">
      <c r="A175" s="12" t="s">
        <v>440</v>
      </c>
      <c r="B175" s="7" t="s">
        <v>441</v>
      </c>
      <c r="C175" s="7" t="s">
        <v>442</v>
      </c>
      <c r="D175" s="8">
        <v>6700.0</v>
      </c>
      <c r="E175" s="9">
        <v>14.0</v>
      </c>
      <c r="F175" s="10" t="str">
        <f>IFERROR(__xludf.DUMMYFUNCTION("LOWER(REGEXREPLACE(B175&amp;"" ""&amp;C175,""[^а-яa-z0-9 ]"","" ""))"),"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изгот"&amp;"овления       пластик ")</f>
        <v>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изготовления       пластик </v>
      </c>
      <c r="G175" s="10" t="str">
        <f>IFERROR(__xludf.DUMMYFUNCTION("TEXTJOIN(""|"",TRUE,UNIQUE(FILTER(SPLIT(F175,"" ""),LEN(SPLIT(F175,"" ""))&gt;2)))"),"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f>
        <v>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v>
      </c>
      <c r="I175" s="6"/>
      <c r="J175" s="6"/>
    </row>
    <row r="176">
      <c r="A176" s="12" t="s">
        <v>443</v>
      </c>
      <c r="B176" s="7" t="s">
        <v>444</v>
      </c>
      <c r="C176" s="7" t="s">
        <v>445</v>
      </c>
      <c r="D176" s="8">
        <v>5700.0</v>
      </c>
      <c r="E176" s="9">
        <v>1.0</v>
      </c>
      <c r="F176" s="10" t="str">
        <f>IFERROR(__xludf.DUMMYFUNCTION("LOWER(REGEXREPLACE(B176&amp;"" ""&amp;C176,""[^а-яa-z0-9 ]"","" ""))"),"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f>
        <v>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v>
      </c>
      <c r="G176" s="10" t="str">
        <f>IFERROR(__xludf.DUMMYFUNCTION("TEXTJOIN(""|"",TRUE,UNIQUE(FILTER(SPLIT(F176,"" ""),LEN(SPLIT(F176,"" ""))&gt;2)))"),"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f>
        <v>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v>
      </c>
      <c r="I176" s="6"/>
      <c r="J176" s="6"/>
    </row>
    <row r="177">
      <c r="A177" s="12" t="s">
        <v>446</v>
      </c>
      <c r="B177" s="7" t="s">
        <v>447</v>
      </c>
      <c r="C177" s="7" t="s">
        <v>448</v>
      </c>
      <c r="D177" s="8">
        <v>30400.0</v>
      </c>
      <c r="E177" s="9">
        <v>14.0</v>
      </c>
      <c r="F177" s="10" t="str">
        <f>IFERROR(__xludf.DUMMYFUNCTION("LOWER(REGEXREPLACE(B177&amp;"" ""&amp;C177,""[^а-яa-z0-9 ]"","" ""))"),"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f>
        <v>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v>
      </c>
      <c r="G177" s="10" t="str">
        <f>IFERROR(__xludf.DUMMYFUNCTION("TEXTJOIN(""|"",TRUE,UNIQUE(FILTER(SPLIT(F177,"" ""),LEN(SPLIT(F177,"" ""))&gt;2)))"),"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f>
        <v>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v>
      </c>
      <c r="I177" s="6"/>
      <c r="J177" s="6"/>
    </row>
    <row r="178">
      <c r="A178" s="12" t="s">
        <v>449</v>
      </c>
      <c r="B178" s="7" t="s">
        <v>450</v>
      </c>
      <c r="C178" s="7" t="s">
        <v>451</v>
      </c>
      <c r="D178" s="8">
        <v>33600.0</v>
      </c>
      <c r="E178" s="9">
        <v>7.0</v>
      </c>
      <c r="F178" s="10" t="str">
        <f>IFERROR(__xludf.DUMMYFUNCTION("LOWER(REGEXREPLACE(B178&amp;"" ""&amp;C178,""[^а-яa-z0-9 ]"","" ""))"),"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f>
        <v>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v>
      </c>
      <c r="G178" s="10" t="str">
        <f>IFERROR(__xludf.DUMMYFUNCTION("TEXTJOIN(""|"",TRUE,UNIQUE(FILTER(SPLIT(F178,"" ""),LEN(SPLIT(F178,"" ""))&gt;2)))"),"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f>
        <v>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v>
      </c>
      <c r="I178" s="6"/>
      <c r="J178" s="6"/>
    </row>
    <row r="179">
      <c r="A179" s="12" t="s">
        <v>452</v>
      </c>
      <c r="B179" s="7" t="s">
        <v>453</v>
      </c>
      <c r="C179" s="7" t="s">
        <v>454</v>
      </c>
      <c r="D179" s="8">
        <v>5700.0</v>
      </c>
      <c r="E179" s="9">
        <v>14.0</v>
      </c>
      <c r="F179" s="10" t="str">
        <f>IFERROR(__xludf.DUMMYFUNCTION("LOWER(REGEXREPLACE(B179&amp;"" ""&amp;C179,""[^а-яa-z0-9 ]"","" ""))"),"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f>
        <v>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v>
      </c>
      <c r="G179" s="10" t="str">
        <f>IFERROR(__xludf.DUMMYFUNCTION("TEXTJOIN(""|"",TRUE,UNIQUE(FILTER(SPLIT(F179,"" ""),LEN(SPLIT(F179,"" ""))&gt;2)))"),"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f>
        <v>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v>
      </c>
      <c r="I179" s="6"/>
      <c r="J179" s="6"/>
    </row>
    <row r="180">
      <c r="A180" s="12" t="s">
        <v>455</v>
      </c>
      <c r="B180" s="7" t="s">
        <v>456</v>
      </c>
      <c r="C180" s="7" t="s">
        <v>457</v>
      </c>
      <c r="D180" s="8">
        <v>76000.0</v>
      </c>
      <c r="E180" s="9">
        <v>5.0</v>
      </c>
      <c r="F180" s="10" t="str">
        <f>IFERROR(__xludf.DUMMYFUNCTION("LOWER(REGEXREPLACE(B180&amp;"" ""&amp;C180,""[^а-яa-z0-9 ]"","" ""))"),"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f>
        <v>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v>
      </c>
      <c r="G180" s="10" t="str">
        <f>IFERROR(__xludf.DUMMYFUNCTION("TEXTJOIN(""|"",TRUE,UNIQUE(FILTER(SPLIT(F180,"" ""),LEN(SPLIT(F180,"" ""))&gt;2)))"),"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f>
        <v>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v>
      </c>
      <c r="I180" s="6"/>
      <c r="J180" s="6"/>
    </row>
    <row r="181">
      <c r="A181" s="12" t="s">
        <v>458</v>
      </c>
      <c r="B181" s="7" t="s">
        <v>459</v>
      </c>
      <c r="C181" s="7" t="s">
        <v>460</v>
      </c>
      <c r="D181" s="8">
        <v>68800.0</v>
      </c>
      <c r="E181" s="9">
        <v>5.0</v>
      </c>
      <c r="F181" s="10" t="str">
        <f>IFERROR(__xludf.DUMMYFUNCTION("LOWER(REGEXREPLACE(B181&amp;"" ""&amp;C181,""[^а-яa-z0-9 ]"","" ""))"),"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6"&amp;"00 мм ")</f>
        <v>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900 500 600 мм </v>
      </c>
      <c r="G181" s="10" t="str">
        <f>IFERROR(__xludf.DUMMYFUNCTION("TEXTJOIN(""|"",TRUE,UNIQUE(FILTER(SPLIT(F181,"" ""),LEN(SPLIT(F181,"" ""))&gt;2)))"),"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f>
        <v>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v>
      </c>
      <c r="I181" s="6"/>
      <c r="J181" s="6"/>
    </row>
    <row r="182">
      <c r="A182" s="12" t="s">
        <v>461</v>
      </c>
      <c r="B182" s="7" t="s">
        <v>462</v>
      </c>
      <c r="C182" s="7" t="s">
        <v>463</v>
      </c>
      <c r="D182" s="8">
        <v>47500.0</v>
      </c>
      <c r="E182" s="9">
        <v>5.0</v>
      </c>
      <c r="F182" s="10" t="str">
        <f>IFERROR(__xludf.DUMMYFUNCTION("LOWER(REGEXREPLACE(B182&amp;"" ""&amp;C182,""[^а-яa-z0-9 ]"","" ""))"),"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игр"&amp;"ы способствует развитию воображения и представлений о транспорте   онструкция рассчитана на многократное использование ")</f>
        <v>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игры способствует развитию воображения и представлений о транспорте   онструкция рассчитана на многократное использование </v>
      </c>
      <c r="G182" s="10" t="str">
        <f>IFERROR(__xludf.DUMMYFUNCTION("TEXTJOIN(""|"",TRUE,UNIQUE(FILTER(SPLIT(F182,"" ""),LEN(SPLIT(F182,"" ""))&gt;2)))"),"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amp;"азвитию|воображения|представлений|транспорте|онструкция|рассчитана|многократное|использование")</f>
        <v>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азвитию|воображения|представлений|транспорте|онструкция|рассчитана|многократное|использование</v>
      </c>
      <c r="I182" s="6"/>
      <c r="J182" s="6"/>
    </row>
    <row r="183">
      <c r="A183" s="12" t="s">
        <v>464</v>
      </c>
      <c r="B183" s="7" t="s">
        <v>465</v>
      </c>
      <c r="C183" s="7" t="s">
        <v>107</v>
      </c>
      <c r="D183" s="8">
        <v>1400.0</v>
      </c>
      <c r="E183" s="9">
        <v>1.0</v>
      </c>
      <c r="F183" s="10" t="str">
        <f>IFERROR(__xludf.DUMMYFUNCTION("LOWER(REGEXREPLACE(B183&amp;"" ""&amp;C183,""[^а-яa-z0-9 ]"","" ""))"),"   ылды  бояма     л к    мная  раскраска   аскрась по коду   ранспорт  енаги   ")</f>
        <v>   ылды  бояма     л к    мная  раскраска   аскрась по коду   ранспорт  енаги   </v>
      </c>
      <c r="G183" s="10" t="str">
        <f>IFERROR(__xludf.DUMMYFUNCTION("TEXTJOIN(""|"",TRUE,UNIQUE(FILTER(SPLIT(F183,"" ""),LEN(SPLIT(F183,"" ""))&gt;2)))"),"ылды|бояма|мная|раскраска|аскрась|коду|ранспорт|енаги")</f>
        <v>ылды|бояма|мная|раскраска|аскрась|коду|ранспорт|енаги</v>
      </c>
      <c r="I183" s="6"/>
      <c r="J183" s="6"/>
    </row>
    <row r="184">
      <c r="A184" s="12" t="s">
        <v>466</v>
      </c>
      <c r="B184" s="7" t="s">
        <v>467</v>
      </c>
      <c r="C184" s="7" t="s">
        <v>468</v>
      </c>
      <c r="D184" s="8">
        <v>11000.0</v>
      </c>
      <c r="E184" s="9">
        <v>1.0</v>
      </c>
      <c r="F184" s="10" t="str">
        <f>IFERROR(__xludf.DUMMYFUNCTION("LOWER(REGEXREPLACE(B184&amp;"" ""&amp;C184,""[^а-яa-z0-9 ]"","" ""))")," бай   ара с здер  бай   брагим   унанбаев")</f>
        <v> бай   ара с здер  бай   брагим   унанбаев</v>
      </c>
      <c r="G184" s="10" t="str">
        <f>IFERROR(__xludf.DUMMYFUNCTION("TEXTJOIN(""|"",TRUE,UNIQUE(FILTER(SPLIT(F184,"" ""),LEN(SPLIT(F184,"" ""))&gt;2)))"),"бай|ара|здер|бай|брагим|унанбаев")</f>
        <v>бай|ара|здер|бай|брагим|унанбаев</v>
      </c>
      <c r="I184" s="6"/>
      <c r="J184" s="6"/>
    </row>
    <row r="185">
      <c r="A185" s="12" t="s">
        <v>469</v>
      </c>
      <c r="B185" s="7" t="s">
        <v>470</v>
      </c>
      <c r="C185" s="7" t="s">
        <v>471</v>
      </c>
      <c r="D185" s="8">
        <v>22700.0</v>
      </c>
      <c r="E185" s="9">
        <v>5.0</v>
      </c>
      <c r="F185" s="10" t="str">
        <f>IFERROR(__xludf.DUMMYFUNCTION("LOWER(REGEXREPLACE(B185&amp;"" ""&amp;C185,""[^а-яa-z0-9 ]"","" ""))"),"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а"&amp;"ксессуаров   пособствует развитию воображения  социальных и коммуникативных навыков ")</f>
        <v>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аксессуаров   пособствует развитию воображения  социальных и коммуникативных навыков </v>
      </c>
      <c r="G185" s="10" t="str">
        <f>IFERROR(__xludf.DUMMYFUNCTION("TEXTJOIN(""|"",TRUE,UNIQUE(FILTER(SPLIT(F185,"" ""),LEN(SPLIT(F185,"" ""))&gt;2)))"),"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amp;"азвитию|воображения|социальных|коммуникативных|навыков")</f>
        <v>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азвитию|воображения|социальных|коммуникативных|навыков</v>
      </c>
      <c r="I185" s="6"/>
      <c r="J185" s="6"/>
    </row>
    <row r="186">
      <c r="A186" s="12" t="s">
        <v>472</v>
      </c>
      <c r="B186" s="7" t="s">
        <v>473</v>
      </c>
      <c r="C186" s="7" t="s">
        <v>474</v>
      </c>
      <c r="D186" s="8">
        <v>66400.0</v>
      </c>
      <c r="E186" s="9">
        <v>5.0</v>
      </c>
      <c r="F186" s="10" t="str">
        <f>IFERROR(__xludf.DUMMYFUNCTION("LOWER(REGEXREPLACE(B186&amp;"" ""&amp;C186,""[^а-яa-z0-9 ]"","" ""))"),"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f>
        <v>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v>
      </c>
      <c r="G186" s="10" t="str">
        <f>IFERROR(__xludf.DUMMYFUNCTION("TEXTJOIN(""|"",TRUE,UNIQUE(FILTER(SPLIT(F186,"" ""),LEN(SPLIT(F186,"" ""))&gt;2)))"),"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f>
        <v>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v>
      </c>
      <c r="I186" s="6"/>
      <c r="J186" s="6"/>
    </row>
    <row r="187">
      <c r="A187" s="12" t="s">
        <v>475</v>
      </c>
      <c r="B187" s="7" t="s">
        <v>476</v>
      </c>
      <c r="C187" s="7" t="s">
        <v>477</v>
      </c>
      <c r="D187" s="8">
        <v>27600.0</v>
      </c>
      <c r="E187" s="9">
        <v>10.0</v>
      </c>
      <c r="F187" s="10" t="str">
        <f>IFERROR(__xludf.DUMMYFUNCTION("LOWER(REGEXREPLACE(B187&amp;"" ""&amp;C187,""[^а-яa-z0-9 ]"","" ""))"),"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"&amp;"и позволяет собрать до 15 проектов   атериал изготовления   полимер ")</f>
        <v>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и позволяет собрать до 15 проектов   атериал изготовления   полимер </v>
      </c>
      <c r="G187" s="10" t="str">
        <f>IFERROR(__xludf.DUMMYFUNCTION("TEXTJOIN(""|"",TRUE,UNIQUE(FILTER(SPLIT(F187,"" ""),LEN(SPLIT(F187,"" ""))&gt;2)))"),"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amp;"ть|проектов|атериал|изготовления|полимер")</f>
        <v>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ть|проектов|атериал|изготовления|полимер</v>
      </c>
      <c r="I187" s="6"/>
      <c r="J187" s="6"/>
    </row>
    <row r="188">
      <c r="A188" s="12" t="s">
        <v>478</v>
      </c>
      <c r="B188" s="7" t="s">
        <v>479</v>
      </c>
      <c r="C188" s="7" t="s">
        <v>480</v>
      </c>
      <c r="D188" s="8">
        <v>84600.0</v>
      </c>
      <c r="E188" s="9">
        <v>7.0</v>
      </c>
      <c r="F188" s="10" t="str">
        <f>IFERROR(__xludf.DUMMYFUNCTION("LOWER(REGEXREPLACE(B188&amp;"" ""&amp;C188,""[^а-яa-z0-9 ]"","" ""))"),"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ст"&amp;"ильных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столо"&amp;"вую и спальню  оформленные в красочном стиле комплект легко складывать    комплекте  дом  кукла  питомец  мебель и множество тематических аксессуаров ")</f>
        <v>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комплекте  дом  кукла  питомец  мебель и множество тематических аксессуаров </v>
      </c>
      <c r="G188" s="10" t="str">
        <f>IFERROR(__xludf.DUMMYFUNCTION("TEXTJOIN(""|"",TRUE,UNIQUE(FILTER(SPLIT(F188,"" ""),LEN(SPLIT(F188,"" ""))&gt;2)))"),"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amp;"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amp;"т|легко|складывать|комплекте|дом|кукла|питомец|мебель|множество|тематических|аксессуаров")</f>
        <v>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т|легко|складывать|комплекте|дом|кукла|питомец|мебель|множество|тематических|аксессуаров</v>
      </c>
      <c r="I188" s="6"/>
      <c r="J188" s="6"/>
    </row>
    <row r="189">
      <c r="A189" s="12" t="s">
        <v>481</v>
      </c>
      <c r="B189" s="7" t="s">
        <v>482</v>
      </c>
      <c r="C189" s="7" t="s">
        <v>483</v>
      </c>
      <c r="D189" s="8">
        <v>9500.0</v>
      </c>
      <c r="E189" s="9">
        <v>5.0</v>
      </c>
      <c r="F189" s="10" t="str">
        <f>IFERROR(__xludf.DUMMYFUNCTION("LOWER(REGEXREPLACE(B189&amp;"" ""&amp;C189,""[^а-яa-z0-9 ]"","" ""))"),"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f>
        <v>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v>
      </c>
      <c r="G189" s="10" t="str">
        <f>IFERROR(__xludf.DUMMYFUNCTION("TEXTJOIN(""|"",TRUE,UNIQUE(FILTER(SPLIT(F189,"" ""),LEN(SPLIT(F189,"" ""))&gt;2)))"),"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f>
        <v>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v>
      </c>
      <c r="I189" s="6"/>
      <c r="J189" s="6"/>
    </row>
    <row r="190">
      <c r="A190" s="12" t="s">
        <v>484</v>
      </c>
      <c r="B190" s="7" t="s">
        <v>485</v>
      </c>
      <c r="C190" s="7" t="s">
        <v>486</v>
      </c>
      <c r="D190" s="8">
        <v>10500.0</v>
      </c>
      <c r="E190" s="9">
        <v>5.0</v>
      </c>
      <c r="F190" s="10" t="str">
        <f>IFERROR(__xludf.DUMMYFUNCTION("LOWER(REGEXREPLACE(B190&amp;"" ""&amp;C190,""[^а-яa-z0-9 ]"","" ""))"),"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f>
        <v>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v>
      </c>
      <c r="G190" s="10" t="str">
        <f>IFERROR(__xludf.DUMMYFUNCTION("TEXTJOIN(""|"",TRUE,UNIQUE(FILTER(SPLIT(F190,"" ""),LEN(SPLIT(F190,"" ""))&gt;2)))"),"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f>
        <v>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v>
      </c>
      <c r="I190" s="6"/>
      <c r="J190" s="6"/>
    </row>
    <row r="191">
      <c r="A191" s="12" t="s">
        <v>487</v>
      </c>
      <c r="B191" s="7" t="s">
        <v>488</v>
      </c>
      <c r="C191" s="7" t="s">
        <v>489</v>
      </c>
      <c r="D191" s="8">
        <v>14600.0</v>
      </c>
      <c r="E191" s="9">
        <v>7.0</v>
      </c>
      <c r="F191" s="10" t="str">
        <f>IFERROR(__xludf.DUMMYFUNCTION("LOWER(REGEXREPLACE(B191&amp;"" ""&amp;C191,""[^а-яa-z0-9 ]"","" ""))"),"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f>
        <v>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v>
      </c>
      <c r="G191" s="10" t="str">
        <f>IFERROR(__xludf.DUMMYFUNCTION("TEXTJOIN(""|"",TRUE,UNIQUE(FILTER(SPLIT(F191,"" ""),LEN(SPLIT(F191,"" ""))&gt;2)))"),"гровой|набор|октор|гровой|набор|используется|для|сюжетно|ролевых|игр|тему|медицинской|помощи|ключает|игровые|инструменты|врача|атериал|изготовления|пластик")</f>
        <v>гровой|набор|октор|гровой|набор|используется|для|сюжетно|ролевых|игр|тему|медицинской|помощи|ключает|игровые|инструменты|врача|атериал|изготовления|пластик</v>
      </c>
      <c r="I191" s="6"/>
      <c r="J191" s="6"/>
    </row>
    <row r="192">
      <c r="A192" s="12" t="s">
        <v>490</v>
      </c>
      <c r="B192" s="7" t="s">
        <v>491</v>
      </c>
      <c r="C192" s="7" t="s">
        <v>492</v>
      </c>
      <c r="D192" s="8">
        <v>34000.0</v>
      </c>
      <c r="E192" s="9">
        <v>5.0</v>
      </c>
      <c r="F192" s="10" t="str">
        <f>IFERROR(__xludf.DUMMYFUNCTION("LOWER(REGEXREPLACE(B192&amp;"" ""&amp;C192,""[^а-яa-z0-9 ]"","" ""))"),"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развит"&amp;"ия социальных навыков  речи и элементарных математических представлений ")</f>
        <v>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развития социальных навыков  речи и элементарных математических представлений </v>
      </c>
      <c r="G192" s="10" t="str">
        <f>IFERROR(__xludf.DUMMYFUNCTION("TEXTJOIN(""|"",TRUE,UNIQUE(FILTER(SPLIT(F192,"" ""),LEN(SPLIT(F192,"" ""))&gt;2)))"),"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amp;"элементарных|математических|представлений")</f>
        <v>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элементарных|математических|представлений</v>
      </c>
      <c r="I192" s="6"/>
      <c r="J192" s="6"/>
    </row>
    <row r="193">
      <c r="A193" s="12" t="s">
        <v>493</v>
      </c>
      <c r="B193" s="7" t="s">
        <v>494</v>
      </c>
      <c r="C193" s="7" t="s">
        <v>495</v>
      </c>
      <c r="D193" s="8">
        <v>8500.0</v>
      </c>
      <c r="E193" s="9">
        <v>5.0</v>
      </c>
      <c r="F193" s="10" t="str">
        <f>IFERROR(__xludf.DUMMYFUNCTION("LOWER(REGEXREPLACE(B193&amp;"" ""&amp;C193,""[^а-яa-z0-9 ]"","" ""))"),"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"&amp;" атериал изготовления   пластик ")</f>
        <v>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атериал изготовления   пластик </v>
      </c>
      <c r="G193" s="10" t="str">
        <f>IFERROR(__xludf.DUMMYFUNCTION("TEXTJOIN(""|"",TRUE,UNIQUE(FILTER(SPLIT(F193,"" ""),LEN(SPLIT(F193,"" ""))&gt;2)))"),"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amp;"ик")</f>
        <v>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ик</v>
      </c>
      <c r="I193" s="6"/>
      <c r="J193" s="6"/>
    </row>
    <row r="194">
      <c r="A194" s="12" t="s">
        <v>496</v>
      </c>
      <c r="B194" s="7" t="s">
        <v>497</v>
      </c>
      <c r="C194" s="7" t="s">
        <v>498</v>
      </c>
      <c r="D194" s="8">
        <v>59700.0</v>
      </c>
      <c r="E194" s="9">
        <v>5.0</v>
      </c>
      <c r="F194" s="10" t="str">
        <f>IFERROR(__xludf.DUMMYFUNCTION("LOWER(REGEXREPLACE(B194&amp;"" ""&amp;C194,""[^а-яa-z0-9 ]"","" ""))"),"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f>
        <v>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v>
      </c>
      <c r="G194" s="10" t="str">
        <f>IFERROR(__xludf.DUMMYFUNCTION("TEXTJOIN(""|"",TRUE,UNIQUE(FILTER(SPLIT(F194,"" ""),LEN(SPLIT(F194,"" ""))&gt;2)))"),"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f>
        <v>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v>
      </c>
      <c r="I194" s="6"/>
      <c r="J194" s="6"/>
    </row>
    <row r="195">
      <c r="A195" s="12" t="s">
        <v>499</v>
      </c>
      <c r="B195" s="7" t="s">
        <v>500</v>
      </c>
      <c r="C195" s="7" t="s">
        <v>468</v>
      </c>
      <c r="D195" s="8">
        <v>11000.0</v>
      </c>
      <c r="E195" s="9">
        <v>1.0</v>
      </c>
      <c r="F195" s="10" t="str">
        <f>IFERROR(__xludf.DUMMYFUNCTION("LOWER(REGEXREPLACE(B195&amp;"" ""&amp;C195,""[^а-яa-z0-9 ]"","" ""))")," бай   лова назидания  бай   брагим   унанбаев")</f>
        <v> бай   лова назидания  бай   брагим   унанбаев</v>
      </c>
      <c r="G195" s="10" t="str">
        <f>IFERROR(__xludf.DUMMYFUNCTION("TEXTJOIN(""|"",TRUE,UNIQUE(FILTER(SPLIT(F195,"" ""),LEN(SPLIT(F195,"" ""))&gt;2)))"),"бай|лова|назидания|бай|брагим|унанбаев")</f>
        <v>бай|лова|назидания|бай|брагим|унанбаев</v>
      </c>
      <c r="I195" s="6"/>
      <c r="J195" s="6"/>
    </row>
    <row r="196">
      <c r="A196" s="12" t="s">
        <v>501</v>
      </c>
      <c r="B196" s="7" t="s">
        <v>502</v>
      </c>
      <c r="C196" s="7" t="s">
        <v>503</v>
      </c>
      <c r="D196" s="8">
        <v>18300.0</v>
      </c>
      <c r="E196" s="9">
        <v>5.0</v>
      </c>
      <c r="F196" s="10" t="str">
        <f>IFERROR(__xludf.DUMMYFUNCTION("LOWER(REGEXREPLACE(B196&amp;"" ""&amp;C196,""[^а-яa-z0-9 ]"","" ""))"),"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плас"&amp;"тик ")</f>
        <v>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пластик </v>
      </c>
      <c r="G196" s="10" t="str">
        <f>IFERROR(__xludf.DUMMYFUNCTION("TEXTJOIN(""|"",TRUE,UNIQUE(FILTER(SPLIT(F196,"" ""),LEN(SPLIT(F196,"" ""))&gt;2)))"),"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f>
        <v>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v>
      </c>
      <c r="I196" s="6"/>
      <c r="J196" s="6"/>
    </row>
    <row r="197">
      <c r="A197" s="12" t="s">
        <v>504</v>
      </c>
      <c r="B197" s="7" t="s">
        <v>505</v>
      </c>
      <c r="C197" s="7" t="s">
        <v>506</v>
      </c>
      <c r="D197" s="8">
        <v>118600.0</v>
      </c>
      <c r="E197" s="9">
        <v>12.0</v>
      </c>
      <c r="F197" s="10" t="str">
        <f>IFERROR(__xludf.DUMMYFUNCTION("LOWER(REGEXREPLACE(B197&amp;"" ""&amp;C197,""[^а-яa-z0-9 ]"","" ""))"),"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деятель"&amp;"ность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f>
        <v>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v>
      </c>
      <c r="G197" s="10" t="str">
        <f>IFERROR(__xludf.DUMMYFUNCTION("TEXTJOIN(""|"",TRUE,UNIQUE(FILTER(SPLIT(F197,"" ""),LEN(SPLIT(F197,"" ""))&gt;2)))"),"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amp;"|координации|движений|навыков|сюжетно|ролевой|игры|кухня|кафе|омплект|включает|менее|элементов|атериал|изготовления|дерево")</f>
        <v>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координации|движений|навыков|сюжетно|ролевой|игры|кухня|кафе|омплект|включает|менее|элементов|атериал|изготовления|дерево</v>
      </c>
      <c r="I197" s="6"/>
      <c r="J197" s="6"/>
    </row>
    <row r="198">
      <c r="A198" s="12" t="s">
        <v>507</v>
      </c>
      <c r="B198" s="7" t="s">
        <v>508</v>
      </c>
      <c r="C198" s="7" t="s">
        <v>509</v>
      </c>
      <c r="D198" s="8">
        <v>7400.0</v>
      </c>
      <c r="E198" s="9">
        <v>5.0</v>
      </c>
      <c r="F198" s="10" t="str">
        <f>IFERROR(__xludf.DUMMYFUNCTION("LOWER(REGEXREPLACE(B198&amp;"" ""&amp;C198,""[^а-яa-z0-9 ]"","" ""))"),"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атериа"&amp;"л изготовления   пластик ")</f>
        <v>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атериал изготовления   пластик </v>
      </c>
      <c r="G198" s="10" t="str">
        <f>IFERROR(__xludf.DUMMYFUNCTION("TEXTJOIN(""|"",TRUE,UNIQUE(FILTER(SPLIT(F198,"" ""),LEN(SPLIT(F198,"" ""))&gt;2)))"),"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f>
        <v>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v>
      </c>
      <c r="I198" s="6"/>
      <c r="J198" s="6"/>
    </row>
    <row r="199">
      <c r="A199" s="12" t="s">
        <v>510</v>
      </c>
      <c r="B199" s="7" t="s">
        <v>511</v>
      </c>
      <c r="C199" s="7" t="s">
        <v>512</v>
      </c>
      <c r="D199" s="8">
        <v>17100.0</v>
      </c>
      <c r="E199" s="9">
        <v>5.0</v>
      </c>
      <c r="F199" s="10" t="str">
        <f>IFERROR(__xludf.DUMMYFUNCTION("LOWER(REGEXREPLACE(B199&amp;"" ""&amp;C199,""[^а-яa-z0-9 ]"","" ""))"),"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f>
        <v>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v>
      </c>
      <c r="G199" s="10" t="str">
        <f>IFERROR(__xludf.DUMMYFUNCTION("TEXTJOIN(""|"",TRUE,UNIQUE(FILTER(SPLIT(F199,"" ""),LEN(SPLIT(F199,"" ""))&gt;2)))"),"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f>
        <v>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v>
      </c>
      <c r="I199" s="6"/>
      <c r="J199" s="6"/>
    </row>
    <row r="200">
      <c r="A200" s="12" t="s">
        <v>513</v>
      </c>
      <c r="B200" s="7" t="s">
        <v>514</v>
      </c>
      <c r="C200" s="7" t="s">
        <v>515</v>
      </c>
      <c r="D200" s="8">
        <v>14200.0</v>
      </c>
      <c r="E200" s="9">
        <v>12.0</v>
      </c>
      <c r="F200" s="10" t="str">
        <f>IFERROR(__xludf.DUMMYFUNCTION("LOWER(REGEXREPLACE(B200&amp;"" ""&amp;C200,""[^а-яa-z0-9 ]"","" ""))"),"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предме"&amp;"тов   около 75   атериал   пластик ")</f>
        <v>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предметов   около 75   атериал   пластик </v>
      </c>
      <c r="G200" s="10" t="str">
        <f>IFERROR(__xludf.DUMMYFUNCTION("TEXTJOIN(""|"",TRUE,UNIQUE(FILTER(SPLIT(F200,"" ""),LEN(SPLIT(F200,"" ""))&gt;2)))"),"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f>
        <v>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v>
      </c>
      <c r="I200" s="6"/>
      <c r="J200" s="6"/>
    </row>
    <row r="201">
      <c r="A201" s="12" t="s">
        <v>516</v>
      </c>
      <c r="B201" s="7" t="s">
        <v>517</v>
      </c>
      <c r="C201" s="7" t="s">
        <v>518</v>
      </c>
      <c r="D201" s="8">
        <v>52400.0</v>
      </c>
      <c r="E201" s="9">
        <v>10.0</v>
      </c>
      <c r="F201" s="10" t="str">
        <f>IFERROR(__xludf.DUMMYFUNCTION("LOWER(REGEXREPLACE(B201&amp;"" ""&amp;C201,""[^а-яa-z0-9 ]"","" ""))"),"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f>
        <v>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v>
      </c>
      <c r="G201" s="10" t="str">
        <f>IFERROR(__xludf.DUMMYFUNCTION("TEXTJOIN(""|"",TRUE,UNIQUE(FILTER(SPLIT(F201,"" ""),LEN(SPLIT(F201,"" ""))&gt;2)))"),"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f>
        <v>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v>
      </c>
      <c r="I201" s="6"/>
      <c r="J201" s="6"/>
    </row>
    <row r="202">
      <c r="A202" s="12" t="s">
        <v>519</v>
      </c>
      <c r="B202" s="7" t="s">
        <v>520</v>
      </c>
      <c r="C202" s="7" t="s">
        <v>521</v>
      </c>
      <c r="D202" s="8">
        <v>7500.0</v>
      </c>
      <c r="E202" s="9">
        <v>5.0</v>
      </c>
      <c r="F202" s="10" t="str">
        <f>IFERROR(__xludf.DUMMYFUNCTION("LOWER(REGEXREPLACE(B202&amp;"" ""&amp;C202,""[^а-яa-z0-9 ]"","" ""))"),"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f>
        <v>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v>
      </c>
      <c r="G202" s="10" t="str">
        <f>IFERROR(__xludf.DUMMYFUNCTION("TEXTJOIN(""|"",TRUE,UNIQUE(FILTER(SPLIT(F202,"" ""),LEN(SPLIT(F202,"" ""))&gt;2)))"),"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f>
        <v>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v>
      </c>
      <c r="I202" s="6"/>
      <c r="J202" s="6"/>
    </row>
    <row r="203">
      <c r="A203" s="12" t="s">
        <v>522</v>
      </c>
      <c r="B203" s="7" t="s">
        <v>523</v>
      </c>
      <c r="C203" s="7" t="s">
        <v>524</v>
      </c>
      <c r="D203" s="8">
        <v>23800.0</v>
      </c>
      <c r="E203" s="9">
        <v>5.0</v>
      </c>
      <c r="F203" s="10" t="str">
        <f>IFERROR(__xludf.DUMMYFUNCTION("LOWER(REGEXREPLACE(B203&amp;"" ""&amp;C203,""[^а-яa-z0-9 ]"","" ""))"),"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окол"&amp;"о 30 предметов ")</f>
        <v>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около 30 предметов </v>
      </c>
      <c r="G203" s="10" t="str">
        <f>IFERROR(__xludf.DUMMYFUNCTION("TEXTJOIN(""|"",TRUE,UNIQUE(FILTER(SPLIT(F203,"" ""),LEN(SPLIT(F203,"" ""))&gt;2)))"),"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f>
        <v>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v>
      </c>
      <c r="I203" s="6"/>
      <c r="J203" s="6"/>
    </row>
    <row r="204">
      <c r="A204" s="12" t="s">
        <v>525</v>
      </c>
      <c r="B204" s="7" t="s">
        <v>526</v>
      </c>
      <c r="C204" s="7" t="s">
        <v>527</v>
      </c>
      <c r="D204" s="8">
        <v>19000.0</v>
      </c>
      <c r="E204" s="9">
        <v>5.0</v>
      </c>
      <c r="F204" s="10" t="str">
        <f>IFERROR(__xludf.DUMMYFUNCTION("LOWER(REGEXREPLACE(B204&amp;"" ""&amp;C204,""[^а-яa-z0-9 ]"","" ""))"),"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f>
        <v>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v>
      </c>
      <c r="G204" s="10" t="str">
        <f>IFERROR(__xludf.DUMMYFUNCTION("TEXTJOIN(""|"",TRUE,UNIQUE(FILTER(SPLIT(F204,"" ""),LEN(SPLIT(F204,"" ""))&gt;2)))"),"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f>
        <v>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v>
      </c>
      <c r="I204" s="6"/>
      <c r="J204" s="6"/>
    </row>
    <row r="205">
      <c r="A205" s="12" t="s">
        <v>528</v>
      </c>
      <c r="B205" s="7" t="s">
        <v>529</v>
      </c>
      <c r="C205" s="7" t="s">
        <v>530</v>
      </c>
      <c r="D205" s="8">
        <v>11700.0</v>
      </c>
      <c r="E205" s="9">
        <v>14.0</v>
      </c>
      <c r="F205" s="10" t="str">
        <f>IFERROR(__xludf.DUMMYFUNCTION("LOWER(REGEXREPLACE(B205&amp;"" ""&amp;C205,""[^а-яa-z0-9 ]"","" ""))"),"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f>
        <v>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v>
      </c>
      <c r="G205" s="10" t="str">
        <f>IFERROR(__xludf.DUMMYFUNCTION("TEXTJOIN(""|"",TRUE,UNIQUE(FILTER(SPLIT(F205,"" ""),LEN(SPLIT(F205,"" ""))&gt;2)))"),"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f>
        <v>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v>
      </c>
      <c r="I205" s="6"/>
      <c r="J205" s="6"/>
    </row>
    <row r="206">
      <c r="A206" s="12" t="s">
        <v>531</v>
      </c>
      <c r="B206" s="7" t="s">
        <v>532</v>
      </c>
      <c r="C206" s="7" t="s">
        <v>533</v>
      </c>
      <c r="D206" s="8">
        <v>9000.0</v>
      </c>
      <c r="E206" s="9">
        <v>1.0</v>
      </c>
      <c r="F206" s="10" t="str">
        <f>IFERROR(__xludf.DUMMYFUNCTION("LOWER(REGEXREPLACE(B206&amp;"" ""&amp;C206,""[^а-яa-z0-9 ]"","" ""))")," дам денесi   алы тырмайтын анатомия  одригес  ида  ")</f>
        <v> дам денесi   алы тырмайтын анатомия  одригес  ида  </v>
      </c>
      <c r="G206" s="10" t="str">
        <f>IFERROR(__xludf.DUMMYFUNCTION("TEXTJOIN(""|"",TRUE,UNIQUE(FILTER(SPLIT(F206,"" ""),LEN(SPLIT(F206,"" ""))&gt;2)))"),"дам|денесi|алы|тырмайтын|анатомия|одригес|ида")</f>
        <v>дам|денесi|алы|тырмайтын|анатомия|одригес|ида</v>
      </c>
      <c r="I206" s="6"/>
      <c r="J206" s="6"/>
    </row>
    <row r="207">
      <c r="A207" s="12" t="s">
        <v>534</v>
      </c>
      <c r="B207" s="7" t="s">
        <v>535</v>
      </c>
      <c r="C207" s="7" t="s">
        <v>536</v>
      </c>
      <c r="D207" s="8">
        <v>7600.0</v>
      </c>
      <c r="E207" s="9">
        <v>1.0</v>
      </c>
      <c r="F207" s="10" t="str">
        <f>IFERROR(__xludf.DUMMYFUNCTION("LOWER(REGEXREPLACE(B207&amp;"" ""&amp;C207,""[^а-яa-z0-9 ]"","" ""))"),"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f>
        <v>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v>
      </c>
      <c r="G207" s="10" t="str">
        <f>IFERROR(__xludf.DUMMYFUNCTION("TEXTJOIN(""|"",TRUE,UNIQUE(FILTER(SPLIT(F207,"" ""),LEN(SPLIT(F207,"" ""))&gt;2)))"),"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f>
        <v>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v>
      </c>
      <c r="I207" s="6"/>
      <c r="J207" s="6"/>
    </row>
    <row r="208">
      <c r="A208" s="12" t="s">
        <v>537</v>
      </c>
      <c r="B208" s="7" t="s">
        <v>538</v>
      </c>
      <c r="C208" s="7" t="s">
        <v>539</v>
      </c>
      <c r="D208" s="8">
        <v>7600.0</v>
      </c>
      <c r="E208" s="9">
        <v>1.0</v>
      </c>
      <c r="F208" s="10" t="str">
        <f>IFERROR(__xludf.DUMMYFUNCTION("LOWER(REGEXREPLACE(B208&amp;"" ""&amp;C208,""[^а-яa-z0-9 ]"","" ""))"),"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f>
        <v>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v>
      </c>
      <c r="G208" s="10" t="str">
        <f>IFERROR(__xludf.DUMMYFUNCTION("TEXTJOIN(""|"",TRUE,UNIQUE(FILTER(SPLIT(F208,"" ""),LEN(SPLIT(F208,"" ""))&gt;2)))"),"гровой|пазл|форме|машинки|грушка|выполнена|форме|машинки|набором|фигур|процессе|игры|выполняется|сборка|разборка|элементов|атериал|изготовления|дерево")</f>
        <v>гровой|пазл|форме|машинки|грушка|выполнена|форме|машинки|набором|фигур|процессе|игры|выполняется|сборка|разборка|элементов|атериал|изготовления|дерево</v>
      </c>
      <c r="I208" s="6"/>
      <c r="J208" s="6"/>
    </row>
    <row r="209">
      <c r="A209" s="12" t="s">
        <v>540</v>
      </c>
      <c r="B209" s="7" t="s">
        <v>541</v>
      </c>
      <c r="C209" s="7" t="s">
        <v>542</v>
      </c>
      <c r="D209" s="8">
        <v>37400.0</v>
      </c>
      <c r="E209" s="9">
        <v>5.0</v>
      </c>
      <c r="F209" s="10" t="str">
        <f>IFERROR(__xludf.DUMMYFUNCTION("LOWER(REGEXREPLACE(B209&amp;"" ""&amp;C209,""[^а-яa-z0-9 ]"","" ""))"),"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f>
        <v>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v>
      </c>
      <c r="G209" s="10" t="str">
        <f>IFERROR(__xludf.DUMMYFUNCTION("TEXTJOIN(""|"",TRUE,UNIQUE(FILTER(SPLIT(F209,"" ""),LEN(SPLIT(F209,"" ""))&gt;2)))"),"гровые|фигурки|диких|животных|абор|включает|фигурки|диких|животных|спользуется|для|сюжетных|игр|тематических|занятий|комплект|входит|менее|фигурок")</f>
        <v>гровые|фигурки|диких|животных|абор|включает|фигурки|диких|животных|спользуется|для|сюжетных|игр|тематических|занятий|комплект|входит|менее|фигурок</v>
      </c>
      <c r="I209" s="6"/>
      <c r="J209" s="6"/>
    </row>
    <row r="210">
      <c r="A210" s="12" t="s">
        <v>543</v>
      </c>
      <c r="B210" s="7" t="s">
        <v>544</v>
      </c>
      <c r="C210" s="7" t="s">
        <v>545</v>
      </c>
      <c r="D210" s="8">
        <v>22800.0</v>
      </c>
      <c r="E210" s="9">
        <v>7.0</v>
      </c>
      <c r="F210" s="10" t="str">
        <f>IFERROR(__xludf.DUMMYFUNCTION("LOWER(REGEXREPLACE(B210&amp;"" ""&amp;C210,""[^а-яa-z0-9 ]"","" ""))"),"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f>
        <v>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v>
      </c>
      <c r="G210" s="10" t="str">
        <f>IFERROR(__xludf.DUMMYFUNCTION("TEXTJOIN(""|"",TRUE,UNIQUE(FILTER(SPLIT(F210,"" ""),LEN(SPLIT(F210,"" ""))&gt;2)))"),"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f>
        <v>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v>
      </c>
      <c r="I210" s="6"/>
      <c r="J210" s="6"/>
    </row>
    <row r="211">
      <c r="A211" s="12" t="s">
        <v>546</v>
      </c>
      <c r="B211" s="7" t="s">
        <v>547</v>
      </c>
      <c r="C211" s="7" t="s">
        <v>548</v>
      </c>
      <c r="D211" s="8">
        <v>20300.0</v>
      </c>
      <c r="E211" s="9">
        <v>5.0</v>
      </c>
      <c r="F211" s="10" t="str">
        <f>IFERROR(__xludf.DUMMYFUNCTION("LOWER(REGEXREPLACE(B211&amp;"" ""&amp;C211,""[^а-яa-z0-9 ]"","" ""))"),"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f>
        <v>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v>
      </c>
      <c r="G211" s="10" t="str">
        <f>IFERROR(__xludf.DUMMYFUNCTION("TEXTJOIN(""|"",TRUE,UNIQUE(FILTER(SPLIT(F211,"" ""),LEN(SPLIT(F211,"" ""))&gt;2)))"),"грушечная|ванна|для|кукол|ксессуар|предназначен|для|сюжетно|ролевых|игр|куклами|спользуется|для|имитации|гигиенических|процедур|атериал|изготовления|пластик")</f>
        <v>грушечная|ванна|для|кукол|ксессуар|предназначен|для|сюжетно|ролевых|игр|куклами|спользуется|для|имитации|гигиенических|процедур|атериал|изготовления|пластик</v>
      </c>
      <c r="I211" s="6"/>
      <c r="J211" s="6"/>
    </row>
    <row r="212">
      <c r="A212" s="12" t="s">
        <v>549</v>
      </c>
      <c r="B212" s="7" t="s">
        <v>550</v>
      </c>
      <c r="C212" s="7" t="s">
        <v>551</v>
      </c>
      <c r="D212" s="8">
        <v>11700.0</v>
      </c>
      <c r="E212" s="9">
        <v>175.0</v>
      </c>
      <c r="F212" s="10" t="str">
        <f>IFERROR(__xludf.DUMMYFUNCTION("LOWER(REGEXREPLACE(B212&amp;"" ""&amp;C212,""[^а-яa-z0-9 ]"","" ""))"),"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f>
        <v>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v>
      </c>
      <c r="G212" s="10" t="str">
        <f>IFERROR(__xludf.DUMMYFUNCTION("TEXTJOIN(""|"",TRUE,UNIQUE(FILTER(SPLIT(F212,"" ""),LEN(SPLIT(F212,"" ""))&gt;2)))"),"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f>
        <v>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v>
      </c>
      <c r="I212" s="6"/>
      <c r="J212" s="6"/>
    </row>
    <row r="213">
      <c r="A213" s="12" t="s">
        <v>552</v>
      </c>
      <c r="B213" s="7" t="s">
        <v>553</v>
      </c>
      <c r="C213" s="7" t="s">
        <v>554</v>
      </c>
      <c r="D213" s="8">
        <v>14100.0</v>
      </c>
      <c r="E213" s="9">
        <v>5.0</v>
      </c>
      <c r="F213" s="10" t="str">
        <f>IFERROR(__xludf.DUMMYFUNCTION("LOWER(REGEXREPLACE(B213&amp;"" ""&amp;C213,""[^а-яa-z0-9 ]"","" ""))"),"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f>
        <v>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v>
      </c>
      <c r="G213" s="10" t="str">
        <f>IFERROR(__xludf.DUMMYFUNCTION("TEXTJOIN(""|"",TRUE,UNIQUE(FILTER(SPLIT(F213,"" ""),LEN(SPLIT(F213,"" ""))&gt;2)))"),"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f>
        <v>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v>
      </c>
      <c r="I213" s="6"/>
      <c r="J213" s="6"/>
    </row>
    <row r="214">
      <c r="A214" s="12" t="s">
        <v>555</v>
      </c>
      <c r="B214" s="7" t="s">
        <v>556</v>
      </c>
      <c r="C214" s="7" t="s">
        <v>557</v>
      </c>
      <c r="D214" s="8">
        <v>32300.0</v>
      </c>
      <c r="E214" s="9">
        <v>5.0</v>
      </c>
      <c r="F214" s="10" t="str">
        <f>IFERROR(__xludf.DUMMYFUNCTION("LOWER(REGEXREPLACE(B214&amp;"" ""&amp;C214,""[^а-яa-z0-9 ]"","" ""))"),"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f>
        <v>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v>
      </c>
      <c r="G214" s="10" t="str">
        <f>IFERROR(__xludf.DUMMYFUNCTION("TEXTJOIN(""|"",TRUE,UNIQUE(FILTER(SPLIT(F214,"" ""),LEN(SPLIT(F214,"" ""))&gt;2)))"),"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f>
        <v>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v>
      </c>
      <c r="I214" s="6"/>
      <c r="J214" s="6"/>
    </row>
    <row r="215">
      <c r="A215" s="12" t="s">
        <v>558</v>
      </c>
      <c r="B215" s="7" t="s">
        <v>559</v>
      </c>
      <c r="C215" s="7" t="s">
        <v>560</v>
      </c>
      <c r="D215" s="8">
        <v>28100.0</v>
      </c>
      <c r="E215" s="9">
        <v>5.0</v>
      </c>
      <c r="F215" s="10" t="str">
        <f>IFERROR(__xludf.DUMMYFUNCTION("LOWER(REGEXREPLACE(B215&amp;"" ""&amp;C215,""[^а-яa-z0-9 ]"","" ""))"),"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"&amp;"и пространственных представлений   лина модели составляет не менее 30 см   онструкция выполнена из прочных материалов ")</f>
        <v>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и пространственных представлений   лина модели составляет не менее 30 см   онструкция выполнена из прочных материалов </v>
      </c>
      <c r="G215" s="10" t="str">
        <f>IFERROR(__xludf.DUMMYFUNCTION("TEXTJOIN(""|"",TRUE,UNIQUE(FILTER(SPLIT(F215,"" ""),LEN(SPLIT(F215,"" ""))&gt;2)))"),"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amp;"редставлений|лина|модели|составляет|менее|онструкция|выполнена|прочных|материалов")</f>
        <v>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редставлений|лина|модели|составляет|менее|онструкция|выполнена|прочных|материалов</v>
      </c>
      <c r="I215" s="6"/>
      <c r="J215" s="6"/>
    </row>
    <row r="216">
      <c r="A216" s="12" t="s">
        <v>561</v>
      </c>
      <c r="B216" s="7" t="s">
        <v>562</v>
      </c>
      <c r="C216" s="7" t="s">
        <v>563</v>
      </c>
      <c r="D216" s="8">
        <v>4600.0</v>
      </c>
      <c r="E216" s="9">
        <v>5.0</v>
      </c>
      <c r="F216" s="10" t="str">
        <f>IFERROR(__xludf.DUMMYFUNCTION("LOWER(REGEXREPLACE(B216&amp;"" ""&amp;C216,""[^а-яa-z0-9 ]"","" ""))"),"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с"&amp;"итуациям   орпус выполнен из безопасных материалов ")</f>
        <v>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ситуациям   орпус выполнен из безопасных материалов </v>
      </c>
      <c r="G216" s="10" t="str">
        <f>IFERROR(__xludf.DUMMYFUNCTION("TEXTJOIN(""|"",TRUE,UNIQUE(FILTER(SPLIT(F216,"" ""),LEN(SPLIT(F216,"" ""))&gt;2)))"),"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amp;"нен|безопасных|материалов")</f>
        <v>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нен|безопасных|материалов</v>
      </c>
      <c r="I216" s="6"/>
      <c r="J216" s="6"/>
    </row>
    <row r="217">
      <c r="A217" s="12" t="s">
        <v>564</v>
      </c>
      <c r="B217" s="7" t="s">
        <v>565</v>
      </c>
      <c r="C217" s="7"/>
      <c r="D217" s="8">
        <v>1700.0</v>
      </c>
      <c r="E217" s="9">
        <v>1.0</v>
      </c>
      <c r="F217" s="10" t="str">
        <f>IFERROR(__xludf.DUMMYFUNCTION("LOWER(REGEXREPLACE(B217&amp;"" ""&amp;C217,""[^а-яa-z0-9 ]"","" ""))")," дамдар а  алай к мектесуге болады   ак помогать людям   ow to help people  каз   рус   англ яз   ")</f>
        <v> дамдар а  алай к мектесуге болады   ак помогать людям   ow to help people  каз   рус   англ яз   </v>
      </c>
      <c r="G217" s="10" t="str">
        <f>IFERROR(__xludf.DUMMYFUNCTION("TEXTJOIN(""|"",TRUE,UNIQUE(FILTER(SPLIT(F217,"" ""),LEN(SPLIT(F217,"" ""))&gt;2)))"),"дамдар|алай|мектесуге|болады|помогать|людям|help|people|каз|рус|англ")</f>
        <v>дамдар|алай|мектесуге|болады|помогать|людям|help|people|каз|рус|англ</v>
      </c>
      <c r="I217" s="6"/>
      <c r="J217" s="6"/>
    </row>
    <row r="218">
      <c r="A218" s="12" t="s">
        <v>566</v>
      </c>
      <c r="B218" s="7" t="s">
        <v>567</v>
      </c>
      <c r="C218" s="7" t="s">
        <v>568</v>
      </c>
      <c r="D218" s="8">
        <v>27600.0</v>
      </c>
      <c r="E218" s="9">
        <v>1.0</v>
      </c>
      <c r="F218" s="10" t="str">
        <f>IFERROR(__xludf.DUMMYFUNCTION("LOWER(REGEXREPLACE(B218&amp;"" ""&amp;C218,""[^а-яa-z0-9 ]"","" ""))"),"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f>
        <v>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v>
      </c>
      <c r="G218" s="10" t="str">
        <f>IFERROR(__xludf.DUMMYFUNCTION("TEXTJOIN(""|"",TRUE,UNIQUE(FILTER(SPLIT(F218,"" ""),LEN(SPLIT(F218,"" ""))&gt;2)))"),"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f>
        <v>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v>
      </c>
      <c r="I218" s="6"/>
      <c r="J218" s="6"/>
    </row>
    <row r="219">
      <c r="A219" s="12" t="s">
        <v>569</v>
      </c>
      <c r="B219" s="12" t="s">
        <v>570</v>
      </c>
      <c r="C219" s="7" t="s">
        <v>571</v>
      </c>
      <c r="D219" s="8">
        <v>29900.0</v>
      </c>
      <c r="E219" s="9">
        <v>5.0</v>
      </c>
      <c r="F219" s="10" t="str">
        <f>IFERROR(__xludf.DUMMYFUNCTION("LOWER(REGEXREPLACE(B219&amp;"" ""&amp;C219,""[^а-яa-z0-9 ]"","" ""))"),"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f>
        <v>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v>
      </c>
      <c r="G219" s="10" t="str">
        <f>IFERROR(__xludf.DUMMYFUNCTION("TEXTJOIN(""|"",TRUE,UNIQUE(FILTER(SPLIT(F219,"" ""),LEN(SPLIT(F219,"" ""))&gt;2)))"),"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f>
        <v>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v>
      </c>
      <c r="I219" s="6"/>
      <c r="J219" s="6"/>
    </row>
    <row r="220">
      <c r="A220" s="12" t="s">
        <v>572</v>
      </c>
      <c r="B220" s="7" t="s">
        <v>573</v>
      </c>
      <c r="C220" s="7" t="s">
        <v>574</v>
      </c>
      <c r="D220" s="8">
        <v>20500.0</v>
      </c>
      <c r="E220" s="9">
        <v>5.0</v>
      </c>
      <c r="F220" s="10" t="str">
        <f>IFERROR(__xludf.DUMMYFUNCTION("LOWER(REGEXREPLACE(B220&amp;"" ""&amp;C220,""[^а-яa-z0-9 ]"","" ""))"),"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переме"&amp;"щению и имитации работы техники   зделие выполнено из пластика и рассчитано на игровое использование ")</f>
        <v>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перемещению и имитации работы техники   зделие выполнено из пластика и рассчитано на игровое использование </v>
      </c>
      <c r="G220" s="10" t="str">
        <f>IFERROR(__xludf.DUMMYFUNCTION("TEXTJOIN(""|"",TRUE,UNIQUE(FILTER(SPLIT(F220,"" ""),LEN(SPLIT(F220,"" ""))&gt;2)))"),"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amp;"ехники|зделие|выполнено|пластика|рассчитано|игровое|использование")</f>
        <v>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ехники|зделие|выполнено|пластика|рассчитано|игровое|использование</v>
      </c>
      <c r="I220" s="6"/>
      <c r="J220" s="6"/>
    </row>
    <row r="221">
      <c r="A221" s="12" t="s">
        <v>575</v>
      </c>
      <c r="B221" s="7" t="s">
        <v>576</v>
      </c>
      <c r="C221" s="7" t="s">
        <v>577</v>
      </c>
      <c r="D221" s="8">
        <v>18600.0</v>
      </c>
      <c r="E221" s="9">
        <v>7.0</v>
      </c>
      <c r="F221" s="10" t="str">
        <f>IFERROR(__xludf.DUMMYFUNCTION("LOWER(REGEXREPLACE(B221&amp;"" ""&amp;C221,""[^а-яa-z0-9 ]"","" ""))"),"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вокру"&amp;"г детей   огда ребенок читает  у него возникает очень ситуативное чувство замены ")</f>
        <v>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вокруг детей   огда ребенок читает  у него возникает очень ситуативное чувство замены </v>
      </c>
      <c r="G221" s="10" t="str">
        <f>IFERROR(__xludf.DUMMYFUNCTION("TEXTJOIN(""|"",TRUE,UNIQUE(FILTER(SPLIT(F221,"" ""),LEN(SPLIT(F221,"" ""))&gt;2)))"),"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amp;"чень|ситуативное|чувство|замены")</f>
        <v>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чень|ситуативное|чувство|замены</v>
      </c>
      <c r="I221" s="6"/>
      <c r="J221" s="6"/>
    </row>
    <row r="222">
      <c r="A222" s="12" t="s">
        <v>578</v>
      </c>
      <c r="B222" s="7" t="s">
        <v>579</v>
      </c>
      <c r="C222" s="7" t="s">
        <v>580</v>
      </c>
      <c r="D222" s="8">
        <v>2000.0</v>
      </c>
      <c r="E222" s="9">
        <v>35.0</v>
      </c>
      <c r="F222" s="10" t="str">
        <f>IFERROR(__xludf.DUMMYFUNCTION("LOWER(REGEXREPLACE(B222&amp;"" ""&amp;C222,""[^а-яa-z0-9 ]"","" ""))")," грушка забава  грушка используется для свободной игровой деятельности   азначение зависит от конструкции изделия ")</f>
        <v> грушка забава  грушка используется для свободной игровой деятельности   азначение зависит от конструкции изделия </v>
      </c>
      <c r="G222" s="10" t="str">
        <f>IFERROR(__xludf.DUMMYFUNCTION("TEXTJOIN(""|"",TRUE,UNIQUE(FILTER(SPLIT(F222,"" ""),LEN(SPLIT(F222,"" ""))&gt;2)))"),"грушка|забава|грушка|используется|для|свободной|игровой|деятельности|азначение|зависит|конструкции|изделия")</f>
        <v>грушка|забава|грушка|используется|для|свободной|игровой|деятельности|азначение|зависит|конструкции|изделия</v>
      </c>
      <c r="I222" s="6"/>
      <c r="J222" s="6"/>
    </row>
    <row r="223">
      <c r="A223" s="12" t="s">
        <v>581</v>
      </c>
      <c r="B223" s="7" t="s">
        <v>582</v>
      </c>
      <c r="C223" s="7" t="s">
        <v>583</v>
      </c>
      <c r="D223" s="8">
        <v>19000.0</v>
      </c>
      <c r="E223" s="9">
        <v>1.0</v>
      </c>
      <c r="F223" s="10" t="str">
        <f>IFERROR(__xludf.DUMMYFUNCTION("LOWER(REGEXREPLACE(B223&amp;"" ""&amp;C223,""[^а-яa-z0-9 ]"","" ""))")," грушка каталка  грушка предназначена для перемещения по поверхности пут м толкания   спользуется в подвижных играх   атериал изготовления   пластик ")</f>
        <v> грушка каталка  грушка предназначена для перемещения по поверхности пут м толкания   спользуется в подвижных играх   атериал изготовления   пластик </v>
      </c>
      <c r="G223" s="10" t="str">
        <f>IFERROR(__xludf.DUMMYFUNCTION("TEXTJOIN(""|"",TRUE,UNIQUE(FILTER(SPLIT(F223,"" ""),LEN(SPLIT(F223,"" ""))&gt;2)))"),"грушка|каталка|грушка|предназначена|для|перемещения|поверхности|пут|толкания|спользуется|подвижных|играх|атериал|изготовления|пластик")</f>
        <v>грушка|каталка|грушка|предназначена|для|перемещения|поверхности|пут|толкания|спользуется|подвижных|играх|атериал|изготовления|пластик</v>
      </c>
      <c r="I223" s="6"/>
      <c r="J223" s="6"/>
    </row>
    <row r="224">
      <c r="A224" s="12" t="s">
        <v>584</v>
      </c>
      <c r="B224" s="7" t="s">
        <v>585</v>
      </c>
      <c r="C224" s="7" t="s">
        <v>586</v>
      </c>
      <c r="D224" s="8">
        <v>9500.0</v>
      </c>
      <c r="E224" s="9">
        <v>1.0</v>
      </c>
      <c r="F224" s="10" t="str">
        <f>IFERROR(__xludf.DUMMYFUNCTION("LOWER(REGEXREPLACE(B224&amp;"" ""&amp;C224,""[^а-яa-z0-9 ]"","" ""))"),"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поддер"&amp;"живает развитие общей моторики   атериал изготовления   пластик ")</f>
        <v>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поддерживает развитие общей моторики   атериал изготовления   пластик </v>
      </c>
      <c r="G224" s="10" t="str">
        <f>IFERROR(__xludf.DUMMYFUNCTION("TEXTJOIN(""|"",TRUE,UNIQUE(FILTER(SPLIT(F224,"" ""),LEN(SPLIT(F224,"" ""))&gt;2)))"),"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amp;"ики|атериал|изготовления|пластик")</f>
        <v>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ики|атериал|изготовления|пластик</v>
      </c>
      <c r="I224" s="6"/>
      <c r="J224" s="6"/>
    </row>
    <row r="225">
      <c r="A225" s="12" t="s">
        <v>587</v>
      </c>
      <c r="B225" s="7" t="s">
        <v>588</v>
      </c>
      <c r="C225" s="7" t="s">
        <v>589</v>
      </c>
      <c r="D225" s="8">
        <v>19000.0</v>
      </c>
      <c r="E225" s="9">
        <v>1.0</v>
      </c>
      <c r="F225" s="10" t="str">
        <f>IFERROR(__xludf.DUMMYFUNCTION("LOWER(REGEXREPLACE(B225&amp;"" ""&amp;C225,""[^а-яa-z0-9 ]"","" ""))"),"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регул"&amp;"ярную эксплуатацию ")</f>
        <v>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регулярную эксплуатацию </v>
      </c>
      <c r="G225" s="10" t="str">
        <f>IFERROR(__xludf.DUMMYFUNCTION("TEXTJOIN(""|"",TRUE,UNIQUE(FILTER(SPLIT(F225,"" ""),LEN(SPLIT(F225,"" ""))&gt;2)))"),"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f>
        <v>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v>
      </c>
      <c r="I225" s="6"/>
      <c r="J225" s="6"/>
    </row>
    <row r="226">
      <c r="A226" s="12" t="s">
        <v>590</v>
      </c>
      <c r="B226" s="7" t="s">
        <v>591</v>
      </c>
      <c r="C226" s="7" t="s">
        <v>592</v>
      </c>
      <c r="D226" s="8">
        <v>11500.0</v>
      </c>
      <c r="E226" s="9">
        <v>10.0</v>
      </c>
      <c r="F226" s="10" t="str">
        <f>IFERROR(__xludf.DUMMYFUNCTION("LOWER(REGEXREPLACE(B226&amp;"" ""&amp;C226,""[^а-яa-z0-9 ]"","" ""))"),"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f>
        <v>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v>
      </c>
      <c r="G226" s="10" t="str">
        <f>IFERROR(__xludf.DUMMYFUNCTION("TEXTJOIN(""|"",TRUE,UNIQUE(FILTER(SPLIT(F226,"" ""),LEN(SPLIT(F226,"" ""))&gt;2)))"),"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f>
        <v>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v>
      </c>
      <c r="I226" s="6"/>
      <c r="J226" s="6"/>
    </row>
    <row r="227">
      <c r="A227" s="12" t="s">
        <v>593</v>
      </c>
      <c r="B227" s="7" t="s">
        <v>594</v>
      </c>
      <c r="C227" s="7" t="s">
        <v>595</v>
      </c>
      <c r="D227" s="8">
        <v>10400.0</v>
      </c>
      <c r="E227" s="9">
        <v>1.0</v>
      </c>
      <c r="F227" s="10" t="str">
        <f>IFERROR(__xludf.DUMMYFUNCTION("LOWER(REGEXREPLACE(B227&amp;"" ""&amp;C227,""[^а-яa-z0-9 ]"","" ""))"),"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f>
        <v>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v>
      </c>
      <c r="G227" s="10" t="str">
        <f>IFERROR(__xludf.DUMMYFUNCTION("TEXTJOIN(""|"",TRUE,UNIQUE(FILTER(SPLIT(F227,"" ""),LEN(SPLIT(F227,"" ""))&gt;2)))"),"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f>
        <v>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v>
      </c>
      <c r="I227" s="6"/>
      <c r="J227" s="6"/>
    </row>
    <row r="228">
      <c r="A228" s="12" t="s">
        <v>596</v>
      </c>
      <c r="B228" s="7" t="s">
        <v>597</v>
      </c>
      <c r="C228" s="7" t="s">
        <v>598</v>
      </c>
      <c r="D228" s="8">
        <v>14200.0</v>
      </c>
      <c r="E228" s="9">
        <v>25.0</v>
      </c>
      <c r="F228" s="10" t="str">
        <f>IFERROR(__xludf.DUMMYFUNCTION("LOWER(REGEXREPLACE(B228&amp;"" ""&amp;C228,""[^а-яa-z0-9 ]"","" ""))"),"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рисован"&amp;"ия формируются навыки аккуратности и цветового восприятия   раски безвредны и предназначены для использования в детской среде ")</f>
        <v>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рисования формируются навыки аккуратности и цветового восприятия   раски безвредны и предназначены для использования в детской среде </v>
      </c>
      <c r="G228" s="10" t="str">
        <f>IFERROR(__xludf.DUMMYFUNCTION("TEXTJOIN(""|"",TRUE,UNIQUE(FILTER(SPLIT(F228,"" ""),LEN(SPLIT(F228,"" ""))&gt;2)))"),"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amp;"и|аккуратности|цветового|восприятия|раски|безвредны|предназначены|для|использования|детской|среде")</f>
        <v>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и|аккуратности|цветового|восприятия|раски|безвредны|предназначены|для|использования|детской|среде</v>
      </c>
      <c r="I228" s="6"/>
      <c r="J228" s="6"/>
    </row>
    <row r="229">
      <c r="A229" s="12" t="s">
        <v>599</v>
      </c>
      <c r="B229" s="7" t="s">
        <v>600</v>
      </c>
      <c r="C229" s="7" t="s">
        <v>601</v>
      </c>
      <c r="D229" s="8">
        <v>28500.0</v>
      </c>
      <c r="E229" s="9">
        <v>7.0</v>
      </c>
      <c r="F229" s="10" t="str">
        <f>IFERROR(__xludf.DUMMYFUNCTION("LOWER(REGEXREPLACE(B229&amp;"" ""&amp;C229,""[^а-яa-z0-9 ]"","" ""))"),"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f>
        <v>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v>
      </c>
      <c r="G229" s="10" t="str">
        <f>IFERROR(__xludf.DUMMYFUNCTION("TEXTJOIN(""|"",TRUE,UNIQUE(FILTER(SPLIT(F229,"" ""),LEN(SPLIT(F229,"" ""))&gt;2)))"),"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f>
        <v>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v>
      </c>
      <c r="I229" s="6"/>
      <c r="J229" s="6"/>
    </row>
    <row r="230">
      <c r="A230" s="12" t="s">
        <v>602</v>
      </c>
      <c r="B230" s="7" t="s">
        <v>603</v>
      </c>
      <c r="C230" s="7" t="s">
        <v>604</v>
      </c>
      <c r="D230" s="8">
        <v>19400.0</v>
      </c>
      <c r="E230" s="9">
        <v>5.0</v>
      </c>
      <c r="F230" s="10" t="str">
        <f>IFERROR(__xludf.DUMMYFUNCTION("LOWER(REGEXREPLACE(B230&amp;"" ""&amp;C230,""[^а-яa-z0-9 ]"","" ""))"),"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к"&amp;"нигу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f>
        <v>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v>
      </c>
      <c r="G230" s="10" t="str">
        <f>IFERROR(__xludf.DUMMYFUNCTION("TEXTJOIN(""|"",TRUE,UNIQUE(FILTER(SPLIT(F230,"" ""),LEN(SPLIT(F230,"" ""))&gt;2)))"),"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amp;"чтении|тематических|занятиях|екст|изображения|направлены|расширение|кругозора|формирование|представлений|живой|природе")</f>
        <v>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чтении|тематических|занятиях|екст|изображения|направлены|расширение|кругозора|формирование|представлений|живой|природе</v>
      </c>
      <c r="I230" s="6"/>
      <c r="J230" s="6"/>
    </row>
    <row r="231">
      <c r="A231" s="12" t="s">
        <v>605</v>
      </c>
      <c r="B231" s="7" t="s">
        <v>606</v>
      </c>
      <c r="C231" s="7" t="s">
        <v>607</v>
      </c>
      <c r="D231" s="8">
        <v>20900.0</v>
      </c>
      <c r="E231" s="9">
        <v>1.0</v>
      </c>
      <c r="F231" s="10" t="str">
        <f>IFERROR(__xludf.DUMMYFUNCTION("LOWER(REGEXREPLACE(B231&amp;"" ""&amp;C231,""[^а-яa-z0-9 ]"","" ""))")," нерционные машинки  набор   абор включает инерционные машинки   спользуются для свободных сюжетных и подвижных игр   атериал изготовления   пластик ")</f>
        <v> нерционные машинки  набор   абор включает инерционные машинки   спользуются для свободных сюжетных и подвижных игр   атериал изготовления   пластик </v>
      </c>
      <c r="G231" s="10" t="str">
        <f>IFERROR(__xludf.DUMMYFUNCTION("TEXTJOIN(""|"",TRUE,UNIQUE(FILTER(SPLIT(F231,"" ""),LEN(SPLIT(F231,"" ""))&gt;2)))"),"нерционные|машинки|набор|абор|включает|инерционные|машинки|спользуются|для|свободных|сюжетных|подвижных|игр|атериал|изготовления|пластик")</f>
        <v>нерционные|машинки|набор|абор|включает|инерционные|машинки|спользуются|для|свободных|сюжетных|подвижных|игр|атериал|изготовления|пластик</v>
      </c>
      <c r="I231" s="6"/>
      <c r="J231" s="6"/>
    </row>
    <row r="232">
      <c r="A232" s="12" t="s">
        <v>608</v>
      </c>
      <c r="B232" s="7" t="s">
        <v>609</v>
      </c>
      <c r="C232" s="7" t="s">
        <v>610</v>
      </c>
      <c r="D232" s="8">
        <v>20500.0</v>
      </c>
      <c r="E232" s="9">
        <v>1.0</v>
      </c>
      <c r="F232" s="10" t="str">
        <f>IFERROR(__xludf.DUMMYFUNCTION("LOWER(REGEXREPLACE(B232&amp;"" ""&amp;C232,""[^а-яa-z0-9 ]"","" ""))"),"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ак"&amp;"ая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f>
        <v>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v>
      </c>
      <c r="G232" s="10" t="str">
        <f>IFERROR(__xludf.DUMMYFUNCTION("TEXTJOIN(""|"",TRUE,UNIQUE(FILTER(SPLIT(F232,"" ""),LEN(SPLIT(F232,"" ""))&gt;2)))"),"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amp;"а|формирование|представлений|буквах|слогах|структуре|слова|также|развитие|речевых|навыков|омплект|содержит|карточки|заданиями|подставку|для|размещения")</f>
        <v>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а|формирование|представлений|буквах|слогах|структуре|слова|также|развитие|речевых|навыков|омплект|содержит|карточки|заданиями|подставку|для|размещения</v>
      </c>
      <c r="I232" s="6"/>
      <c r="J232" s="6"/>
    </row>
    <row r="233">
      <c r="A233" s="12" t="s">
        <v>611</v>
      </c>
      <c r="B233" s="7" t="s">
        <v>612</v>
      </c>
      <c r="C233" s="7" t="s">
        <v>613</v>
      </c>
      <c r="D233" s="8">
        <v>4800.0</v>
      </c>
      <c r="E233" s="9">
        <v>1.0</v>
      </c>
      <c r="F233" s="10" t="str">
        <f>IFERROR(__xludf.DUMMYFUNCTION("LOWER(REGEXREPLACE(B233&amp;"" ""&amp;C233,""[^а-яa-z0-9 ]"","" ""))")," нтерактивная книжка  нижка используется для рассматривания и выполнения игровых заданий   одержит сюжетные изображения   атериал страниц   картон ")</f>
        <v> нтерактивная книжка  нижка используется для рассматривания и выполнения игровых заданий   одержит сюжетные изображения   атериал страниц   картон </v>
      </c>
      <c r="G233" s="10" t="str">
        <f>IFERROR(__xludf.DUMMYFUNCTION("TEXTJOIN(""|"",TRUE,UNIQUE(FILTER(SPLIT(F233,"" ""),LEN(SPLIT(F233,"" ""))&gt;2)))"),"нтерактивная|книжка|нижка|используется|для|рассматривания|выполнения|игровых|заданий|одержит|сюжетные|изображения|атериал|страниц|картон")</f>
        <v>нтерактивная|книжка|нижка|используется|для|рассматривания|выполнения|игровых|заданий|одержит|сюжетные|изображения|атериал|страниц|картон</v>
      </c>
      <c r="I233" s="6"/>
      <c r="J233" s="6"/>
    </row>
    <row r="234">
      <c r="A234" s="12" t="s">
        <v>614</v>
      </c>
      <c r="B234" s="7" t="s">
        <v>615</v>
      </c>
      <c r="C234" s="7" t="s">
        <v>616</v>
      </c>
      <c r="D234" s="8">
        <v>570000.0</v>
      </c>
      <c r="E234" s="9">
        <v>1.0</v>
      </c>
      <c r="F234" s="10" t="str">
        <f>IFERROR(__xludf.DUMMYFUNCTION("LOWER(REGEXREPLACE(B234&amp;"" ""&amp;C234,""[^а-яa-z0-9 ]"","" ""))")," нтерактивное зеркало  нтерактивное зеркало используется в коррекционно развивающей работе   рименяется совместно с логопедическим оборудованием ")</f>
        <v> нтерактивное зеркало  нтерактивное зеркало используется в коррекционно развивающей работе   рименяется совместно с логопедическим оборудованием </v>
      </c>
      <c r="G234" s="10" t="str">
        <f>IFERROR(__xludf.DUMMYFUNCTION("TEXTJOIN(""|"",TRUE,UNIQUE(FILTER(SPLIT(F234,"" ""),LEN(SPLIT(F234,"" ""))&gt;2)))"),"нтерактивное|зеркало|нтерактивное|зеркало|используется|коррекционно|развивающей|работе|рименяется|совместно|логопедическим|оборудованием")</f>
        <v>нтерактивное|зеркало|нтерактивное|зеркало|используется|коррекционно|развивающей|работе|рименяется|совместно|логопедическим|оборудованием</v>
      </c>
      <c r="I234" s="6"/>
      <c r="J234" s="6"/>
    </row>
    <row r="235">
      <c r="A235" s="12" t="s">
        <v>617</v>
      </c>
      <c r="B235" s="7" t="s">
        <v>618</v>
      </c>
      <c r="C235" s="7" t="s">
        <v>619</v>
      </c>
      <c r="D235" s="8">
        <v>93300.0</v>
      </c>
      <c r="E235" s="9">
        <v>5.0</v>
      </c>
      <c r="F235" s="10" t="str">
        <f>IFERROR(__xludf.DUMMYFUNCTION("LOWER(REGEXREPLACE(B235&amp;"" ""&amp;C235,""[^а-яa-z0-9 ]"","" ""))"),"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f>
        <v>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v>
      </c>
      <c r="G235" s="10" t="str">
        <f>IFERROR(__xludf.DUMMYFUNCTION("TEXTJOIN(""|"",TRUE,UNIQUE(FILTER(SPLIT(F235,"" ""),LEN(SPLIT(F235,"" ""))&gt;2)))"),"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f>
        <v>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v>
      </c>
      <c r="I235" s="6"/>
      <c r="J235" s="6"/>
    </row>
    <row r="236">
      <c r="A236" s="12" t="s">
        <v>620</v>
      </c>
      <c r="B236" s="7" t="s">
        <v>621</v>
      </c>
      <c r="C236" s="7" t="s">
        <v>622</v>
      </c>
      <c r="D236" s="8">
        <v>22800.0</v>
      </c>
      <c r="E236" s="9">
        <v>10.0</v>
      </c>
      <c r="F236" s="10" t="str">
        <f>IFERROR(__xludf.DUMMYFUNCTION("LOWER(REGEXREPLACE(B236&amp;"" ""&amp;C236,""[^а-яa-z0-9 ]"","" ""))"),"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"&amp;"к творческой и познавательной деятельности ")</f>
        <v>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к творческой и познавательной деятельности </v>
      </c>
      <c r="G236" s="10" t="str">
        <f>IFERROR(__xludf.DUMMYFUNCTION("TEXTJOIN(""|"",TRUE,UNIQUE(FILTER(SPLIT(F236,"" ""),LEN(SPLIT(F236,"" ""))&gt;2)))"),"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amp;"вательной|деятельности")</f>
        <v>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вательной|деятельности</v>
      </c>
      <c r="I236" s="6"/>
      <c r="J236" s="6"/>
    </row>
    <row r="237">
      <c r="A237" s="12" t="s">
        <v>623</v>
      </c>
      <c r="B237" s="7" t="s">
        <v>624</v>
      </c>
      <c r="C237" s="7" t="s">
        <v>625</v>
      </c>
      <c r="D237" s="8">
        <v>14400.0</v>
      </c>
      <c r="E237" s="9">
        <v>3.0</v>
      </c>
      <c r="F237" s="10" t="str">
        <f>IFERROR(__xludf.DUMMYFUNCTION("LOWER(REGEXREPLACE(B237&amp;"" ""&amp;C237,""[^а-яa-z0-9 ]"","" ""))"),"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f>
        <v>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v>
      </c>
      <c r="G237" s="10" t="str">
        <f>IFERROR(__xludf.DUMMYFUNCTION("TEXTJOIN(""|"",TRUE,UNIQUE(FILTER(SPLIT(F237,"" ""),LEN(SPLIT(F237,"" ""))&gt;2)))"),"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f>
        <v>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v>
      </c>
      <c r="I237" s="6"/>
      <c r="J237" s="6"/>
    </row>
    <row r="238">
      <c r="A238" s="12" t="s">
        <v>626</v>
      </c>
      <c r="B238" s="7" t="s">
        <v>627</v>
      </c>
      <c r="C238" s="7" t="s">
        <v>628</v>
      </c>
      <c r="D238" s="8">
        <v>40800.0</v>
      </c>
      <c r="E238" s="9">
        <v>1.0</v>
      </c>
      <c r="F238" s="10" t="str">
        <f>IFERROR(__xludf.DUMMYFUNCTION("LOWER(REGEXREPLACE(B238&amp;"" ""&amp;C238,""[^а-яa-z0-9 ]"","" ""))")," скусство   ннотированное  амирова     ")</f>
        <v> скусство   ннотированное  амирова     </v>
      </c>
      <c r="G238" s="10" t="str">
        <f>IFERROR(__xludf.DUMMYFUNCTION("TEXTJOIN(""|"",TRUE,UNIQUE(FILTER(SPLIT(F238,"" ""),LEN(SPLIT(F238,"" ""))&gt;2)))"),"скусство|ннотированное|амирова")</f>
        <v>скусство|ннотированное|амирова</v>
      </c>
      <c r="I238" s="6"/>
      <c r="J238" s="6"/>
    </row>
    <row r="239">
      <c r="A239" s="12" t="s">
        <v>629</v>
      </c>
      <c r="B239" s="7" t="s">
        <v>630</v>
      </c>
      <c r="C239" s="7" t="s">
        <v>631</v>
      </c>
      <c r="D239" s="8">
        <v>102600.0</v>
      </c>
      <c r="E239" s="9">
        <v>1.0</v>
      </c>
      <c r="F239" s="10" t="str">
        <f>IFERROR(__xludf.DUMMYFUNCTION("LOWER(REGEXREPLACE(B239&amp;"" ""&amp;C239,""[^а-яa-z0-9 ]"","" ""))"),"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подде"&amp;"ржания условий содержания   бъ м аквариума составляет не менее 48 л   абаритные размеры   не менее 55 30 29 см ")</f>
        <v>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поддержания условий содержания   бъ м аквариума составляет не менее 48 л   абаритные размеры   не менее 55 30 29 см </v>
      </c>
      <c r="G239" s="10" t="str">
        <f>IFERROR(__xludf.DUMMYFUNCTION("TEXTJOIN(""|"",TRUE,UNIQUE(FILTER(SPLIT(F239,"" ""),LEN(SPLIT(F239,"" ""))&gt;2)))"),"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amp;"жания|аквариума|составляет|менее|абаритные|размеры|менее")</f>
        <v>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жания|аквариума|составляет|менее|абаритные|размеры|менее</v>
      </c>
      <c r="I239" s="6"/>
      <c r="J239" s="6"/>
    </row>
    <row r="240">
      <c r="A240" s="12" t="s">
        <v>632</v>
      </c>
      <c r="B240" s="7" t="s">
        <v>633</v>
      </c>
      <c r="C240" s="7" t="s">
        <v>634</v>
      </c>
      <c r="D240" s="8">
        <v>12000.0</v>
      </c>
      <c r="E240" s="9">
        <v>1.0</v>
      </c>
      <c r="F240" s="10" t="str">
        <f>IFERROR(__xludf.DUMMYFUNCTION("LOWER(REGEXREPLACE(B240&amp;"" ""&amp;C240,""[^а-яa-z0-9 ]"","" ""))")," азахские сказки  оставитель  аева     ")</f>
        <v> азахские сказки  оставитель  аева     </v>
      </c>
      <c r="G240" s="10" t="str">
        <f>IFERROR(__xludf.DUMMYFUNCTION("TEXTJOIN(""|"",TRUE,UNIQUE(FILTER(SPLIT(F240,"" ""),LEN(SPLIT(F240,"" ""))&gt;2)))"),"азахские|сказки|оставитель|аева")</f>
        <v>азахские|сказки|оставитель|аева</v>
      </c>
      <c r="I240" s="6"/>
      <c r="J240" s="6"/>
    </row>
    <row r="241">
      <c r="A241" s="12" t="s">
        <v>635</v>
      </c>
      <c r="B241" s="7" t="s">
        <v>636</v>
      </c>
      <c r="C241" s="7" t="s">
        <v>637</v>
      </c>
      <c r="D241" s="8">
        <v>24900.0</v>
      </c>
      <c r="E241" s="9">
        <v>1.0</v>
      </c>
      <c r="F241" s="10" t="str">
        <f>IFERROR(__xludf.DUMMYFUNCTION("LOWER(REGEXREPLACE(B241&amp;"" ""&amp;C241,""[^а-яa-z0-9 ]"","" ""))")," ак все работает   нциклопедия под ред      ренсис      ьюстон  перевод  аталова    ")</f>
        <v> ак все работает   нциклопедия под ред      ренсис      ьюстон  перевод  аталова    </v>
      </c>
      <c r="G241" s="10" t="str">
        <f>IFERROR(__xludf.DUMMYFUNCTION("TEXTJOIN(""|"",TRUE,UNIQUE(FILTER(SPLIT(F241,"" ""),LEN(SPLIT(F241,"" ""))&gt;2)))"),"все|работает|нциклопедия|под|ред|ренсис|ьюстон|перевод|аталова")</f>
        <v>все|работает|нциклопедия|под|ред|ренсис|ьюстон|перевод|аталова</v>
      </c>
      <c r="I241" s="6"/>
      <c r="J241" s="6"/>
    </row>
    <row r="242">
      <c r="A242" s="12" t="s">
        <v>638</v>
      </c>
      <c r="B242" s="7" t="s">
        <v>639</v>
      </c>
      <c r="C242" s="7" t="s">
        <v>640</v>
      </c>
      <c r="D242" s="8">
        <v>4400.0</v>
      </c>
      <c r="E242" s="9">
        <v>5.0</v>
      </c>
      <c r="F242" s="10" t="str">
        <f>IFERROR(__xludf.DUMMYFUNCTION("LOWER(REGEXREPLACE(B242&amp;"" ""&amp;C242,""[^а-яa-z0-9 ]"","" ""))"),"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восп"&amp;"риятия и интереса к симметрии и цветовым сочетаниям   орпус выполнен из пластика и бумаги ")</f>
        <v>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восприятия и интереса к симметрии и цветовым сочетаниям   орпус выполнен из пластика и бумаги </v>
      </c>
      <c r="G242" s="10" t="str">
        <f>IFERROR(__xludf.DUMMYFUNCTION("TEXTJOIN(""|"",TRUE,UNIQUE(FILTER(SPLIT(F242,"" ""),LEN(SPLIT(F242,"" ""))&gt;2)))"),"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amp;"еса|симметрии|цветовым|сочетаниям|орпус|выполнен|пластика|бумаги")</f>
        <v>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еса|симметрии|цветовым|сочетаниям|орпус|выполнен|пластика|бумаги</v>
      </c>
      <c r="I242" s="6"/>
      <c r="J242" s="6"/>
    </row>
    <row r="243">
      <c r="A243" s="12" t="s">
        <v>641</v>
      </c>
      <c r="B243" s="7" t="s">
        <v>642</v>
      </c>
      <c r="C243" s="7" t="s">
        <v>643</v>
      </c>
      <c r="D243" s="8">
        <v>15200.0</v>
      </c>
      <c r="E243" s="9">
        <v>1.0</v>
      </c>
      <c r="F243" s="10" t="str">
        <f>IFERROR(__xludf.DUMMYFUNCTION("LOWER(REGEXREPLACE(B243&amp;"" ""&amp;C243,""[^а-яa-z0-9 ]"","" ""))"),"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предусм"&amp;"атривает размещение обозначений  температура  осадки  облачность  в удобной форме   ассчитан на регулярное использование в помещении ")</f>
        <v>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предусматривает размещение обозначений  температура  осадки  облачность  в удобной форме   ассчитан на регулярное использование в помещении </v>
      </c>
      <c r="G243" s="10" t="str">
        <f>IFERROR(__xludf.DUMMYFUNCTION("TEXTJOIN(""|"",TRUE,UNIQUE(FILTER(SPLIT(F243,"" ""),LEN(SPLIT(F243,"" ""))&gt;2)))"),"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amp;"|температура|осадки|облачность|удобной|форме|ассчитан|регулярное|использование|помещении")</f>
        <v>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температура|осадки|облачность|удобной|форме|ассчитан|регулярное|использование|помещении</v>
      </c>
      <c r="I243" s="6"/>
      <c r="J243" s="6"/>
    </row>
    <row r="244">
      <c r="A244" s="12" t="s">
        <v>644</v>
      </c>
      <c r="B244" s="7" t="s">
        <v>645</v>
      </c>
      <c r="C244" s="7" t="s">
        <v>646</v>
      </c>
      <c r="D244" s="8">
        <v>47500.0</v>
      </c>
      <c r="E244" s="9">
        <v>19.0</v>
      </c>
      <c r="F244" s="10" t="str">
        <f>IFERROR(__xludf.DUMMYFUNCTION("LOWER(REGEXREPLACE(B244&amp;"" ""&amp;C244,""[^а-яa-z0-9 ]"","" ""))"),"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формир"&amp;"уя представления о социальной роли профессии и ответственности   атериалы   текстиль и пластик ")</f>
        <v>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формируя представления о социальной роли профессии и ответственности   атериалы   текстиль и пластик </v>
      </c>
      <c r="G244" s="10" t="str">
        <f>IFERROR(__xludf.DUMMYFUNCTION("TEXTJOIN(""|"",TRUE,UNIQUE(FILTER(SPLIT(F244,"" ""),LEN(SPLIT(F244,"" ""))&gt;2)))"),"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amp;"иальной|роли|профессии|ответственности|атериалы|текстиль|пластик")</f>
        <v>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иальной|роли|профессии|ответственности|атериалы|текстиль|пластик</v>
      </c>
      <c r="I244" s="6"/>
      <c r="J244" s="6"/>
    </row>
    <row r="245">
      <c r="A245" s="12" t="s">
        <v>647</v>
      </c>
      <c r="B245" s="7" t="s">
        <v>648</v>
      </c>
      <c r="C245" s="7" t="s">
        <v>649</v>
      </c>
      <c r="D245" s="8">
        <v>3600.0</v>
      </c>
      <c r="E245" s="9">
        <v>1.0</v>
      </c>
      <c r="F245" s="10" t="str">
        <f>IFERROR(__xludf.DUMMYFUNCTION("LOWER(REGEXREPLACE(B245&amp;"" ""&amp;C245,""[^а-яa-z0-9 ]"","" ""))")," апитан  ук   aptain  ook  каз   рус   англ яз      евин  перевод  ужикова      санова    ")</f>
        <v> апитан  ук   aptain  ook  каз   рус   англ яз      евин  перевод  ужикова      санова    </v>
      </c>
      <c r="G245" s="10" t="str">
        <f>IFERROR(__xludf.DUMMYFUNCTION("TEXTJOIN(""|"",TRUE,UNIQUE(FILTER(SPLIT(F245,"" ""),LEN(SPLIT(F245,"" ""))&gt;2)))"),"апитан|aptain|ook|каз|рус|англ|евин|перевод|ужикова|санова")</f>
        <v>апитан|aptain|ook|каз|рус|англ|евин|перевод|ужикова|санова</v>
      </c>
      <c r="I245" s="6"/>
      <c r="J245" s="6"/>
    </row>
    <row r="246">
      <c r="A246" s="12" t="s">
        <v>650</v>
      </c>
      <c r="B246" s="7" t="s">
        <v>651</v>
      </c>
      <c r="C246" s="7"/>
      <c r="D246" s="8">
        <v>1300.0</v>
      </c>
      <c r="E246" s="9">
        <v>1.0</v>
      </c>
      <c r="F246" s="10" t="str">
        <f>IFERROR(__xludf.DUMMYFUNCTION("LOWER(REGEXREPLACE(B246&amp;"" ""&amp;C246,""[^а-яa-z0-9 ]"","" ""))")," аракусбай   азахская сказка ")</f>
        <v> аракусбай   азахская сказка </v>
      </c>
      <c r="G246" s="10" t="str">
        <f>IFERROR(__xludf.DUMMYFUNCTION("TEXTJOIN(""|"",TRUE,UNIQUE(FILTER(SPLIT(F246,"" ""),LEN(SPLIT(F246,"" ""))&gt;2)))"),"аракусбай|азахская|сказка")</f>
        <v>аракусбай|азахская|сказка</v>
      </c>
      <c r="I246" s="6"/>
      <c r="J246" s="6"/>
    </row>
    <row r="247">
      <c r="A247" s="12" t="s">
        <v>652</v>
      </c>
      <c r="B247" s="7" t="s">
        <v>653</v>
      </c>
      <c r="C247" s="7" t="s">
        <v>654</v>
      </c>
      <c r="D247" s="8">
        <v>10500.0</v>
      </c>
      <c r="E247" s="9">
        <v>10.0</v>
      </c>
      <c r="F247" s="10" t="str">
        <f>IFERROR(__xludf.DUMMYFUNCTION("LOWER(REGEXREPLACE(B247&amp;"" ""&amp;C247,""[^а-яa-z0-9 ]"","" ""))")," арнавальный костюм   аяц    аяц серый р 110 56  мех   атик   можно в интернет магазине  urzilka   ыгодные цены   ыстрая доставка по  азахстану ")</f>
        <v> арнавальный костюм   аяц    аяц серый р 110 56  мех   атик   можно в интернет магазине  urzilka   ыгодные цены   ыстрая доставка по  азахстану </v>
      </c>
      <c r="G247" s="10" t="str">
        <f>IFERROR(__xludf.DUMMYFUNCTION("TEXTJOIN(""|"",TRUE,UNIQUE(FILTER(SPLIT(F247,"" ""),LEN(SPLIT(F247,"" ""))&gt;2)))"),"арнавальный|костюм|аяц|аяц|серый|110|мех|атик|можно|интернет|магазине|urzilka|ыгодные|цены|ыстрая|доставка|азахстану")</f>
        <v>арнавальный|костюм|аяц|аяц|серый|110|мех|атик|можно|интернет|магазине|urzilka|ыгодные|цены|ыстрая|доставка|азахстану</v>
      </c>
      <c r="I247" s="6"/>
      <c r="J247" s="6"/>
    </row>
    <row r="248">
      <c r="A248" s="12" t="s">
        <v>655</v>
      </c>
      <c r="B248" s="7" t="s">
        <v>656</v>
      </c>
      <c r="C248" s="7" t="s">
        <v>657</v>
      </c>
      <c r="D248" s="8">
        <v>10500.0</v>
      </c>
      <c r="E248" s="9">
        <v>6.0</v>
      </c>
      <c r="F248" s="10" t="str">
        <f>IFERROR(__xludf.DUMMYFUNCTION("LOWER(REGEXREPLACE(B248&amp;"" ""&amp;C248,""[^а-яa-z0-9 ]"","" ""))"),"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ре"&amp;"дназначен для ролевых игр и развивает воображение детей ")</f>
        <v>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редназначен для ролевых игр и развивает воображение детей </v>
      </c>
      <c r="G248" s="10" t="str">
        <f>IFERROR(__xludf.DUMMYFUNCTION("TEXTJOIN(""|"",TRUE,UNIQUE(FILTER(SPLIT(F248,"" ""),LEN(SPLIT(F248,"" ""))&gt;2)))"),"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amp;"ние|детей")</f>
        <v>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ние|детей</v>
      </c>
      <c r="I248" s="6"/>
      <c r="J248" s="6"/>
    </row>
    <row r="249">
      <c r="A249" s="12" t="s">
        <v>658</v>
      </c>
      <c r="B249" s="7" t="s">
        <v>659</v>
      </c>
      <c r="C249" s="7" t="s">
        <v>660</v>
      </c>
      <c r="D249" s="8">
        <v>7400.0</v>
      </c>
      <c r="E249" s="9">
        <v>1.0</v>
      </c>
      <c r="F249" s="10" t="str">
        <f>IFERROR(__xludf.DUMMYFUNCTION("LOWER(REGEXREPLACE(B249&amp;"" ""&amp;C249,""[^а-яa-z0-9 ]"","" ""))")," лдар   се   борник сказок  каз   рус   англ яз   каз адаптац   ырза  ли   ")</f>
        <v> лдар   се   борник сказок  каз   рус   англ яз   каз адаптац   ырза  ли   </v>
      </c>
      <c r="G249" s="10" t="str">
        <f>IFERROR(__xludf.DUMMYFUNCTION("TEXTJOIN(""|"",TRUE,UNIQUE(FILTER(SPLIT(F249,"" ""),LEN(SPLIT(F249,"" ""))&gt;2)))"),"лдар|борник|сказок|каз|рус|англ|каз|адаптац|ырза")</f>
        <v>лдар|борник|сказок|каз|рус|англ|каз|адаптац|ырза</v>
      </c>
      <c r="I249" s="6"/>
      <c r="J249" s="6"/>
    </row>
    <row r="250">
      <c r="A250" s="12" t="s">
        <v>661</v>
      </c>
      <c r="B250" s="7" t="s">
        <v>662</v>
      </c>
      <c r="C250" s="7" t="s">
        <v>663</v>
      </c>
      <c r="D250" s="8">
        <v>25900.0</v>
      </c>
      <c r="E250" s="9">
        <v>5.0</v>
      </c>
      <c r="F250" s="10" t="str">
        <f>IFERROR(__xludf.DUMMYFUNCTION("LOWER(REGEXREPLACE(B250&amp;"" ""&amp;C250,""[^а-яa-z0-9 ]"","" ""))"),"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пр"&amp;"осто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"&amp;" иние помпоны спереди  еребристое текстильное ведерко на голову  ранжевый нос морковка на резинке ")</f>
        <v>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иние помпоны спереди  еребристое текстильное ведерко на голову  ранжевый нос морковка на резинке </v>
      </c>
      <c r="G250" s="10" t="str">
        <f>IFERROR(__xludf.DUMMYFUNCTION("TEXTJOIN(""|"",TRUE,UNIQUE(FILTER(SPLIT(F250,"" ""),LEN(SPLIT(F250,"" ""))&gt;2)))"),"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amp;"|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amp;"рко|голову|ранжевый|нос|морковка|резинке")</f>
        <v>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рко|голову|ранжевый|нос|морковка|резинке</v>
      </c>
      <c r="I250" s="6"/>
      <c r="J250" s="6"/>
    </row>
    <row r="251">
      <c r="A251" s="12" t="s">
        <v>664</v>
      </c>
      <c r="B251" s="7" t="s">
        <v>665</v>
      </c>
      <c r="C251" s="7" t="s">
        <v>666</v>
      </c>
      <c r="D251" s="8">
        <v>392900.0</v>
      </c>
      <c r="E251" s="9">
        <v>1.0</v>
      </c>
      <c r="F251" s="10" t="str">
        <f>IFERROR(__xludf.DUMMYFUNCTION("LOWER(REGEXREPLACE(B251&amp;"" ""&amp;C251,""[^а-яa-z0-9 ]"","" ""))"),"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рассчитан"&amp;"ных на многократное использование   одходит для организации новогодних представлений и игровых сценариев ")</f>
        <v>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рассчитанных на многократное использование   одходит для организации новогодних представлений и игровых сценариев </v>
      </c>
      <c r="G251" s="10" t="str">
        <f>IFERROR(__xludf.DUMMYFUNCTION("TEXTJOIN(""|"",TRUE,UNIQUE(FILTER(SPLIT(F251,"" ""),LEN(SPLIT(F251,"" ""))&gt;2)))"),"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amp;"вание|одходит|для|организации|новогодних|представлений|игровых|сценариев")</f>
        <v>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вание|одходит|для|организации|новогодних|представлений|игровых|сценариев</v>
      </c>
      <c r="I251" s="6"/>
      <c r="J251" s="6"/>
    </row>
    <row r="252">
      <c r="A252" s="12" t="s">
        <v>667</v>
      </c>
      <c r="B252" s="7" t="s">
        <v>668</v>
      </c>
      <c r="C252" s="7" t="s">
        <v>669</v>
      </c>
      <c r="D252" s="8">
        <v>9200.0</v>
      </c>
      <c r="E252" s="9">
        <v>5.0</v>
      </c>
      <c r="F252" s="10" t="str">
        <f>IFERROR(__xludf.DUMMYFUNCTION("LOWER(REGEXREPLACE(B252&amp;"" ""&amp;C252,""[^а-яa-z0-9 ]"","" ""))"),"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"&amp;"требуется узнаваемый персонаж   атериалы костюма рассчитаны на регулярное использование ")</f>
        <v>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требуется узнаваемый персонаж   атериалы костюма рассчитаны на регулярное использование </v>
      </c>
      <c r="G252" s="10" t="str">
        <f>IFERROR(__xludf.DUMMYFUNCTION("TEXTJOIN(""|"",TRUE,UNIQUE(FILTER(SPLIT(F252,"" ""),LEN(SPLIT(F252,"" ""))&gt;2)))"),"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amp;"|атериалы|костюма|рассчитаны|регулярное|использование")</f>
        <v>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атериалы|костюма|рассчитаны|регулярное|использование</v>
      </c>
      <c r="I252" s="6"/>
      <c r="J252" s="6"/>
    </row>
    <row r="253">
      <c r="A253" s="12" t="s">
        <v>670</v>
      </c>
      <c r="B253" s="7" t="s">
        <v>671</v>
      </c>
      <c r="C253" s="7" t="s">
        <v>672</v>
      </c>
      <c r="D253" s="8">
        <v>6500.0</v>
      </c>
      <c r="E253" s="9">
        <v>5.0</v>
      </c>
      <c r="F253" s="10" t="str">
        <f>IFERROR(__xludf.DUMMYFUNCTION("LOWER(REGEXREPLACE(B253&amp;"" ""&amp;C253,""[^а-яa-z0-9 ]"","" ""))"),"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ш"&amp;" лк или аналогичный материал   ассчитан на многократное использование в помещении ")</f>
        <v>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 лк или аналогичный материал   ассчитан на многократное использование в помещении </v>
      </c>
      <c r="G253" s="10" t="str">
        <f>IFERROR(__xludf.DUMMYFUNCTION("TEXTJOIN(""|"",TRUE,UNIQUE(FILTER(SPLIT(F253,"" ""),LEN(SPLIT(F253,"" ""))&gt;2)))"),"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amp;"кратное|использование|помещении")</f>
        <v>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кратное|использование|помещении</v>
      </c>
      <c r="I253" s="6"/>
      <c r="J253" s="6"/>
    </row>
    <row r="254">
      <c r="A254" s="12" t="s">
        <v>673</v>
      </c>
      <c r="B254" s="7" t="s">
        <v>674</v>
      </c>
      <c r="C254" s="7" t="s">
        <v>675</v>
      </c>
      <c r="D254" s="8">
        <v>103500.0</v>
      </c>
      <c r="E254" s="9">
        <v>1.0</v>
      </c>
      <c r="F254" s="10" t="str">
        <f>IFERROR(__xludf.DUMMYFUNCTION("LOWER(REGEXREPLACE(B254&amp;"" ""&amp;C254,""[^а-яa-z0-9 ]"","" ""))"),"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актив"&amp;"ного движения   зделие рассчитано на многократное использование ")</f>
        <v>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активного движения   зделие рассчитано на многократное использование </v>
      </c>
      <c r="G254" s="10" t="str">
        <f>IFERROR(__xludf.DUMMYFUNCTION("TEXTJOIN(""|"",TRUE,UNIQUE(FILTER(SPLIT(F254,"" ""),LEN(SPLIT(F254,"" ""))&gt;2)))"),"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amp;"тано|многократное|использование")</f>
        <v>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тано|многократное|использование</v>
      </c>
      <c r="I254" s="6"/>
      <c r="J254" s="6"/>
    </row>
    <row r="255">
      <c r="A255" s="12" t="s">
        <v>676</v>
      </c>
      <c r="B255" s="7" t="s">
        <v>677</v>
      </c>
      <c r="C255" s="7" t="s">
        <v>678</v>
      </c>
      <c r="D255" s="8">
        <v>2500.0</v>
      </c>
      <c r="E255" s="9">
        <v>25.0</v>
      </c>
      <c r="F255" s="10" t="str">
        <f>IFERROR(__xludf.DUMMYFUNCTION("LOWER(REGEXREPLACE(B255&amp;"" ""&amp;C255,""[^а-яa-z0-9 ]"","" ""))"),"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оставляет"&amp;"ся в виде набора листов   ассчитан на использование в творческих занятиях ")</f>
        <v>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оставляется в виде набора листов   ассчитан на использование в творческих занятиях </v>
      </c>
      <c r="G255" s="10" t="str">
        <f>IFERROR(__xludf.DUMMYFUNCTION("TEXTJOIN(""|"",TRUE,UNIQUE(FILTER(SPLIT(F255,"" ""),LEN(SPLIT(F255,"" ""))&gt;2)))"),"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amp;"ов|ассчитан|использование|творческих|занятиях")</f>
        <v>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ов|ассчитан|использование|творческих|занятиях</v>
      </c>
      <c r="I255" s="6"/>
      <c r="J255" s="6"/>
    </row>
    <row r="256">
      <c r="A256" s="12" t="s">
        <v>679</v>
      </c>
      <c r="B256" s="7" t="s">
        <v>680</v>
      </c>
      <c r="C256" s="7" t="s">
        <v>681</v>
      </c>
      <c r="D256" s="8">
        <v>9500.0</v>
      </c>
      <c r="E256" s="9">
        <v>7.0</v>
      </c>
      <c r="F256" s="10" t="str">
        <f>IFERROR(__xludf.DUMMYFUNCTION("LOWER(REGEXREPLACE(B256&amp;"" ""&amp;C256,""[^а-яa-z0-9 ]"","" ""))"),"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шт"&amp;"   азмер карточек   не менее 10 15 см   одходит для занятий и игр по теме животных и звуков ")</f>
        <v>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   азмер карточек   не менее 10 15 см   одходит для занятий и игр по теме животных и звуков </v>
      </c>
      <c r="G256" s="10" t="str">
        <f>IFERROR(__xludf.DUMMYFUNCTION("TEXTJOIN(""|"",TRUE,UNIQUE(FILTER(SPLIT(F256,"" ""),LEN(SPLIT(F256,"" ""))&gt;2)))"),"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amp;"нятий|игр|теме|животных|звуков")</f>
        <v>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нятий|игр|теме|животных|звуков</v>
      </c>
      <c r="I256" s="6"/>
      <c r="J256" s="6"/>
    </row>
    <row r="257">
      <c r="A257" s="12" t="s">
        <v>682</v>
      </c>
      <c r="B257" s="7" t="s">
        <v>683</v>
      </c>
      <c r="C257" s="7" t="s">
        <v>684</v>
      </c>
      <c r="D257" s="8">
        <v>39900.0</v>
      </c>
      <c r="E257" s="9">
        <v>1.0</v>
      </c>
      <c r="F257" s="10" t="str">
        <f>IFERROR(__xludf.DUMMYFUNCTION("LOWER(REGEXREPLACE(B257&amp;"" ""&amp;C257,""[^а-яa-z0-9 ]"","" ""))"),"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обсужде"&amp;"нии режимных моментов и навыков самоорганизации   арточки выполнены из плотного материала для регулярного использования ")</f>
        <v>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обсуждении режимных моментов и навыков самоорганизации   арточки выполнены из плотного материала для регулярного использования </v>
      </c>
      <c r="G257" s="10" t="str">
        <f>IFERROR(__xludf.DUMMYFUNCTION("TEXTJOIN(""|"",TRUE,UNIQUE(FILTER(SPLIT(F257,"" ""),LEN(SPLIT(F257,"" ""))&gt;2)))"),"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amp;"в|навыков|самоорганизации|арточки|выполнены|плотного|материала|для|регулярного|использования")</f>
        <v>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в|навыков|самоорганизации|арточки|выполнены|плотного|материала|для|регулярного|использования</v>
      </c>
      <c r="I257" s="6"/>
      <c r="J257" s="6"/>
    </row>
    <row r="258">
      <c r="A258" s="12" t="s">
        <v>685</v>
      </c>
      <c r="B258" s="7" t="s">
        <v>686</v>
      </c>
      <c r="C258" s="7" t="s">
        <v>687</v>
      </c>
      <c r="D258" s="8">
        <v>3200.0</v>
      </c>
      <c r="E258" s="9">
        <v>1.0</v>
      </c>
      <c r="F258" s="10" t="str">
        <f>IFERROR(__xludf.DUMMYFUNCTION("LOWER(REGEXREPLACE(B258&amp;"" ""&amp;C258,""[^а-яa-z0-9 ]"","" ""))"),"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расширени"&amp;"я словаря и упражнений на классификацию   арточки рассчитаны на регулярное использование и хранение в комплекте ")</f>
        <v>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расширения словаря и упражнений на классификацию   арточки рассчитаны на регулярное использование и хранение в комплекте </v>
      </c>
      <c r="G258" s="10" t="str">
        <f>IFERROR(__xludf.DUMMYFUNCTION("TEXTJOIN(""|"",TRUE,UNIQUE(FILTER(SPLIT(F258,"" ""),LEN(SPLIT(F258,"" ""))&gt;2)))"),"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amp;"лассификацию|арточки|рассчитаны|регулярное|использование|хранение|комплекте")</f>
        <v>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лассификацию|арточки|рассчитаны|регулярное|использование|хранение|комплекте</v>
      </c>
      <c r="I258" s="6"/>
      <c r="J258" s="6"/>
    </row>
    <row r="259">
      <c r="A259" s="12" t="s">
        <v>688</v>
      </c>
      <c r="B259" s="7" t="s">
        <v>689</v>
      </c>
      <c r="C259" s="7" t="s">
        <v>690</v>
      </c>
      <c r="D259" s="8">
        <v>11800.0</v>
      </c>
      <c r="E259" s="9">
        <v>1.0</v>
      </c>
      <c r="F259" s="10" t="str">
        <f>IFERROR(__xludf.DUMMYFUNCTION("LOWER(REGEXREPLACE(B259&amp;"" ""&amp;C259,""[^а-яa-z0-9 ]"","" ""))"),"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ассчит"&amp;"ан на многократное использование ")</f>
        <v>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ассчитан на многократное использование </v>
      </c>
      <c r="G259" s="10" t="str">
        <f>IFERROR(__xludf.DUMMYFUNCTION("TEXTJOIN(""|"",TRUE,UNIQUE(FILTER(SPLIT(F259,"" ""),LEN(SPLIT(F259,"" ""))&gt;2)))"),"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amp;"ование")</f>
        <v>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ование</v>
      </c>
      <c r="I259" s="6"/>
      <c r="J259" s="6"/>
    </row>
    <row r="260">
      <c r="A260" s="12" t="s">
        <v>691</v>
      </c>
      <c r="B260" s="7" t="s">
        <v>692</v>
      </c>
      <c r="C260" s="7" t="s">
        <v>364</v>
      </c>
      <c r="D260" s="8">
        <v>6800.0</v>
      </c>
      <c r="E260" s="9">
        <v>1.0</v>
      </c>
      <c r="F260" s="10" t="str">
        <f>IFERROR(__xludf.DUMMYFUNCTION("LOWER(REGEXREPLACE(B260&amp;"" ""&amp;C260,""[^а-яa-z0-9 ]"","" ""))")," лпамыс батыр  каз   а ылш    ей мдеген    ум сбаев")</f>
        <v> лпамыс батыр  каз   а ылш    ей мдеген    ум сбаев</v>
      </c>
      <c r="G260" s="10" t="str">
        <f>IFERROR(__xludf.DUMMYFUNCTION("TEXTJOIN(""|"",TRUE,UNIQUE(FILTER(SPLIT(F260,"" ""),LEN(SPLIT(F260,"" ""))&gt;2)))"),"лпамыс|батыр|каз|ылш|мдеген|сбаев")</f>
        <v>лпамыс|батыр|каз|ылш|мдеген|сбаев</v>
      </c>
      <c r="I260" s="6"/>
      <c r="J260" s="6"/>
    </row>
    <row r="261">
      <c r="A261" s="12" t="s">
        <v>693</v>
      </c>
      <c r="B261" s="7" t="s">
        <v>694</v>
      </c>
      <c r="C261" s="7"/>
      <c r="D261" s="8">
        <v>1300.0</v>
      </c>
      <c r="E261" s="9">
        <v>1.0</v>
      </c>
      <c r="F261" s="10" t="str">
        <f>IFERROR(__xludf.DUMMYFUNCTION("LOWER(REGEXREPLACE(B261&amp;"" ""&amp;C261,""[^а-яa-z0-9 ]"","" ""))")," арынбай   азахская сказка ")</f>
        <v> арынбай   азахская сказка </v>
      </c>
      <c r="G261" s="10" t="str">
        <f>IFERROR(__xludf.DUMMYFUNCTION("TEXTJOIN(""|"",TRUE,UNIQUE(FILTER(SPLIT(F261,"" ""),LEN(SPLIT(F261,"" ""))&gt;2)))"),"арынбай|азахская|сказка")</f>
        <v>арынбай|азахская|сказка</v>
      </c>
      <c r="I261" s="6"/>
      <c r="J261" s="6"/>
    </row>
    <row r="262">
      <c r="A262" s="12" t="s">
        <v>695</v>
      </c>
      <c r="B262" s="7" t="s">
        <v>696</v>
      </c>
      <c r="C262" s="7" t="s">
        <v>697</v>
      </c>
      <c r="D262" s="8">
        <v>6900.0</v>
      </c>
      <c r="E262" s="9">
        <v>1.0</v>
      </c>
      <c r="F262" s="10" t="str">
        <f>IFERROR(__xludf.DUMMYFUNCTION("LOWER(REGEXREPLACE(B262&amp;"" ""&amp;C262,""[^а-яa-z0-9 ]"","" ""))"),"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одходи"&amp;"т для настольной учебно игровой деятельности   атериал рассчитан на регулярное использование ")</f>
        <v>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одходит для настольной учебно игровой деятельности   атериал рассчитан на регулярное использование </v>
      </c>
      <c r="G262" s="10" t="str">
        <f>IFERROR(__xludf.DUMMYFUNCTION("TEXTJOIN(""|"",TRUE,UNIQUE(FILTER(SPLIT(F262,"" ""),LEN(SPLIT(F262,"" ""))&gt;2)))"),"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amp;"ти|атериал|рассчитан|регулярное|использование")</f>
        <v>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ти|атериал|рассчитан|регулярное|использование</v>
      </c>
      <c r="I262" s="6"/>
      <c r="J262" s="6"/>
    </row>
    <row r="263">
      <c r="A263" s="12" t="s">
        <v>698</v>
      </c>
      <c r="B263" s="7" t="s">
        <v>699</v>
      </c>
      <c r="C263" s="7" t="s">
        <v>700</v>
      </c>
      <c r="D263" s="8">
        <v>4100.0</v>
      </c>
      <c r="E263" s="9">
        <v>125.0</v>
      </c>
      <c r="F263" s="10" t="str">
        <f>IFERROR(__xludf.DUMMYFUNCTION("LOWER(REGEXREPLACE(B263&amp;"" ""&amp;C263,""[^а-яa-z0-9 ]"","" ""))"),"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арто"&amp;"чки имеют крупный шрифт и устойчивы к истиранию ")</f>
        <v>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арточки имеют крупный шрифт и устойчивы к истиранию </v>
      </c>
      <c r="G263" s="10" t="str">
        <f>IFERROR(__xludf.DUMMYFUNCTION("TEXTJOIN(""|"",TRUE,UNIQUE(FILTER(SPLIT(F263,"" ""),LEN(SPLIT(F263,"" ""))&gt;2)))"),"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amp;"стиранию")</f>
        <v>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стиранию</v>
      </c>
      <c r="I263" s="6"/>
      <c r="J263" s="6"/>
    </row>
    <row r="264">
      <c r="A264" s="12" t="s">
        <v>701</v>
      </c>
      <c r="B264" s="7" t="s">
        <v>702</v>
      </c>
      <c r="C264" s="7" t="s">
        <v>703</v>
      </c>
      <c r="D264" s="8">
        <v>7800.0</v>
      </c>
      <c r="E264" s="9">
        <v>1.0</v>
      </c>
      <c r="F264" s="10" t="str">
        <f>IFERROR(__xludf.DUMMYFUNCTION("LOWER(REGEXREPLACE(B264&amp;"" ""&amp;C264,""[^а-яa-z0-9 ]"","" ""))")," ел  ойнайы   бала ай   л мжанов   ")</f>
        <v> ел  ойнайы   бала ай   л мжанов   </v>
      </c>
      <c r="G264" s="10" t="str">
        <f>IFERROR(__xludf.DUMMYFUNCTION("TEXTJOIN(""|"",TRUE,UNIQUE(FILTER(SPLIT(F264,"" ""),LEN(SPLIT(F264,"" ""))&gt;2)))"),"ойнайы|бала|мжанов")</f>
        <v>ойнайы|бала|мжанов</v>
      </c>
      <c r="I264" s="6"/>
      <c r="J264" s="6"/>
    </row>
    <row r="265">
      <c r="A265" s="12" t="s">
        <v>704</v>
      </c>
      <c r="B265" s="7" t="s">
        <v>705</v>
      </c>
      <c r="C265" s="7" t="s">
        <v>706</v>
      </c>
      <c r="D265" s="8">
        <v>7000.0</v>
      </c>
      <c r="E265" s="9">
        <v>1.0</v>
      </c>
      <c r="F265" s="10" t="str">
        <f>IFERROR(__xludf.DUMMYFUNCTION("LOWER(REGEXREPLACE(B265&amp;"" ""&amp;C265,""[^а-яa-z0-9 ]"","" ""))")," ерек к тап   ыпбек лы   ")</f>
        <v> ерек к тап   ыпбек лы   </v>
      </c>
      <c r="G265" s="10" t="str">
        <f>IFERROR(__xludf.DUMMYFUNCTION("TEXTJOIN(""|"",TRUE,UNIQUE(FILTER(SPLIT(F265,"" ""),LEN(SPLIT(F265,"" ""))&gt;2)))"),"ерек|тап|ыпбек")</f>
        <v>ерек|тап|ыпбек</v>
      </c>
      <c r="I265" s="6"/>
      <c r="J265" s="6"/>
    </row>
    <row r="266">
      <c r="A266" s="12" t="s">
        <v>707</v>
      </c>
      <c r="B266" s="7" t="s">
        <v>708</v>
      </c>
      <c r="C266" s="7" t="s">
        <v>709</v>
      </c>
      <c r="D266" s="8">
        <v>7600.0</v>
      </c>
      <c r="E266" s="9">
        <v>5.0</v>
      </c>
      <c r="F266" s="10" t="str">
        <f>IFERROR(__xludf.DUMMYFUNCTION("LOWER(REGEXREPLACE(B266&amp;"" ""&amp;C266,""[^а-яa-z0-9 ]"","" ""))"),"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мотори"&amp;"ки у детей ")</f>
        <v>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моторики у детей </v>
      </c>
      <c r="G266" s="10" t="str">
        <f>IFERROR(__xludf.DUMMYFUNCTION("TEXTJOIN(""|"",TRUE,UNIQUE(FILTER(SPLIT(F266,"" ""),LEN(SPLIT(F266,"" ""))&gt;2)))"),"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f>
        <v>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v>
      </c>
      <c r="I266" s="6"/>
      <c r="J266" s="6"/>
    </row>
    <row r="267">
      <c r="A267" s="12" t="s">
        <v>710</v>
      </c>
      <c r="B267" s="7" t="s">
        <v>711</v>
      </c>
      <c r="C267" s="7" t="s">
        <v>712</v>
      </c>
      <c r="D267" s="8">
        <v>2600.0</v>
      </c>
      <c r="E267" s="9">
        <v>5.0</v>
      </c>
      <c r="F267" s="10" t="str">
        <f>IFERROR(__xludf.DUMMYFUNCTION("LOWER(REGEXREPLACE(B267&amp;"" ""&amp;C267,""[^а-яa-z0-9 ]"","" ""))"),"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в"&amp;" игровой среде ")</f>
        <v>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 игровой среде </v>
      </c>
      <c r="G267" s="10" t="str">
        <f>IFERROR(__xludf.DUMMYFUNCTION("TEXTJOIN(""|"",TRUE,UNIQUE(FILTER(SPLIT(F267,"" ""),LEN(SPLIT(F267,"" ""))&gt;2)))"),"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f>
        <v>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v>
      </c>
      <c r="I267" s="6"/>
      <c r="J267" s="6"/>
    </row>
    <row r="268">
      <c r="A268" s="12" t="s">
        <v>713</v>
      </c>
      <c r="B268" s="7" t="s">
        <v>714</v>
      </c>
      <c r="C268" s="7" t="s">
        <v>715</v>
      </c>
      <c r="D268" s="8">
        <v>2100.0</v>
      </c>
      <c r="E268" s="9">
        <v>25.0</v>
      </c>
      <c r="F268" s="10" t="str">
        <f>IFERROR(__xludf.DUMMYFUNCTION("LOWER(REGEXREPLACE(B268&amp;"" ""&amp;C268,""[^а-яa-z0-9 ]"","" ""))"),"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"&amp;" исти рассчитаны на многократное использование при соблюдении правил ухода ")</f>
        <v>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исти рассчитаны на многократное использование при соблюдении правил ухода </v>
      </c>
      <c r="G268" s="10" t="str">
        <f>IFERROR(__xludf.DUMMYFUNCTION("TEXTJOIN(""|"",TRUE,UNIQUE(FILTER(SPLIT(F268,"" ""),LEN(SPLIT(F268,"" ""))&gt;2)))"),"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amp;"ногократное|использование|при|соблюдении|правил|ухода")</f>
        <v>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ногократное|использование|при|соблюдении|правил|ухода</v>
      </c>
      <c r="I268" s="6"/>
      <c r="J268" s="6"/>
    </row>
    <row r="269">
      <c r="A269" s="12" t="s">
        <v>716</v>
      </c>
      <c r="B269" s="7" t="s">
        <v>717</v>
      </c>
      <c r="C269" s="7" t="s">
        <v>718</v>
      </c>
      <c r="D269" s="8">
        <v>41700.0</v>
      </c>
      <c r="E269" s="9">
        <v>10.0</v>
      </c>
      <c r="F269" s="10" t="str">
        <f>IFERROR(__xludf.DUMMYFUNCTION("LOWER(REGEXREPLACE(B269&amp;"" ""&amp;C269,""[^а-яa-z0-9 ]"","" ""))"),"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синтетич"&amp;"еский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f>
        <v>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v>
      </c>
      <c r="G269" s="10" t="str">
        <f>IFERROR(__xludf.DUMMYFUNCTION("TEXTJOIN(""|"",TRUE,UNIQUE(FILTER(SPLIT(F269,"" ""),LEN(SPLIT(F269,"" ""))&gt;2)))"),"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amp;"ый|деформации|укоятки|деревянные|удобные|для|удержания|исти|подходят|для|регулярного|использования|при|выполнении|художественных|работ")</f>
        <v>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ый|деформации|укоятки|деревянные|удобные|для|удержания|исти|подходят|для|регулярного|использования|при|выполнении|художественных|работ</v>
      </c>
      <c r="I269" s="6"/>
      <c r="J269" s="6"/>
    </row>
    <row r="270">
      <c r="A270" s="12" t="s">
        <v>719</v>
      </c>
      <c r="B270" s="7" t="s">
        <v>720</v>
      </c>
      <c r="C270" s="7" t="s">
        <v>721</v>
      </c>
      <c r="D270" s="8">
        <v>3000.0</v>
      </c>
      <c r="E270" s="9">
        <v>12.0</v>
      </c>
      <c r="F270" s="10" t="str">
        <f>IFERROR(__xludf.DUMMYFUNCTION("LOWER(REGEXREPLACE(B270&amp;"" ""&amp;C270,""[^а-яa-z0-9 ]"","" ""))"),"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"&amp;"поверхностей при своевременной очистке ")</f>
        <v>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поверхностей при своевременной очистке </v>
      </c>
      <c r="G270" s="10" t="str">
        <f>IFERROR(__xludf.DUMMYFUNCTION("TEXTJOIN(""|"",TRUE,UNIQUE(FILTER(SPLIT(F270,"" ""),LEN(SPLIT(F270,"" ""))&gt;2)))"),"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amp;"истке")</f>
        <v>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истке</v>
      </c>
      <c r="I270" s="6"/>
      <c r="J270" s="6"/>
    </row>
    <row r="271">
      <c r="A271" s="12" t="s">
        <v>722</v>
      </c>
      <c r="B271" s="7" t="s">
        <v>723</v>
      </c>
      <c r="C271" s="7" t="s">
        <v>361</v>
      </c>
      <c r="D271" s="8">
        <v>7500.0</v>
      </c>
      <c r="E271" s="9">
        <v>1.0</v>
      </c>
      <c r="F271" s="10" t="str">
        <f>IFERROR(__xludf.DUMMYFUNCTION("LOWER(REGEXREPLACE(B271&amp;"" ""&amp;C271,""[^а-яa-z0-9 ]"","" ""))")," лпамыс батыр  рус   англ    дапт   умисбаев   ")</f>
        <v> лпамыс батыр  рус   англ    дапт   умисбаев   </v>
      </c>
      <c r="G271" s="10" t="str">
        <f>IFERROR(__xludf.DUMMYFUNCTION("TEXTJOIN(""|"",TRUE,UNIQUE(FILTER(SPLIT(F271,"" ""),LEN(SPLIT(F271,"" ""))&gt;2)))"),"лпамыс|батыр|рус|англ|дапт|умисбаев")</f>
        <v>лпамыс|батыр|рус|англ|дапт|умисбаев</v>
      </c>
      <c r="I271" s="6"/>
      <c r="J271" s="6"/>
    </row>
    <row r="272">
      <c r="A272" s="12" t="s">
        <v>724</v>
      </c>
      <c r="B272" s="7" t="s">
        <v>725</v>
      </c>
      <c r="C272" s="7" t="s">
        <v>726</v>
      </c>
      <c r="D272" s="8">
        <v>1800.0</v>
      </c>
      <c r="E272" s="9">
        <v>25.0</v>
      </c>
      <c r="F272" s="10" t="str">
        <f>IFERROR(__xludf.DUMMYFUNCTION("LOWER(REGEXREPLACE(B272&amp;"" ""&amp;C272,""[^а-яa-z0-9 ]"","" ""))"),"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f>
        <v>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v>
      </c>
      <c r="G272" s="10" t="str">
        <f>IFERROR(__xludf.DUMMYFUNCTION("TEXTJOIN(""|"",TRUE,UNIQUE(FILTER(SPLIT(F272,"" ""),LEN(SPLIT(F272,"" ""))&gt;2)))"),"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f>
        <v>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v>
      </c>
      <c r="I272" s="6"/>
      <c r="J272" s="6"/>
    </row>
    <row r="273">
      <c r="A273" s="12" t="s">
        <v>727</v>
      </c>
      <c r="B273" s="7" t="s">
        <v>728</v>
      </c>
      <c r="C273" s="7" t="s">
        <v>729</v>
      </c>
      <c r="D273" s="8">
        <v>3600.0</v>
      </c>
      <c r="E273" s="9">
        <v>1.0</v>
      </c>
      <c r="F273" s="10" t="str">
        <f>IFERROR(__xludf.DUMMYFUNCTION("LOWER(REGEXREPLACE(B273&amp;"" ""&amp;C273,""[^а-яa-z0-9 ]"","" ""))")," леопатра   leopatra  каз   рус   англ яз      ейнз  перевод  ужикова      санова    ")</f>
        <v> леопатра   leopatra  каз   рус   англ яз      ейнз  перевод  ужикова      санова    </v>
      </c>
      <c r="G273" s="10" t="str">
        <f>IFERROR(__xludf.DUMMYFUNCTION("TEXTJOIN(""|"",TRUE,UNIQUE(FILTER(SPLIT(F273,"" ""),LEN(SPLIT(F273,"" ""))&gt;2)))"),"леопатра|leopatra|каз|рус|англ|ейнз|перевод|ужикова|санова")</f>
        <v>леопатра|leopatra|каз|рус|англ|ейнз|перевод|ужикова|санова</v>
      </c>
      <c r="I273" s="6"/>
      <c r="J273" s="6"/>
    </row>
    <row r="274">
      <c r="A274" s="12" t="s">
        <v>730</v>
      </c>
      <c r="B274" s="7" t="s">
        <v>731</v>
      </c>
      <c r="C274" s="7" t="s">
        <v>732</v>
      </c>
      <c r="D274" s="8">
        <v>5700.0</v>
      </c>
      <c r="E274" s="9">
        <v>1.0</v>
      </c>
      <c r="F274" s="10" t="str">
        <f>IFERROR(__xludf.DUMMYFUNCTION("LOWER(REGEXREPLACE(B274&amp;"" ""&amp;C274,""[^а-яa-z0-9 ]"","" ""))"),"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использова"&amp;"ния ")</f>
        <v>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использования </v>
      </c>
      <c r="G274" s="10" t="str">
        <f>IFERROR(__xludf.DUMMYFUNCTION("TEXTJOIN(""|"",TRUE,UNIQUE(FILTER(SPLIT(F274,"" ""),LEN(SPLIT(F274,"" ""))&gt;2)))"),"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f>
        <v>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v>
      </c>
      <c r="I274" s="6"/>
      <c r="J274" s="6"/>
    </row>
    <row r="275">
      <c r="A275" s="12" t="s">
        <v>733</v>
      </c>
      <c r="B275" s="7" t="s">
        <v>734</v>
      </c>
      <c r="C275" s="7" t="s">
        <v>735</v>
      </c>
      <c r="D275" s="8">
        <v>700.0</v>
      </c>
      <c r="E275" s="9">
        <v>5.0</v>
      </c>
      <c r="F275" s="10" t="str">
        <f>IFERROR(__xludf.DUMMYFUNCTION("LOWER(REGEXREPLACE(B275&amp;"" ""&amp;C275,""[^а-яa-z0-9 ]"","" ""))"),"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f>
        <v>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v>
      </c>
      <c r="G275" s="10" t="str">
        <f>IFERROR(__xludf.DUMMYFUNCTION("TEXTJOIN(""|"",TRUE,UNIQUE(FILTER(SPLIT(F275,"" ""),LEN(SPLIT(F275,"" ""))&gt;2)))"),"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f>
        <v>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v>
      </c>
      <c r="I275" s="6"/>
      <c r="J275" s="6"/>
    </row>
    <row r="276">
      <c r="A276" s="12" t="s">
        <v>736</v>
      </c>
      <c r="B276" s="7" t="s">
        <v>737</v>
      </c>
      <c r="C276" s="7" t="s">
        <v>738</v>
      </c>
      <c r="D276" s="8">
        <v>700.0</v>
      </c>
      <c r="E276" s="9">
        <v>5.0</v>
      </c>
      <c r="F276" s="10" t="str">
        <f>IFERROR(__xludf.DUMMYFUNCTION("LOWER(REGEXREPLACE(B276&amp;"" ""&amp;C276,""[^а-яa-z0-9 ]"","" ""))"),"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f>
        <v>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v>
      </c>
      <c r="G276" s="10" t="str">
        <f>IFERROR(__xludf.DUMMYFUNCTION("TEXTJOIN(""|"",TRUE,UNIQUE(FILTER(SPLIT(F276,"" ""),LEN(SPLIT(F276,"" ""))&gt;2)))"),"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f>
        <v>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v>
      </c>
      <c r="I276" s="6"/>
      <c r="J276" s="6"/>
    </row>
    <row r="277">
      <c r="A277" s="12" t="s">
        <v>739</v>
      </c>
      <c r="B277" s="7" t="s">
        <v>740</v>
      </c>
      <c r="C277" s="7" t="s">
        <v>741</v>
      </c>
      <c r="D277" s="8">
        <v>700.0</v>
      </c>
      <c r="E277" s="9">
        <v>5.0</v>
      </c>
      <c r="F277" s="10" t="str">
        <f>IFERROR(__xludf.DUMMYFUNCTION("LOWER(REGEXREPLACE(B277&amp;"" ""&amp;C277,""[^а-яa-z0-9 ]"","" ""))"),"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f>
        <v>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v>
      </c>
      <c r="G277" s="10" t="str">
        <f>IFERROR(__xludf.DUMMYFUNCTION("TEXTJOIN(""|"",TRUE,UNIQUE(FILTER(SPLIT(F277,"" ""),LEN(SPLIT(F277,"" ""))&gt;2)))"),"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f>
        <v>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v>
      </c>
      <c r="I277" s="6"/>
      <c r="J277" s="6"/>
    </row>
    <row r="278">
      <c r="A278" s="12" t="s">
        <v>742</v>
      </c>
      <c r="B278" s="7" t="s">
        <v>743</v>
      </c>
      <c r="C278" s="7" t="s">
        <v>744</v>
      </c>
      <c r="D278" s="8">
        <v>9500.0</v>
      </c>
      <c r="E278" s="9">
        <v>7.0</v>
      </c>
      <c r="F278" s="10" t="str">
        <f>IFERROR(__xludf.DUMMYFUNCTION("LOWER(REGEXREPLACE(B278&amp;"" ""&amp;C278,""[^а-яa-z0-9 ]"","" ""))"),"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помещении"&amp;" ")</f>
        <v>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 </v>
      </c>
      <c r="G278" s="10" t="str">
        <f>IFERROR(__xludf.DUMMYFUNCTION("TEXTJOIN(""|"",TRUE,UNIQUE(FILTER(SPLIT(F278,"" ""),LEN(SPLIT(F278,"" ""))&gt;2)))"),"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f>
        <v>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v>
      </c>
      <c r="I278" s="6"/>
      <c r="J278" s="6"/>
    </row>
    <row r="279">
      <c r="A279" s="12" t="s">
        <v>745</v>
      </c>
      <c r="B279" s="7" t="s">
        <v>746</v>
      </c>
      <c r="C279" s="7" t="s">
        <v>747</v>
      </c>
      <c r="D279" s="8">
        <v>35700.0</v>
      </c>
      <c r="E279" s="9">
        <v>7.0</v>
      </c>
      <c r="F279" s="10" t="str">
        <f>IFERROR(__xludf.DUMMYFUNCTION("LOWER(REGEXREPLACE(B279&amp;"" ""&amp;C279,""[^а-яa-z0-9 ]"","" ""))"),"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идент"&amp;"ичности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f>
        <v>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v>
      </c>
      <c r="G279" s="10" t="str">
        <f>IFERROR(__xludf.DUMMYFUNCTION("TEXTJOIN(""|"",TRUE,UNIQUE(FILTER(SPLIT(F279,"" ""),LEN(SPLIT(F279,"" ""))&gt;2)))"),"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amp;"ому|наследию|расширение|кругозора|одходит|для|чтения|педагогом|или|родителями|также|для|тематических|занятий|бесед")</f>
        <v>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ому|наследию|расширение|кругозора|одходит|для|чтения|педагогом|или|родителями|также|для|тематических|занятий|бесед</v>
      </c>
      <c r="I279" s="6"/>
      <c r="J279" s="6"/>
    </row>
    <row r="280">
      <c r="A280" s="12" t="s">
        <v>748</v>
      </c>
      <c r="B280" s="7" t="s">
        <v>749</v>
      </c>
      <c r="C280" s="7" t="s">
        <v>750</v>
      </c>
      <c r="D280" s="8">
        <v>4000.0</v>
      </c>
      <c r="E280" s="9">
        <v>1.0</v>
      </c>
      <c r="F280" s="10" t="str">
        <f>IFERROR(__xludf.DUMMYFUNCTION("LOWER(REGEXREPLACE(B280&amp;"" ""&amp;C280,""[^а-яa-z0-9 ]"","" ""))"),"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о"&amp;"дходит для тематических занятий ")</f>
        <v>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одходит для тематических занятий </v>
      </c>
      <c r="G280" s="10" t="str">
        <f>IFERROR(__xludf.DUMMYFUNCTION("TEXTJOIN(""|"",TRUE,UNIQUE(FILTER(SPLIT(F280,"" ""),LEN(SPLIT(F280,"" ""))&gt;2)))"),"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f>
        <v>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v>
      </c>
      <c r="I280" s="6"/>
      <c r="J280" s="6"/>
    </row>
    <row r="281">
      <c r="A281" s="12" t="s">
        <v>751</v>
      </c>
      <c r="B281" s="7" t="s">
        <v>752</v>
      </c>
      <c r="C281" s="7" t="s">
        <v>753</v>
      </c>
      <c r="D281" s="8">
        <v>12700.0</v>
      </c>
      <c r="E281" s="9">
        <v>1.0</v>
      </c>
      <c r="F281" s="10" t="str">
        <f>IFERROR(__xludf.DUMMYFUNCTION("LOWER(REGEXREPLACE(B281&amp;"" ""&amp;C281,""[^а-яa-z0-9 ]"","" ""))"),"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одх"&amp;"одит для тематических занятий и спокойной деятельности ")</f>
        <v>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одходит для тематических занятий и спокойной деятельности </v>
      </c>
      <c r="G281" s="10" t="str">
        <f>IFERROR(__xludf.DUMMYFUNCTION("TEXTJOIN(""|"",TRUE,UNIQUE(FILTER(SPLIT(F281,"" ""),LEN(SPLIT(F281,"" ""))&gt;2)))"),"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amp;"анятий|спокойной|деятельности")</f>
        <v>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анятий|спокойной|деятельности</v>
      </c>
      <c r="I281" s="6"/>
      <c r="J281" s="6"/>
    </row>
    <row r="282">
      <c r="A282" s="12" t="s">
        <v>754</v>
      </c>
      <c r="B282" s="7" t="s">
        <v>755</v>
      </c>
      <c r="C282" s="7" t="s">
        <v>756</v>
      </c>
      <c r="D282" s="8">
        <v>6700.0</v>
      </c>
      <c r="E282" s="9">
        <v>5.0</v>
      </c>
      <c r="F282" s="10" t="str">
        <f>IFERROR(__xludf.DUMMYFUNCTION("LOWER(REGEXREPLACE(B282&amp;"" ""&amp;C282,""[^а-яa-z0-9 ]"","" ""))"),"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профессиям"&amp;"и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f>
        <v>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v>
      </c>
      <c r="G282" s="10" t="str">
        <f>IFERROR(__xludf.DUMMYFUNCTION("TEXTJOIN(""|"",TRUE,UNIQUE(FILTER(SPLIT(F282,"" ""),LEN(SPLIT(F282,"" ""))&gt;2)))"),"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amp;"тся|при|рассматривании|изображений|обсуждении|расширении|представлений|окружающем|мире|льбомы|подходят|для|использования|образовательной|практике")</f>
        <v>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тся|при|рассматривании|изображений|обсуждении|расширении|представлений|окружающем|мире|льбомы|подходят|для|использования|образовательной|практике</v>
      </c>
      <c r="I282" s="6"/>
      <c r="J282" s="6"/>
    </row>
    <row r="283">
      <c r="A283" s="12" t="s">
        <v>757</v>
      </c>
      <c r="B283" s="7" t="s">
        <v>758</v>
      </c>
      <c r="C283" s="7" t="s">
        <v>759</v>
      </c>
      <c r="D283" s="8">
        <v>7400.0</v>
      </c>
      <c r="E283" s="9">
        <v>5.0</v>
      </c>
      <c r="F283" s="10" t="str">
        <f>IFERROR(__xludf.DUMMYFUNCTION("LOWER(REGEXREPLACE(B283&amp;"" ""&amp;C283,""[^а-яa-z0-9 ]"","" ""))"),"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аккура"&amp;"тное многократное использование   рименяется при совместном чтении и тематических занятиях ")</f>
        <v>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аккуратное многократное использование   рименяется при совместном чтении и тематических занятиях </v>
      </c>
      <c r="G283" s="10" t="str">
        <f>IFERROR(__xludf.DUMMYFUNCTION("TEXTJOIN(""|"",TRUE,UNIQUE(FILTER(SPLIT(F283,"" ""),LEN(SPLIT(F283,"" ""))&gt;2)))"),"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amp;"яется|при|совместном|чтении|тематических|занятиях")</f>
        <v>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яется|при|совместном|чтении|тематических|занятиях</v>
      </c>
      <c r="I283" s="6"/>
      <c r="J283" s="6"/>
    </row>
    <row r="284">
      <c r="A284" s="12" t="s">
        <v>760</v>
      </c>
      <c r="B284" s="7" t="s">
        <v>761</v>
      </c>
      <c r="C284" s="7" t="s">
        <v>762</v>
      </c>
      <c r="D284" s="8">
        <v>7400.0</v>
      </c>
      <c r="E284" s="9">
        <v>5.0</v>
      </c>
      <c r="F284" s="10" t="str">
        <f>IFERROR(__xludf.DUMMYFUNCTION("LOWER(REGEXREPLACE(B284&amp;"" ""&amp;C284,""[^а-яa-z0-9 ]"","" ""))"),"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ак"&amp;"куратного использования   рименяется при совместном чтении и тематических занятиях ")</f>
        <v>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аккуратного использования   рименяется при совместном чтении и тематических занятиях </v>
      </c>
      <c r="G284" s="10" t="str">
        <f>IFERROR(__xludf.DUMMYFUNCTION("TEXTJOIN(""|"",TRUE,UNIQUE(FILTER(SPLIT(F284,"" ""),LEN(SPLIT(F284,"" ""))&gt;2)))"),"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amp;"|при|совместном|чтении|тематических|занятиях")</f>
        <v>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при|совместном|чтении|тематических|занятиях</v>
      </c>
      <c r="I284" s="6"/>
      <c r="J284" s="6"/>
    </row>
    <row r="285">
      <c r="A285" s="12" t="s">
        <v>763</v>
      </c>
      <c r="B285" s="7" t="s">
        <v>764</v>
      </c>
      <c r="C285" s="7" t="s">
        <v>765</v>
      </c>
      <c r="D285" s="8">
        <v>9500.0</v>
      </c>
      <c r="E285" s="9">
        <v>1.0</v>
      </c>
      <c r="F285" s="10" t="str">
        <f>IFERROR(__xludf.DUMMYFUNCTION("LOWER(REGEXREPLACE(B285&amp;"" ""&amp;C285,""[^а-яa-z0-9 ]"","" ""))"),"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рассматривания"&amp;"   артонные страницы рассчитаны на многократное использование ")</f>
        <v>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   артонные страницы рассчитаны на многократное использование </v>
      </c>
      <c r="G285" s="10" t="str">
        <f>IFERROR(__xludf.DUMMYFUNCTION("TEXTJOIN(""|"",TRUE,UNIQUE(FILTER(SPLIT(F285,"" ""),LEN(SPLIT(F285,"" ""))&gt;2)))"),"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amp;"считаны|многократное|использование")</f>
        <v>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считаны|многократное|использование</v>
      </c>
      <c r="I285" s="6"/>
      <c r="J285" s="6"/>
    </row>
    <row r="286">
      <c r="A286" s="12" t="s">
        <v>766</v>
      </c>
      <c r="B286" s="7" t="s">
        <v>767</v>
      </c>
      <c r="C286" s="7" t="s">
        <v>768</v>
      </c>
      <c r="D286" s="8">
        <v>10600.0</v>
      </c>
      <c r="E286" s="9">
        <v>10.0</v>
      </c>
      <c r="F286" s="10" t="str">
        <f>IFERROR(__xludf.DUMMYFUNCTION("LOWER(REGEXREPLACE(B286&amp;"" ""&amp;C286,""[^а-яa-z0-9 ]"","" ""))"),"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ас"&amp;"считан на длительное хранение и использование ")</f>
        <v>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ассчитан на длительное хранение и использование </v>
      </c>
      <c r="G286" s="10" t="str">
        <f>IFERROR(__xludf.DUMMYFUNCTION("TEXTJOIN(""|"",TRUE,UNIQUE(FILTER(SPLIT(F286,"" ""),LEN(SPLIT(F286,"" ""))&gt;2)))"),"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amp;"ние|использование")</f>
        <v>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ние|использование</v>
      </c>
      <c r="I286" s="6"/>
      <c r="J286" s="6"/>
    </row>
    <row r="287">
      <c r="A287" s="12" t="s">
        <v>769</v>
      </c>
      <c r="B287" s="12" t="s">
        <v>770</v>
      </c>
      <c r="C287" s="7" t="s">
        <v>771</v>
      </c>
      <c r="D287" s="8">
        <v>152000.0</v>
      </c>
      <c r="E287" s="9">
        <v>18.0</v>
      </c>
      <c r="F287" s="10" t="str">
        <f>IFERROR(__xludf.DUMMYFUNCTION("LOWER(REGEXREPLACE(B287&amp;"" ""&amp;C287,""[^а-яa-z0-9 ]"","" ""))"),"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f>
        <v>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v>
      </c>
      <c r="G287" s="10" t="str">
        <f>IFERROR(__xludf.DUMMYFUNCTION("TEXTJOIN(""|"",TRUE,UNIQUE(FILTER(SPLIT(F287,"" ""),LEN(SPLIT(F287,"" ""))&gt;2)))"),"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f>
        <v>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v>
      </c>
      <c r="I287" s="6"/>
      <c r="J287" s="6"/>
    </row>
    <row r="288">
      <c r="A288" s="7"/>
      <c r="B288" s="7"/>
      <c r="C288" s="14" t="s">
        <v>772</v>
      </c>
      <c r="D288" s="8">
        <v>34799.0</v>
      </c>
      <c r="E288" s="9">
        <v>1.0</v>
      </c>
      <c r="F288" s="10" t="str">
        <f>IFERROR(__xludf.DUMMYFUNCTION("LOWER(REGEXREPLACE(B288&amp;"" ""&amp;C288,""[^а-яa-z0-9 ]"","" ""))"),"  теллаж двусторонний  3 полки  размер не менее 800х600х1100 мм")</f>
        <v>  теллаж двусторонний  3 полки  размер не менее 800х600х1100 мм</v>
      </c>
      <c r="G288" s="10" t="str">
        <f>IFERROR(__xludf.DUMMYFUNCTION("TEXTJOIN(""|"",TRUE,UNIQUE(FILTER(SPLIT(F288,"" ""),LEN(SPLIT(F288,"" ""))&gt;2)))"),"теллаж|двусторонний|полки|размер|менее|800х600х1100")</f>
        <v>теллаж|двусторонний|полки|размер|менее|800х600х1100</v>
      </c>
      <c r="I288" s="6"/>
      <c r="J288" s="6"/>
    </row>
    <row r="289">
      <c r="A289" s="12" t="s">
        <v>773</v>
      </c>
      <c r="B289" s="7" t="s">
        <v>774</v>
      </c>
      <c r="C289" s="7" t="s">
        <v>775</v>
      </c>
      <c r="D289" s="8">
        <v>20700.0</v>
      </c>
      <c r="E289" s="9">
        <v>1.0</v>
      </c>
      <c r="F289" s="10" t="str">
        <f>IFERROR(__xludf.DUMMYFUNCTION("LOWER(REGEXREPLACE(B289&amp;"" ""&amp;C289,""[^а-яa-z0-9 ]"","" ""))")," ов р с казахскими орнаментами  ягкий ков р для зоны чтения и отдыха с традиционными казахскими узорами   снащ н антискользящим основанием ")</f>
        <v> ов р с казахскими орнаментами  ягкий ков р для зоны чтения и отдыха с традиционными казахскими узорами   снащ н антискользящим основанием </v>
      </c>
      <c r="G289" s="10" t="str">
        <f>IFERROR(__xludf.DUMMYFUNCTION("TEXTJOIN(""|"",TRUE,UNIQUE(FILTER(SPLIT(F289,"" ""),LEN(SPLIT(F289,"" ""))&gt;2)))"),"казахскими|орнаментами|ягкий|ков|для|зоны|чтения|отдыха|традиционными|казахскими|узорами|снащ|антискользящим|основанием")</f>
        <v>казахскими|орнаментами|ягкий|ков|для|зоны|чтения|отдыха|традиционными|казахскими|узорами|снащ|антискользящим|основанием</v>
      </c>
      <c r="I289" s="6"/>
      <c r="J289" s="6"/>
    </row>
    <row r="290">
      <c r="A290" s="12" t="s">
        <v>776</v>
      </c>
      <c r="B290" s="7" t="s">
        <v>777</v>
      </c>
      <c r="C290" s="7" t="s">
        <v>778</v>
      </c>
      <c r="D290" s="8">
        <v>4500.0</v>
      </c>
      <c r="E290" s="9">
        <v>25.0</v>
      </c>
      <c r="F290" s="10" t="str">
        <f>IFERROR(__xludf.DUMMYFUNCTION("LOWER(REGEXREPLACE(B290&amp;"" ""&amp;C290,""[^а-яa-z0-9 ]"","" ""))"),"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скольжени"&amp;"ю и л гкий в уходе   ассчитан на регулярное использование ")</f>
        <v>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скольжению и л гкий в уходе   ассчитан на регулярное использование </v>
      </c>
      <c r="G290" s="10" t="str">
        <f>IFERROR(__xludf.DUMMYFUNCTION("TEXTJOIN(""|"",TRUE,UNIQUE(FILTER(SPLIT(F290,"" ""),LEN(SPLIT(F290,"" ""))&gt;2)))"),"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f>
        <v>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v>
      </c>
      <c r="I290" s="6"/>
      <c r="J290" s="6"/>
    </row>
    <row r="291">
      <c r="A291" s="12" t="s">
        <v>779</v>
      </c>
      <c r="B291" s="7" t="s">
        <v>780</v>
      </c>
      <c r="C291" s="7" t="s">
        <v>781</v>
      </c>
      <c r="D291" s="8">
        <v>2900.0</v>
      </c>
      <c r="E291" s="9">
        <v>15.0</v>
      </c>
      <c r="F291" s="10" t="str">
        <f>IFERROR(__xludf.DUMMYFUNCTION("LOWER(REGEXREPLACE(B291&amp;"" ""&amp;C291,""[^а-яa-z0-9 ]"","" ""))"),"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м"&amp;"еста    комплект входит не менее 4 ковриков   азмер одного коврика   не менее 39 29 см  возможны дополнительные меньшие форматы  ")</f>
        <v>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места    комплект входит не менее 4 ковриков   азмер одного коврика   не менее 39 29 см  возможны дополнительные меньшие форматы  </v>
      </c>
      <c r="G291" s="10" t="str">
        <f>IFERROR(__xludf.DUMMYFUNCTION("TEXTJOIN(""|"",TRUE,UNIQUE(FILTER(SPLIT(F291,"" ""),LEN(SPLIT(F291,"" ""))&gt;2)))"),"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amp;"е|ковриков|азмер|одного|коврика|менее|возможны|дополнительные|меньшие|форматы")</f>
        <v>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е|ковриков|азмер|одного|коврика|менее|возможны|дополнительные|меньшие|форматы</v>
      </c>
      <c r="I291" s="6"/>
      <c r="J291" s="6"/>
    </row>
    <row r="292">
      <c r="A292" s="12" t="s">
        <v>782</v>
      </c>
      <c r="B292" s="7" t="s">
        <v>783</v>
      </c>
      <c r="C292" s="7" t="s">
        <v>784</v>
      </c>
      <c r="D292" s="8">
        <v>12400.0</v>
      </c>
      <c r="E292" s="9">
        <v>1.0</v>
      </c>
      <c r="F292" s="10" t="str">
        <f>IFERROR(__xludf.DUMMYFUNCTION("LOWER(REGEXREPLACE(B292&amp;"" ""&amp;C292,""[^а-яa-z0-9 ]"","" ""))"),"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пастельн"&amp;"ые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f>
        <v>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v>
      </c>
      <c r="G292" s="10" t="str">
        <f>IFERROR(__xludf.DUMMYFUNCTION("TEXTJOIN(""|"",TRUE,UNIQUE(FILTER(SPLIT(F292,"" ""),LEN(SPLIT(F292,"" ""))&gt;2)))"),"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amp;"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f>
        <v>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v>
      </c>
      <c r="I292" s="6"/>
      <c r="J292" s="6"/>
    </row>
    <row r="293">
      <c r="A293" s="12" t="s">
        <v>785</v>
      </c>
      <c r="B293" s="7" t="s">
        <v>786</v>
      </c>
      <c r="C293" s="7" t="s">
        <v>361</v>
      </c>
      <c r="D293" s="8">
        <v>7900.0</v>
      </c>
      <c r="E293" s="9">
        <v>1.0</v>
      </c>
      <c r="F293" s="10" t="str">
        <f>IFERROR(__xludf.DUMMYFUNCTION("LOWER(REGEXREPLACE(B293&amp;"" ""&amp;C293,""[^а-яa-z0-9 ]"","" ""))")," озы  орпеш    аян сулу  рус   англ    дапт   умисбаев   ")</f>
        <v> озы  орпеш    аян сулу  рус   англ    дапт   умисбаев   </v>
      </c>
      <c r="G293" s="10" t="str">
        <f>IFERROR(__xludf.DUMMYFUNCTION("TEXTJOIN(""|"",TRUE,UNIQUE(FILTER(SPLIT(F293,"" ""),LEN(SPLIT(F293,"" ""))&gt;2)))"),"озы|орпеш|аян|сулу|рус|англ|дапт|умисбаев")</f>
        <v>озы|орпеш|аян|сулу|рус|англ|дапт|умисбаев</v>
      </c>
      <c r="I293" s="6"/>
      <c r="J293" s="6"/>
    </row>
    <row r="294">
      <c r="A294" s="12" t="s">
        <v>787</v>
      </c>
      <c r="B294" s="7" t="s">
        <v>788</v>
      </c>
      <c r="C294" s="7" t="s">
        <v>107</v>
      </c>
      <c r="D294" s="8">
        <v>1400.0</v>
      </c>
      <c r="E294" s="9">
        <v>1.0</v>
      </c>
      <c r="F294" s="10" t="str">
        <f>IFERROR(__xludf.DUMMYFUNCTION("LOWER(REGEXREPLACE(B294&amp;"" ""&amp;C294,""[^а-яa-z0-9 ]"","" ""))"),"   ылды  бояма    й    мная  раскраска   аскрась по коду   ом  енаги   ")</f>
        <v>   ылды  бояма    й    мная  раскраска   аскрась по коду   ом  енаги   </v>
      </c>
      <c r="G294" s="10" t="str">
        <f>IFERROR(__xludf.DUMMYFUNCTION("TEXTJOIN(""|"",TRUE,UNIQUE(FILTER(SPLIT(F294,"" ""),LEN(SPLIT(F294,"" ""))&gt;2)))"),"ылды|бояма|мная|раскраска|аскрась|коду|енаги")</f>
        <v>ылды|бояма|мная|раскраска|аскрась|коду|енаги</v>
      </c>
      <c r="I294" s="6"/>
      <c r="J294" s="6"/>
    </row>
    <row r="295">
      <c r="A295" s="12" t="s">
        <v>789</v>
      </c>
      <c r="B295" s="7" t="s">
        <v>790</v>
      </c>
      <c r="C295" s="7" t="s">
        <v>413</v>
      </c>
      <c r="D295" s="8">
        <v>19000.0</v>
      </c>
      <c r="E295" s="9">
        <v>1.0</v>
      </c>
      <c r="F295" s="10" t="str">
        <f>IFERROR(__xludf.DUMMYFUNCTION("LOWER(REGEXREPLACE(B295&amp;"" ""&amp;C295,""[^а-яa-z0-9 ]"","" ""))")," нтология планеты земля  лдершоу   ")</f>
        <v> нтология планеты земля  лдершоу   </v>
      </c>
      <c r="G295" s="10" t="str">
        <f>IFERROR(__xludf.DUMMYFUNCTION("TEXTJOIN(""|"",TRUE,UNIQUE(FILTER(SPLIT(F295,"" ""),LEN(SPLIT(F295,"" ""))&gt;2)))"),"нтология|планеты|земля|лдершоу")</f>
        <v>нтология|планеты|земля|лдершоу</v>
      </c>
      <c r="I295" s="6"/>
      <c r="J295" s="6"/>
    </row>
    <row r="296">
      <c r="A296" s="12" t="s">
        <v>791</v>
      </c>
      <c r="B296" s="7" t="s">
        <v>792</v>
      </c>
      <c r="C296" s="7" t="s">
        <v>793</v>
      </c>
      <c r="D296" s="8">
        <v>18400.0</v>
      </c>
      <c r="E296" s="9">
        <v>10.0</v>
      </c>
      <c r="F296" s="10" t="str">
        <f>IFERROR(__xludf.DUMMYFUNCTION("LOWER(REGEXREPLACE(B296&amp;"" ""&amp;C296,""[^а-яa-z0-9 ]"","" ""))"),"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должны"&amp;"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f>
        <v>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v>
      </c>
      <c r="G296" s="10" t="str">
        <f>IFERROR(__xludf.DUMMYFUNCTION("TEXTJOIN(""|"",TRUE,UNIQUE(FILTER(SPLIT(F296,"" ""),LEN(SPLIT(F296,"" ""))&gt;2)))"),"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amp;"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f>
        <v>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v>
      </c>
      <c r="I296" s="6"/>
      <c r="J296" s="6"/>
    </row>
    <row r="297">
      <c r="A297" s="12" t="s">
        <v>794</v>
      </c>
      <c r="B297" s="7" t="s">
        <v>795</v>
      </c>
      <c r="C297" s="7" t="s">
        <v>796</v>
      </c>
      <c r="D297" s="8">
        <v>22800.0</v>
      </c>
      <c r="E297" s="9">
        <v>1.0</v>
      </c>
      <c r="F297" s="10" t="str">
        <f>IFERROR(__xludf.DUMMYFUNCTION("LOWER(REGEXREPLACE(B297&amp;"" ""&amp;C297,""[^а-яa-z0-9 ]"","" ""))"),"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о"&amp;"треза ткани   не менее 1 м  при поставке единицей товара    ветовая гамма допускает различные варианты по ассортименту ")</f>
        <v>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отреза ткани   не менее 1 м  при поставке единицей товара    ветовая гамма допускает различные варианты по ассортименту </v>
      </c>
      <c r="G297" s="10" t="str">
        <f>IFERROR(__xludf.DUMMYFUNCTION("TEXTJOIN(""|"",TRUE,UNIQUE(FILTER(SPLIT(F297,"" ""),LEN(SPLIT(F297,"" ""))&gt;2)))"),"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amp;"авке|единицей|товара|ветовая|гамма|допускает|различные|варианты|ассортименту")</f>
        <v>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авке|единицей|товара|ветовая|гамма|допускает|различные|варианты|ассортименту</v>
      </c>
      <c r="I297" s="6"/>
      <c r="J297" s="6"/>
    </row>
    <row r="298">
      <c r="A298" s="12" t="s">
        <v>797</v>
      </c>
      <c r="B298" s="7" t="s">
        <v>798</v>
      </c>
      <c r="C298" s="7" t="s">
        <v>799</v>
      </c>
      <c r="D298" s="8">
        <v>470300.0</v>
      </c>
      <c r="E298" s="9">
        <v>1.0</v>
      </c>
      <c r="F298" s="10" t="str">
        <f>IFERROR(__xludf.DUMMYFUNCTION("LOWER(REGEXREPLACE(B298&amp;"" ""&amp;C298,""[^а-яa-z0-9 ]"","" ""))")," олода для рубки мяса верх пэ ce ekp70x70  ержавеющая сталь 430   олщина  полиэтилена  10 cm    бортиком  без полки   араметры  700x700x850 мм")</f>
        <v> олода для рубки мяса верх пэ ce ekp70x70  ержавеющая сталь 430   олщина  полиэтилена  10 cm    бортиком  без полки   араметры  700x700x850 мм</v>
      </c>
      <c r="G298" s="10" t="str">
        <f>IFERROR(__xludf.DUMMYFUNCTION("TEXTJOIN(""|"",TRUE,UNIQUE(FILTER(SPLIT(F298,"" ""),LEN(SPLIT(F298,"" ""))&gt;2)))"),"олода|для|рубки|мяса|верх|ekp70x70|ержавеющая|сталь|430|олщина|полиэтилена|бортиком|без|полки|араметры|700x700x850")</f>
        <v>олода|для|рубки|мяса|верх|ekp70x70|ержавеющая|сталь|430|олщина|полиэтилена|бортиком|без|полки|араметры|700x700x850</v>
      </c>
      <c r="I298" s="6"/>
      <c r="J298" s="6"/>
    </row>
    <row r="299">
      <c r="A299" s="12" t="s">
        <v>800</v>
      </c>
      <c r="B299" s="7" t="s">
        <v>801</v>
      </c>
      <c r="C299" s="7" t="s">
        <v>802</v>
      </c>
      <c r="D299" s="8">
        <v>4500.0</v>
      </c>
      <c r="E299" s="9">
        <v>175.0</v>
      </c>
      <c r="F299" s="10" t="str">
        <f>IFERROR(__xludf.DUMMYFUNCTION("LOWER(REGEXREPLACE(B299&amp;"" ""&amp;C299,""[^а-яa-z0-9 ]"","" ""))"),"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проч"&amp;"ность и удобство удержания   абариты изделия составляют не менее 6 5 6 5 12 см   ассчитан на многократное использование в помещении ")</f>
        <v>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прочность и удобство удержания   абариты изделия составляют не менее 6 5 6 5 12 см   ассчитан на многократное использование в помещении </v>
      </c>
      <c r="G299" s="10" t="str">
        <f>IFERROR(__xludf.DUMMYFUNCTION("TEXTJOIN(""|"",TRUE,UNIQUE(FILTER(SPLIT(F299,"" ""),LEN(SPLIT(F299,"" ""))&gt;2)))"),"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amp;"ржания|абариты|изделия|составляют|менее|ассчитан|многократное|использование|помещении")</f>
        <v>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ржания|абариты|изделия|составляют|менее|ассчитан|многократное|использование|помещении</v>
      </c>
      <c r="I299" s="6"/>
      <c r="J299" s="6"/>
    </row>
    <row r="300">
      <c r="A300" s="12" t="s">
        <v>803</v>
      </c>
      <c r="B300" s="7" t="s">
        <v>804</v>
      </c>
      <c r="C300" s="7" t="s">
        <v>805</v>
      </c>
      <c r="D300" s="8">
        <v>19000.0</v>
      </c>
      <c r="E300" s="9">
        <v>2.0</v>
      </c>
      <c r="F300" s="10" t="str">
        <f>IFERROR(__xludf.DUMMYFUNCTION("LOWER(REGEXREPLACE(B300&amp;"" ""&amp;C300,""[^а-яa-z0-9 ]"","" ""))"),"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"&amp;"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f>
        <v>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v>
      </c>
      <c r="G300" s="10" t="str">
        <f>IFERROR(__xludf.DUMMYFUNCTION("TEXTJOIN(""|"",TRUE,UNIQUE(FILTER(SPLIT(F300,"" ""),LEN(SPLIT(F300,"" ""))&gt;2)))"),"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amp;"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f>
        <v>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v>
      </c>
      <c r="I300" s="6"/>
      <c r="J300" s="6"/>
    </row>
    <row r="301">
      <c r="A301" s="12" t="s">
        <v>806</v>
      </c>
      <c r="B301" s="7" t="s">
        <v>807</v>
      </c>
      <c r="C301" s="7" t="s">
        <v>808</v>
      </c>
      <c r="D301" s="8">
        <v>23500.0</v>
      </c>
      <c r="E301" s="9">
        <v>10.0</v>
      </c>
      <c r="F301" s="10" t="str">
        <f>IFERROR(__xludf.DUMMYFUNCTION("LOWER(REGEXREPLACE(B301&amp;"" ""&amp;C301,""[^а-яa-z0-9 ]"","" ""))"),"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игровые"&amp;"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"&amp;"время игры ")</f>
        <v>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время игры </v>
      </c>
      <c r="G301" s="10" t="str">
        <f>IFERROR(__xludf.DUMMYFUNCTION("TEXTJOIN(""|"",TRUE,UNIQUE(FILTER(SPLIT(F301,"" ""),LEN(SPLIT(F301,"" ""))&gt;2)))"),"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amp;"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f>
        <v>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v>
      </c>
      <c r="I301" s="6"/>
      <c r="J301" s="6"/>
    </row>
    <row r="302">
      <c r="A302" s="12" t="s">
        <v>809</v>
      </c>
      <c r="B302" s="7" t="s">
        <v>810</v>
      </c>
      <c r="C302" s="7" t="s">
        <v>811</v>
      </c>
      <c r="D302" s="8">
        <v>1472500.0</v>
      </c>
      <c r="E302" s="9">
        <v>1.0</v>
      </c>
      <c r="F302" s="10" t="str">
        <f>IFERROR(__xludf.DUMMYFUNCTION("LOWER(REGEXREPLACE(B302&amp;"" ""&amp;C302,""[^а-яa-z0-9 ]"","" ""))"),"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стимул"&amp;"яции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f>
        <v>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v>
      </c>
      <c r="G302" s="10" t="str">
        <f>IFERROR(__xludf.DUMMYFUNCTION("TEXTJOIN(""|"",TRUE,UNIQUE(FILTER(SPLIT(F302,"" ""),LEN(SPLIT(F302,"" ""))&gt;2)))"),"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amp;"жения|эмоционального|напряжения|онструкция|устойчивая|предназначена|для|стационарного|размещения|сенсорных|психологических|зонах")</f>
        <v>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жения|эмоционального|напряжения|онструкция|устойчивая|предназначена|для|стационарного|размещения|сенсорных|психологических|зонах</v>
      </c>
      <c r="I302" s="6"/>
      <c r="J302" s="6"/>
    </row>
    <row r="303">
      <c r="A303" s="12" t="s">
        <v>812</v>
      </c>
      <c r="B303" s="7" t="s">
        <v>813</v>
      </c>
      <c r="C303" s="7" t="s">
        <v>814</v>
      </c>
      <c r="D303" s="8">
        <v>9100.0</v>
      </c>
      <c r="E303" s="9">
        <v>25.0</v>
      </c>
      <c r="F303" s="10" t="str">
        <f>IFERROR(__xludf.DUMMYFUNCTION("LOWER(REGEXREPLACE(B303&amp;"" ""&amp;C303,""[^а-яa-z0-9 ]"","" ""))"),"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цветораз"&amp;"личения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f>
        <v>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v>
      </c>
      <c r="G303" s="10" t="str">
        <f>IFERROR(__xludf.DUMMYFUNCTION("TEXTJOIN(""|"",TRUE,UNIQUE(FILTER(SPLIT(F303,"" ""),LEN(SPLIT(F303,"" ""))&gt;2)))"),"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amp;"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f>
        <v>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v>
      </c>
      <c r="I303" s="6"/>
      <c r="J303" s="6"/>
    </row>
    <row r="304">
      <c r="A304" s="12" t="s">
        <v>815</v>
      </c>
      <c r="B304" s="7" t="s">
        <v>816</v>
      </c>
      <c r="C304" s="7" t="s">
        <v>817</v>
      </c>
      <c r="D304" s="8">
        <v>195400.0</v>
      </c>
      <c r="E304" s="9">
        <v>1.0</v>
      </c>
      <c r="F304" s="10" t="str">
        <f>IFERROR(__xludf.DUMMYFUNCTION("LOWER(REGEXREPLACE(B304&amp;"" ""&amp;C304,""[^а-яa-z0-9 ]"","" ""))"),"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социаль"&amp;"ные навыки  речь  эмоциональный интеллект и навыки взаимодействия   спользуется в психологических и игровых кабинетах ")</f>
        <v>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социальные навыки  речь  эмоциональный интеллект и навыки взаимодействия   спользуется в психологических и игровых кабинетах </v>
      </c>
      <c r="G304" s="10" t="str">
        <f>IFERROR(__xludf.DUMMYFUNCTION("TEXTJOIN(""|"",TRUE,UNIQUE(FILTER(SPLIT(F304,"" ""),LEN(SPLIT(F304,"" ""))&gt;2)))"),"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amp;"ечь|эмоциональный|интеллект|навыки|взаимодействия|спользуется|психологических|игровых|кабинетах")</f>
        <v>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ечь|эмоциональный|интеллект|навыки|взаимодействия|спользуется|психологических|игровых|кабинетах</v>
      </c>
      <c r="I304" s="6"/>
      <c r="J304" s="6"/>
    </row>
    <row r="305">
      <c r="A305" s="12" t="s">
        <v>818</v>
      </c>
      <c r="B305" s="7" t="s">
        <v>819</v>
      </c>
      <c r="C305" s="7" t="s">
        <v>820</v>
      </c>
      <c r="D305" s="8">
        <v>19000.0</v>
      </c>
      <c r="E305" s="9">
        <v>1.0</v>
      </c>
      <c r="F305" s="10" t="str">
        <f>IFERROR(__xludf.DUMMYFUNCTION("LOWER(REGEXREPLACE(B305&amp;"" ""&amp;C305,""[^а-яa-z0-9 ]"","" ""))"),"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для"&amp;" индивидуальных и подгрупповых занятий  а также в коррекционно развивающей практике ")</f>
        <v>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 индивидуальных и подгрупповых занятий  а также в коррекционно развивающей практике </v>
      </c>
      <c r="G305" s="10" t="str">
        <f>IFERROR(__xludf.DUMMYFUNCTION("TEXTJOIN(""|"",TRUE,UNIQUE(FILTER(SPLIT(F305,"" ""),LEN(SPLIT(F305,"" ""))&gt;2)))"),"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amp;"овых|занятий|также|коррекционно|развивающей|практике")</f>
        <v>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овых|занятий|также|коррекционно|развивающей|практике</v>
      </c>
      <c r="I305" s="6"/>
      <c r="J305" s="6"/>
    </row>
    <row r="306">
      <c r="A306" s="12" t="s">
        <v>821</v>
      </c>
      <c r="B306" s="7" t="s">
        <v>822</v>
      </c>
      <c r="C306" s="7" t="s">
        <v>823</v>
      </c>
      <c r="D306" s="8">
        <v>18000.0</v>
      </c>
      <c r="E306" s="9">
        <v>1.0</v>
      </c>
      <c r="F306" s="10" t="str">
        <f>IFERROR(__xludf.DUMMYFUNCTION("LOWER(REGEXREPLACE(B306&amp;"" ""&amp;C306,""[^а-яa-z0-9 ]"","" ""))"),"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"&amp;"помещениях учреждения ")</f>
        <v>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помещениях учреждения </v>
      </c>
      <c r="G306" s="10" t="str">
        <f>IFERROR(__xludf.DUMMYFUNCTION("TEXTJOIN(""|"",TRUE,UNIQUE(FILTER(SPLIT(F306,"" ""),LEN(SPLIT(F306,"" ""))&gt;2)))"),"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amp;"ния")</f>
        <v>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ния</v>
      </c>
      <c r="I306" s="6"/>
      <c r="J306" s="6"/>
    </row>
    <row r="307">
      <c r="A307" s="12" t="s">
        <v>824</v>
      </c>
      <c r="B307" s="7" t="s">
        <v>825</v>
      </c>
      <c r="C307" s="7" t="s">
        <v>826</v>
      </c>
      <c r="D307" s="8">
        <v>10600.0</v>
      </c>
      <c r="E307" s="9">
        <v>5.0</v>
      </c>
      <c r="F307" s="10" t="str">
        <f>IFERROR(__xludf.DUMMYFUNCTION("LOWER(REGEXREPLACE(B307&amp;"" ""&amp;C307,""[^а-яa-z0-9 ]"","" ""))"),"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ар"&amp;"точки рассчитаны на регулярное использование ")</f>
        <v>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арточки рассчитаны на регулярное использование </v>
      </c>
      <c r="G307" s="10" t="str">
        <f>IFERROR(__xludf.DUMMYFUNCTION("TEXTJOIN(""|"",TRUE,UNIQUE(FILTER(SPLIT(F307,"" ""),LEN(SPLIT(F307,"" ""))&gt;2)))"),"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amp;"спользование")</f>
        <v>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спользование</v>
      </c>
      <c r="I307" s="6"/>
      <c r="J307" s="6"/>
    </row>
    <row r="308">
      <c r="A308" s="12" t="s">
        <v>827</v>
      </c>
      <c r="B308" s="7" t="s">
        <v>828</v>
      </c>
      <c r="C308" s="7" t="s">
        <v>829</v>
      </c>
      <c r="D308" s="8">
        <v>47500.0</v>
      </c>
      <c r="E308" s="9">
        <v>7.0</v>
      </c>
      <c r="F308" s="10" t="str">
        <f>IFERROR(__xludf.DUMMYFUNCTION("LOWER(REGEXREPLACE(B308&amp;"" ""&amp;C308,""[^а-яa-z0-9 ]"","" ""))"),"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для"&amp;" организации книжного уголка и тематических занятий   ассчитан на регулярное использование ")</f>
        <v>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 организации книжного уголка и тематических занятий   ассчитан на регулярное использование </v>
      </c>
      <c r="G308" s="10" t="str">
        <f>IFERROR(__xludf.DUMMYFUNCTION("TEXTJOIN(""|"",TRUE,UNIQUE(FILTER(SPLIT(F308,"" ""),LEN(SPLIT(F308,"" ""))&gt;2)))"),"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amp;"|занятий|ассчитан|регулярное|использование")</f>
        <v>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занятий|ассчитан|регулярное|использование</v>
      </c>
      <c r="I308" s="6"/>
      <c r="J308" s="6"/>
    </row>
    <row r="309">
      <c r="A309" s="12" t="s">
        <v>830</v>
      </c>
      <c r="B309" s="7" t="s">
        <v>831</v>
      </c>
      <c r="C309" s="7" t="s">
        <v>832</v>
      </c>
      <c r="D309" s="8">
        <v>714000.0</v>
      </c>
      <c r="E309" s="9">
        <v>45.0</v>
      </c>
      <c r="F309" s="10" t="str">
        <f>IFERROR(__xludf.DUMMYFUNCTION("LOWER(REGEXREPLACE(B309&amp;"" ""&amp;C309,""[^а-яa-z0-9 ]"","" ""))"),"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гк"&amp;"ость ухода  износостойкость и долговечность ")</f>
        <v>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гкость ухода  износостойкость и долговечность </v>
      </c>
      <c r="G309" s="10" t="str">
        <f>IFERROR(__xludf.DUMMYFUNCTION("TEXTJOIN(""|"",TRUE,UNIQUE(FILTER(SPLIT(F309,"" ""),LEN(SPLIT(F309,"" ""))&gt;2)))"),"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amp;"говечность")</f>
        <v>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говечность</v>
      </c>
      <c r="I309" s="6"/>
      <c r="J309" s="6"/>
    </row>
    <row r="310">
      <c r="A310" s="12" t="s">
        <v>833</v>
      </c>
      <c r="B310" s="7" t="s">
        <v>834</v>
      </c>
      <c r="C310" s="7" t="s">
        <v>835</v>
      </c>
      <c r="D310" s="8">
        <v>36000.0</v>
      </c>
      <c r="E310" s="9">
        <v>960.0</v>
      </c>
      <c r="F310" s="10" t="str">
        <f>IFERROR(__xludf.DUMMYFUNCTION("LOWER(REGEXREPLACE(B310&amp;"" ""&amp;C310,""[^а-яa-z0-9 ]"","" ""))"),"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обработки"&amp;" ")</f>
        <v>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 </v>
      </c>
      <c r="G310" s="10" t="str">
        <f>IFERROR(__xludf.DUMMYFUNCTION("TEXTJOIN(""|"",TRUE,UNIQUE(FILTER(SPLIT(F310,"" ""),LEN(SPLIT(F310,"" ""))&gt;2)))"),"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f>
        <v>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v>
      </c>
      <c r="I310" s="6"/>
      <c r="J310" s="6"/>
    </row>
    <row r="311">
      <c r="A311" s="12" t="s">
        <v>836</v>
      </c>
      <c r="B311" s="7" t="s">
        <v>837</v>
      </c>
      <c r="C311" s="7" t="s">
        <v>838</v>
      </c>
      <c r="D311" s="8">
        <v>5700.0</v>
      </c>
      <c r="E311" s="9">
        <v>1.0</v>
      </c>
      <c r="F311" s="10" t="str">
        <f>IFERROR(__xludf.DUMMYFUNCTION("LOWER(REGEXREPLACE(B311&amp;"" ""&amp;C311,""[^а-яa-z0-9 ]"","" ""))")," омпьютерл к программалау   алалар а арнал ан  ордерман   ")</f>
        <v> омпьютерл к программалау   алалар а арнал ан  ордерман   </v>
      </c>
      <c r="G311" s="10" t="str">
        <f>IFERROR(__xludf.DUMMYFUNCTION("TEXTJOIN(""|"",TRUE,UNIQUE(FILTER(SPLIT(F311,"" ""),LEN(SPLIT(F311,"" ""))&gt;2)))"),"омпьютерл|программалау|алалар|арнал|ордерман")</f>
        <v>омпьютерл|программалау|алалар|арнал|ордерман</v>
      </c>
      <c r="I311" s="6"/>
      <c r="J311" s="6"/>
    </row>
    <row r="312">
      <c r="A312" s="12" t="s">
        <v>839</v>
      </c>
      <c r="B312" s="7" t="s">
        <v>840</v>
      </c>
      <c r="C312" s="7" t="s">
        <v>841</v>
      </c>
      <c r="D312" s="8">
        <v>37900.0</v>
      </c>
      <c r="E312" s="9">
        <v>1.0</v>
      </c>
      <c r="F312" s="10" t="str">
        <f>IFERROR(__xludf.DUMMYFUNCTION("LOWER(REGEXREPLACE(B312&amp;"" ""&amp;C312,""[^а-яa-z0-9 ]"","" ""))")," онный мир казахов  октабай   ")</f>
        <v> онный мир казахов  октабай   </v>
      </c>
      <c r="G312" s="10" t="str">
        <f>IFERROR(__xludf.DUMMYFUNCTION("TEXTJOIN(""|"",TRUE,UNIQUE(FILTER(SPLIT(F312,"" ""),LEN(SPLIT(F312,"" ""))&gt;2)))"),"онный|мир|казахов|октабай")</f>
        <v>онный|мир|казахов|октабай</v>
      </c>
      <c r="I312" s="6"/>
      <c r="J312" s="6"/>
    </row>
    <row r="313">
      <c r="A313" s="12" t="s">
        <v>842</v>
      </c>
      <c r="B313" s="7" t="s">
        <v>843</v>
      </c>
      <c r="C313" s="7" t="s">
        <v>844</v>
      </c>
      <c r="D313" s="8">
        <v>14300.0</v>
      </c>
      <c r="E313" s="9">
        <v>14.0</v>
      </c>
      <c r="F313" s="10" t="str">
        <f>IFERROR(__xludf.DUMMYFUNCTION("LOWER(REGEXREPLACE(B313&amp;"" ""&amp;C313,""[^а-яa-z0-9 ]"","" ""))"),"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f>
        <v>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v>
      </c>
      <c r="G313" s="10" t="str">
        <f>IFERROR(__xludf.DUMMYFUNCTION("TEXTJOIN(""|"",TRUE,UNIQUE(FILTER(SPLIT(F313,"" ""),LEN(SPLIT(F313,"" ""))&gt;2)))"),"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f>
        <v>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v>
      </c>
      <c r="I313" s="6"/>
      <c r="J313" s="6"/>
    </row>
    <row r="314">
      <c r="A314" s="12" t="s">
        <v>845</v>
      </c>
      <c r="B314" s="7" t="s">
        <v>846</v>
      </c>
      <c r="C314" s="7" t="s">
        <v>847</v>
      </c>
      <c r="D314" s="8">
        <v>34700.0</v>
      </c>
      <c r="E314" s="9">
        <v>1.0</v>
      </c>
      <c r="F314" s="10" t="str">
        <f>IFERROR(__xludf.DUMMYFUNCTION("LOWER(REGEXREPLACE(B314&amp;"" ""&amp;C314,""[^а-яa-z0-9 ]"","" ""))"),"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f>
        <v>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v>
      </c>
      <c r="G314" s="10" t="str">
        <f>IFERROR(__xludf.DUMMYFUNCTION("TEXTJOIN(""|"",TRUE,UNIQUE(FILTER(SPLIT(F314,"" ""),LEN(SPLIT(F314,"" ""))&gt;2)))"),"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f>
        <v>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v>
      </c>
      <c r="I314" s="6"/>
      <c r="J314" s="6"/>
    </row>
    <row r="315">
      <c r="A315" s="12" t="s">
        <v>848</v>
      </c>
      <c r="B315" s="7" t="s">
        <v>849</v>
      </c>
      <c r="C315" s="7" t="s">
        <v>850</v>
      </c>
      <c r="D315" s="8">
        <v>46700.0</v>
      </c>
      <c r="E315" s="9">
        <v>5.0</v>
      </c>
      <c r="F315" s="10" t="str">
        <f>IFERROR(__xludf.DUMMYFUNCTION("LOWER(REGEXREPLACE(B315&amp;"" ""&amp;C315,""[^а-яa-z0-9 ]"","" ""))"),"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f>
        <v>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v>
      </c>
      <c r="G315" s="10" t="str">
        <f>IFERROR(__xludf.DUMMYFUNCTION("TEXTJOIN(""|"",TRUE,UNIQUE(FILTER(SPLIT(F315,"" ""),LEN(SPLIT(F315,"" ""))&gt;2)))"),"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f>
        <v>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v>
      </c>
      <c r="I315" s="6"/>
      <c r="J315" s="6"/>
    </row>
    <row r="316">
      <c r="A316" s="12" t="s">
        <v>851</v>
      </c>
      <c r="B316" s="7" t="s">
        <v>852</v>
      </c>
      <c r="C316" s="7" t="s">
        <v>853</v>
      </c>
      <c r="D316" s="8">
        <v>34100.0</v>
      </c>
      <c r="E316" s="9">
        <v>5.0</v>
      </c>
      <c r="F316" s="10" t="str">
        <f>IFERROR(__xludf.DUMMYFUNCTION("LOWER(REGEXREPLACE(B316&amp;"" ""&amp;C316,""[^а-яa-z0-9 ]"","" ""))"),"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объек"&amp;"тов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сбор"&amp;"ку и разборку в условиях образовательной среды ")</f>
        <v>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сборку и разборку в условиях образовательной среды </v>
      </c>
      <c r="G316" s="10" t="str">
        <f>IFERROR(__xludf.DUMMYFUNCTION("TEXTJOIN(""|"",TRUE,UNIQUE(FILTER(SPLIT(F316,"" ""),LEN(SPLIT(F316,"" ""))&gt;2)))"),"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amp;"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amp;"ной|среды")</f>
        <v>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ной|среды</v>
      </c>
      <c r="I316" s="6"/>
      <c r="J316" s="6"/>
    </row>
    <row r="317">
      <c r="A317" s="12" t="s">
        <v>854</v>
      </c>
      <c r="B317" s="7" t="s">
        <v>855</v>
      </c>
      <c r="C317" s="7" t="s">
        <v>856</v>
      </c>
      <c r="D317" s="8">
        <v>43200.0</v>
      </c>
      <c r="E317" s="9">
        <v>13.0</v>
      </c>
      <c r="F317" s="10" t="str">
        <f>IFERROR(__xludf.DUMMYFUNCTION("LOWER(REGEXREPLACE(B317&amp;"" ""&amp;C317,""[^а-яa-z0-9 ]"","" ""))"),"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пра"&amp;"вилами   ассчитана на хранение и применение в помещениях ")</f>
        <v>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правилами   ассчитана на хранение и применение в помещениях </v>
      </c>
      <c r="G317" s="10" t="str">
        <f>IFERROR(__xludf.DUMMYFUNCTION("TEXTJOIN(""|"",TRUE,UNIQUE(FILTER(SPLIT(F317,"" ""),LEN(SPLIT(F317,"" ""))&gt;2)))"),"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amp;"на|хранение|применение|помещениях")</f>
        <v>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на|хранение|применение|помещениях</v>
      </c>
      <c r="I317" s="6"/>
      <c r="J317" s="6"/>
    </row>
    <row r="318">
      <c r="A318" s="12" t="s">
        <v>857</v>
      </c>
      <c r="B318" s="7" t="s">
        <v>858</v>
      </c>
      <c r="C318" s="7" t="s">
        <v>859</v>
      </c>
      <c r="D318" s="8">
        <v>14600.0</v>
      </c>
      <c r="E318" s="9">
        <v>7.0</v>
      </c>
      <c r="F318" s="10" t="str">
        <f>IFERROR(__xludf.DUMMYFUNCTION("LOWER(REGEXREPLACE(B318&amp;"" ""&amp;C318,""[^а-яa-z0-9 ]"","" ""))"),"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f>
        <v>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v>
      </c>
      <c r="G318" s="10" t="str">
        <f>IFERROR(__xludf.DUMMYFUNCTION("TEXTJOIN(""|"",TRUE,UNIQUE(FILTER(SPLIT(F318,"" ""),LEN(SPLIT(F318,"" ""))&gt;2)))"),"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f>
        <v>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v>
      </c>
      <c r="I318" s="6"/>
      <c r="J318" s="6"/>
    </row>
    <row r="319">
      <c r="A319" s="12" t="s">
        <v>860</v>
      </c>
      <c r="B319" s="7" t="s">
        <v>861</v>
      </c>
      <c r="C319" s="7" t="s">
        <v>862</v>
      </c>
      <c r="D319" s="8">
        <v>66500.0</v>
      </c>
      <c r="E319" s="9">
        <v>5.0</v>
      </c>
      <c r="F319" s="10" t="str">
        <f>IFERROR(__xludf.DUMMYFUNCTION("LOWER(REGEXREPLACE(B319&amp;"" ""&amp;C319,""[^а-яa-z0-9 ]"","" ""))"),"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направ"&amp;"ленного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f>
        <v>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v>
      </c>
      <c r="G319" s="10" t="str">
        <f>IFERROR(__xludf.DUMMYFUNCTION("TEXTJOIN(""|"",TRUE,UNIQUE(FILTER(SPLIT(F319,"" ""),LEN(SPLIT(F319,"" ""))&gt;2)))"),"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amp;"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f>
        <v>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v>
      </c>
      <c r="I319" s="6"/>
      <c r="J319" s="6"/>
    </row>
    <row r="320">
      <c r="A320" s="12" t="s">
        <v>863</v>
      </c>
      <c r="B320" s="7" t="s">
        <v>864</v>
      </c>
      <c r="C320" s="7" t="s">
        <v>865</v>
      </c>
      <c r="D320" s="8">
        <v>38000.0</v>
      </c>
      <c r="E320" s="9">
        <v>1.0</v>
      </c>
      <c r="F320" s="10" t="str">
        <f>IFERROR(__xludf.DUMMYFUNCTION("LOWER(REGEXREPLACE(B320&amp;"" ""&amp;C320,""[^а-яa-z0-9 ]"","" ""))"),"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f>
        <v>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v>
      </c>
      <c r="G320" s="10" t="str">
        <f>IFERROR(__xludf.DUMMYFUNCTION("TEXTJOIN(""|"",TRUE,UNIQUE(FILTER(SPLIT(F320,"" ""),LEN(SPLIT(F320,"" ""))&gt;2)))"),"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f>
        <v>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v>
      </c>
      <c r="I320" s="6"/>
      <c r="J320" s="6"/>
    </row>
    <row r="321">
      <c r="A321" s="12" t="s">
        <v>866</v>
      </c>
      <c r="B321" s="7" t="s">
        <v>867</v>
      </c>
      <c r="C321" s="7" t="s">
        <v>868</v>
      </c>
      <c r="D321" s="8">
        <v>20000.0</v>
      </c>
      <c r="E321" s="9">
        <v>5.0</v>
      </c>
      <c r="F321" s="10" t="str">
        <f>IFERROR(__xludf.DUMMYFUNCTION("LOWER(REGEXREPLACE(B321&amp;"" ""&amp;C321,""[^а-яa-z0-9 ]"","" ""))"),"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фа"&amp;"нтазии ")</f>
        <v>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фантазии </v>
      </c>
      <c r="G321" s="10" t="str">
        <f>IFERROR(__xludf.DUMMYFUNCTION("TEXTJOIN(""|"",TRUE,UNIQUE(FILTER(SPLIT(F321,"" ""),LEN(SPLIT(F321,"" ""))&gt;2)))"),"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f>
        <v>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v>
      </c>
      <c r="I321" s="6"/>
      <c r="J321" s="6"/>
    </row>
    <row r="322">
      <c r="A322" s="12" t="s">
        <v>869</v>
      </c>
      <c r="B322" s="7" t="s">
        <v>870</v>
      </c>
      <c r="C322" s="7" t="s">
        <v>871</v>
      </c>
      <c r="D322" s="8">
        <v>52700.0</v>
      </c>
      <c r="E322" s="9">
        <v>5.0</v>
      </c>
      <c r="F322" s="10" t="str">
        <f>IFERROR(__xludf.DUMMYFUNCTION("LOWER(REGEXREPLACE(B322&amp;"" ""&amp;C322,""[^а-яa-z0-9 ]"","" ""))"),"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f>
        <v>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v>
      </c>
      <c r="G322" s="10" t="str">
        <f>IFERROR(__xludf.DUMMYFUNCTION("TEXTJOIN(""|"",TRUE,UNIQUE(FILTER(SPLIT(F322,"" ""),LEN(SPLIT(F322,"" ""))&gt;2)))"),"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f>
        <v>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v>
      </c>
      <c r="I322" s="6"/>
      <c r="J322" s="6"/>
    </row>
    <row r="323">
      <c r="A323" s="12" t="s">
        <v>872</v>
      </c>
      <c r="B323" s="7" t="s">
        <v>873</v>
      </c>
      <c r="C323" s="7" t="s">
        <v>874</v>
      </c>
      <c r="D323" s="8">
        <v>940500.0</v>
      </c>
      <c r="E323" s="9">
        <v>1.0</v>
      </c>
      <c r="F323" s="10" t="str">
        <f>IFERROR(__xludf.DUMMYFUNCTION("LOWER(REGEXREPLACE(B323&amp;"" ""&amp;C323,""[^а-яa-z0-9 ]"","" ""))"),"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f>
        <v>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v>
      </c>
      <c r="G323" s="10" t="str">
        <f>IFERROR(__xludf.DUMMYFUNCTION("TEXTJOIN(""|"",TRUE,UNIQUE(FILTER(SPLIT(F323,"" ""),LEN(SPLIT(F323,"" ""))&gt;2)))"),"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f>
        <v>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v>
      </c>
      <c r="I323" s="6"/>
      <c r="J323" s="6"/>
    </row>
    <row r="324">
      <c r="A324" s="12" t="s">
        <v>875</v>
      </c>
      <c r="B324" s="7" t="s">
        <v>876</v>
      </c>
      <c r="C324" s="7" t="s">
        <v>877</v>
      </c>
      <c r="D324" s="8">
        <v>47900.0</v>
      </c>
      <c r="E324" s="9">
        <v>7.0</v>
      </c>
      <c r="F324" s="10" t="str">
        <f>IFERROR(__xludf.DUMMYFUNCTION("LOWER(REGEXREPLACE(B324&amp;"" ""&amp;C324,""[^а-яa-z0-9 ]"","" ""))"),"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f>
        <v>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v>
      </c>
      <c r="G324" s="10" t="str">
        <f>IFERROR(__xludf.DUMMYFUNCTION("TEXTJOIN(""|"",TRUE,UNIQUE(FILTER(SPLIT(F324,"" ""),LEN(SPLIT(F324,"" ""))&gt;2)))"),"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f>
        <v>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v>
      </c>
      <c r="I324" s="6"/>
      <c r="J324" s="6"/>
    </row>
    <row r="325">
      <c r="A325" s="12" t="s">
        <v>878</v>
      </c>
      <c r="B325" s="7" t="s">
        <v>879</v>
      </c>
      <c r="C325" s="7" t="s">
        <v>880</v>
      </c>
      <c r="D325" s="8">
        <v>85500.0</v>
      </c>
      <c r="E325" s="9">
        <v>1.0</v>
      </c>
      <c r="F325" s="10" t="str">
        <f>IFERROR(__xludf.DUMMYFUNCTION("LOWER(REGEXREPLACE(B325&amp;"" ""&amp;C325,""[^а-яa-z0-9 ]"","" ""))"),"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f>
        <v>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v>
      </c>
      <c r="G325" s="10" t="str">
        <f>IFERROR(__xludf.DUMMYFUNCTION("TEXTJOIN(""|"",TRUE,UNIQUE(FILTER(SPLIT(F325,"" ""),LEN(SPLIT(F325,"" ""))&gt;2)))"),"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f>
        <v>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v>
      </c>
      <c r="I325" s="6"/>
      <c r="J325" s="6"/>
    </row>
    <row r="326">
      <c r="A326" s="12" t="s">
        <v>881</v>
      </c>
      <c r="B326" s="7" t="s">
        <v>882</v>
      </c>
      <c r="C326" s="7" t="s">
        <v>883</v>
      </c>
      <c r="D326" s="8">
        <v>18400.0</v>
      </c>
      <c r="E326" s="9">
        <v>7.0</v>
      </c>
      <c r="F326" s="10" t="str">
        <f>IFERROR(__xludf.DUMMYFUNCTION("LOWER(REGEXREPLACE(B326&amp;"" ""&amp;C326,""[^а-яa-z0-9 ]"","" ""))"),"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f>
        <v>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v>
      </c>
      <c r="G326" s="10" t="str">
        <f>IFERROR(__xludf.DUMMYFUNCTION("TEXTJOIN(""|"",TRUE,UNIQUE(FILTER(SPLIT(F326,"" ""),LEN(SPLIT(F326,"" ""))&gt;2)))"),"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f>
        <v>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v>
      </c>
      <c r="I326" s="6"/>
      <c r="J326" s="6"/>
    </row>
    <row r="327">
      <c r="A327" s="12" t="s">
        <v>884</v>
      </c>
      <c r="B327" s="7" t="s">
        <v>885</v>
      </c>
      <c r="C327" s="7" t="s">
        <v>886</v>
      </c>
      <c r="D327" s="8">
        <v>30400.0</v>
      </c>
      <c r="E327" s="9">
        <v>1.0</v>
      </c>
      <c r="F327" s="10" t="str">
        <f>IFERROR(__xludf.DUMMYFUNCTION("LOWER(REGEXREPLACE(B327&amp;"" ""&amp;C327,""[^а-яa-z0-9 ]"","" ""))"),"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f>
        <v>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v>
      </c>
      <c r="G327" s="10" t="str">
        <f>IFERROR(__xludf.DUMMYFUNCTION("TEXTJOIN(""|"",TRUE,UNIQUE(FILTER(SPLIT(F327,"" ""),LEN(SPLIT(F327,"" ""))&gt;2)))"),"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f>
        <v>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v>
      </c>
      <c r="I327" s="6"/>
      <c r="J327" s="6"/>
    </row>
    <row r="328">
      <c r="A328" s="12" t="s">
        <v>887</v>
      </c>
      <c r="B328" s="7" t="s">
        <v>888</v>
      </c>
      <c r="C328" s="7" t="s">
        <v>889</v>
      </c>
      <c r="D328" s="8">
        <v>18000.0</v>
      </c>
      <c r="E328" s="9">
        <v>1.0</v>
      </c>
      <c r="F328" s="10" t="str">
        <f>IFERROR(__xludf.DUMMYFUNCTION("LOWER(REGEXREPLACE(B328&amp;"" ""&amp;C328,""[^а-яa-z0-9 ]"","" ""))")," хмет   лаш арда тысы  маханбет     ")</f>
        <v> хмет   лаш арда тысы  маханбет     </v>
      </c>
      <c r="G328" s="10" t="str">
        <f>IFERROR(__xludf.DUMMYFUNCTION("TEXTJOIN(""|"",TRUE,UNIQUE(FILTER(SPLIT(F328,"" ""),LEN(SPLIT(F328,"" ""))&gt;2)))"),"хмет|лаш|арда|тысы|маханбет")</f>
        <v>хмет|лаш|арда|тысы|маханбет</v>
      </c>
      <c r="I328" s="6"/>
      <c r="J328" s="6"/>
    </row>
    <row r="329">
      <c r="A329" s="12" t="s">
        <v>890</v>
      </c>
      <c r="B329" s="7" t="s">
        <v>891</v>
      </c>
      <c r="C329" s="7" t="s">
        <v>892</v>
      </c>
      <c r="D329" s="8">
        <v>50400.0</v>
      </c>
      <c r="E329" s="9">
        <v>2.0</v>
      </c>
      <c r="F329" s="10" t="str">
        <f>IFERROR(__xludf.DUMMYFUNCTION("LOWER(REGEXREPLACE(B329&amp;"" ""&amp;C329,""[^а-яa-z0-9 ]"","" ""))"),"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п"&amp;"оверхность пластика обеспечивает легкость мытья")</f>
        <v>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поверхность пластика обеспечивает легкость мытья</v>
      </c>
      <c r="G329" s="10" t="str">
        <f>IFERROR(__xludf.DUMMYFUNCTION("TEXTJOIN(""|"",TRUE,UNIQUE(FILTER(SPLIT(F329,"" ""),LEN(SPLIT(F329,"" ""))&gt;2)))"),"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amp;"обеспечивает|легкость|мытья")</f>
        <v>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обеспечивает|легкость|мытья</v>
      </c>
      <c r="I329" s="6"/>
      <c r="J329" s="6"/>
    </row>
    <row r="330">
      <c r="A330" s="12" t="s">
        <v>893</v>
      </c>
      <c r="B330" s="7" t="s">
        <v>894</v>
      </c>
      <c r="C330" s="7" t="s">
        <v>895</v>
      </c>
      <c r="D330" s="8">
        <v>45000.0</v>
      </c>
      <c r="E330" s="9">
        <v>6.0</v>
      </c>
      <c r="F330" s="10" t="str">
        <f>IFERROR(__xludf.DUMMYFUNCTION("LOWER(REGEXREPLACE(B330&amp;"" ""&amp;C330,""[^а-яa-z0-9 ]"","" ""))"),"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f>
        <v>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v>
      </c>
      <c r="G330" s="10" t="str">
        <f>IFERROR(__xludf.DUMMYFUNCTION("TEXTJOIN(""|"",TRUE,UNIQUE(FILTER(SPLIT(F330,"" ""),LEN(SPLIT(F330,"" ""))&gt;2)))"),"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f>
        <v>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v>
      </c>
      <c r="I330" s="6"/>
      <c r="J330" s="6"/>
    </row>
    <row r="331">
      <c r="A331" s="12" t="s">
        <v>896</v>
      </c>
      <c r="B331" s="7" t="s">
        <v>897</v>
      </c>
      <c r="C331" s="7" t="s">
        <v>898</v>
      </c>
      <c r="D331" s="8">
        <v>13000.0</v>
      </c>
      <c r="E331" s="9">
        <v>8.0</v>
      </c>
      <c r="F331" s="10" t="str">
        <f>IFERROR(__xludf.DUMMYFUNCTION("LOWER(REGEXREPLACE(B331&amp;"" ""&amp;C331,""[^а-яa-z0-9 ]"","" ""))"),"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f>
        <v>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v>
      </c>
      <c r="G331" s="10" t="str">
        <f>IFERROR(__xludf.DUMMYFUNCTION("TEXTJOIN(""|"",TRUE,UNIQUE(FILTER(SPLIT(F331,"" ""),LEN(SPLIT(F331,"" ""))&gt;2)))"),"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f>
        <v>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v>
      </c>
      <c r="I331" s="6"/>
      <c r="J331" s="6"/>
    </row>
    <row r="332">
      <c r="A332" s="12" t="s">
        <v>899</v>
      </c>
      <c r="B332" s="7" t="s">
        <v>900</v>
      </c>
      <c r="C332" s="7" t="s">
        <v>901</v>
      </c>
      <c r="D332" s="8">
        <v>9700.0</v>
      </c>
      <c r="E332" s="9">
        <v>3.0</v>
      </c>
      <c r="F332" s="10" t="str">
        <f>IFERROR(__xludf.DUMMYFUNCTION("LOWER(REGEXREPLACE(B332&amp;"" ""&amp;C332,""[^а-яa-z0-9 ]"","" ""))"),"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f>
        <v>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v>
      </c>
      <c r="G332" s="10" t="str">
        <f>IFERROR(__xludf.DUMMYFUNCTION("TEXTJOIN(""|"",TRUE,UNIQUE(FILTER(SPLIT(F332,"" ""),LEN(SPLIT(F332,"" ""))&gt;2)))"),"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f>
        <v>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v>
      </c>
      <c r="I332" s="6"/>
      <c r="J332" s="6"/>
    </row>
    <row r="333">
      <c r="A333" s="12" t="s">
        <v>902</v>
      </c>
      <c r="B333" s="7" t="s">
        <v>903</v>
      </c>
      <c r="C333" s="7" t="s">
        <v>904</v>
      </c>
      <c r="D333" s="8">
        <v>1700.0</v>
      </c>
      <c r="E333" s="9">
        <v>3.0</v>
      </c>
      <c r="F333" s="10" t="str">
        <f>IFERROR(__xludf.DUMMYFUNCTION("LOWER(REGEXREPLACE(B333&amp;"" ""&amp;C333,""[^а-яa-z0-9 ]"","" ""))"),"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f>
        <v>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v>
      </c>
      <c r="G333" s="10" t="str">
        <f>IFERROR(__xludf.DUMMYFUNCTION("TEXTJOIN(""|"",TRUE,UNIQUE(FILTER(SPLIT(F333,"" ""),LEN(SPLIT(F333,"" ""))&gt;2)))"),"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f>
        <v>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v>
      </c>
      <c r="I333" s="6"/>
      <c r="J333" s="6"/>
    </row>
    <row r="334">
      <c r="A334" s="12" t="s">
        <v>905</v>
      </c>
      <c r="B334" s="7" t="s">
        <v>906</v>
      </c>
      <c r="C334" s="7" t="s">
        <v>907</v>
      </c>
      <c r="D334" s="8">
        <v>10800.0</v>
      </c>
      <c r="E334" s="9">
        <v>2.0</v>
      </c>
      <c r="F334" s="10" t="str">
        <f>IFERROR(__xludf.DUMMYFUNCTION("LOWER(REGEXREPLACE(B334&amp;"" ""&amp;C334,""[^а-яa-z0-9 ]"","" ""))"),"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f>
        <v>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v>
      </c>
      <c r="G334" s="10" t="str">
        <f>IFERROR(__xludf.DUMMYFUNCTION("TEXTJOIN(""|"",TRUE,UNIQUE(FILTER(SPLIT(F334,"" ""),LEN(SPLIT(F334,"" ""))&gt;2)))"),"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f>
        <v>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v>
      </c>
      <c r="I334" s="6"/>
      <c r="J334" s="6"/>
    </row>
    <row r="335">
      <c r="A335" s="12" t="s">
        <v>908</v>
      </c>
      <c r="B335" s="7" t="s">
        <v>909</v>
      </c>
      <c r="C335" s="7" t="s">
        <v>910</v>
      </c>
      <c r="D335" s="8">
        <v>6700.0</v>
      </c>
      <c r="E335" s="9">
        <v>7.0</v>
      </c>
      <c r="F335" s="10" t="str">
        <f>IFERROR(__xludf.DUMMYFUNCTION("LOWER(REGEXREPLACE(B335&amp;"" ""&amp;C335,""[^а-яa-z0-9 ]"","" ""))"),"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f>
        <v>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v>
      </c>
      <c r="G335" s="10" t="str">
        <f>IFERROR(__xludf.DUMMYFUNCTION("TEXTJOIN(""|"",TRUE,UNIQUE(FILTER(SPLIT(F335,"" ""),LEN(SPLIT(F335,"" ""))&gt;2)))"),"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f>
        <v>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v>
      </c>
      <c r="I335" s="6"/>
      <c r="J335" s="6"/>
    </row>
    <row r="336">
      <c r="A336" s="12" t="s">
        <v>911</v>
      </c>
      <c r="B336" s="7" t="s">
        <v>912</v>
      </c>
      <c r="C336" s="7" t="s">
        <v>913</v>
      </c>
      <c r="D336" s="8">
        <v>1900.0</v>
      </c>
      <c r="E336" s="9">
        <v>5.0</v>
      </c>
      <c r="F336" s="10" t="str">
        <f>IFERROR(__xludf.DUMMYFUNCTION("LOWER(REGEXREPLACE(B336&amp;"" ""&amp;C336,""[^а-яa-z0-9 ]"","" ""))"),"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f>
        <v>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v>
      </c>
      <c r="G336" s="10" t="str">
        <f>IFERROR(__xludf.DUMMYFUNCTION("TEXTJOIN(""|"",TRUE,UNIQUE(FILTER(SPLIT(F336,"" ""),LEN(SPLIT(F336,"" ""))&gt;2)))"),"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f>
        <v>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v>
      </c>
      <c r="I336" s="6"/>
      <c r="J336" s="6"/>
    </row>
    <row r="337">
      <c r="A337" s="12" t="s">
        <v>914</v>
      </c>
      <c r="B337" s="7" t="s">
        <v>915</v>
      </c>
      <c r="C337" s="7" t="s">
        <v>916</v>
      </c>
      <c r="D337" s="8">
        <v>1900.0</v>
      </c>
      <c r="E337" s="9">
        <v>14.0</v>
      </c>
      <c r="F337" s="10" t="str">
        <f>IFERROR(__xludf.DUMMYFUNCTION("LOWER(REGEXREPLACE(B337&amp;"" ""&amp;C337,""[^а-яa-z0-9 ]"","" ""))"),"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f>
        <v>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v>
      </c>
      <c r="G337" s="10" t="str">
        <f>IFERROR(__xludf.DUMMYFUNCTION("TEXTJOIN(""|"",TRUE,UNIQUE(FILTER(SPLIT(F337,"" ""),LEN(SPLIT(F337,"" ""))&gt;2)))"),"орзина|для|мусора|сетчатая|етчатая|корзина|для|бумаги|обеспечивает|вентиляцию|визуальный|контроль|наполнения|спользуется|кабинетах|рабочих|зонах")</f>
        <v>орзина|для|мусора|сетчатая|етчатая|корзина|для|бумаги|обеспечивает|вентиляцию|визуальный|контроль|наполнения|спользуется|кабинетах|рабочих|зонах</v>
      </c>
      <c r="I337" s="6"/>
      <c r="J337" s="6"/>
    </row>
    <row r="338">
      <c r="A338" s="12" t="s">
        <v>917</v>
      </c>
      <c r="B338" s="7" t="s">
        <v>46</v>
      </c>
      <c r="C338" s="7" t="s">
        <v>47</v>
      </c>
      <c r="D338" s="8">
        <v>35100.0</v>
      </c>
      <c r="E338" s="9">
        <v>97.0</v>
      </c>
      <c r="F338" s="10" t="str">
        <f>IFERROR(__xludf.DUMMYFUNCTION("LOWER(REGEXREPLACE(B338&amp;"" ""&amp;C338,""[^а-яa-z0-9 ]"",""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G338" s="10" t="str">
        <f>IFERROR(__xludf.DUMMYFUNCTION("TEXTJOIN(""|"",TRUE,UNIQUE(FILTER(SPLIT(F338,"" ""),LEN(SPLIT(F338,""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I338" s="6"/>
      <c r="J338" s="6"/>
    </row>
    <row r="339">
      <c r="A339" s="12" t="s">
        <v>918</v>
      </c>
      <c r="B339" s="7" t="s">
        <v>919</v>
      </c>
      <c r="C339" s="7" t="s">
        <v>889</v>
      </c>
      <c r="D339" s="8">
        <v>18000.0</v>
      </c>
      <c r="E339" s="9">
        <v>1.0</v>
      </c>
      <c r="F339" s="10" t="str">
        <f>IFERROR(__xludf.DUMMYFUNCTION("LOWER(REGEXREPLACE(B339&amp;"" ""&amp;C339,""[^а-яa-z0-9 ]"","" ""))")," хмет   ордость нации  маханбет     ")</f>
        <v> хмет   ордость нации  маханбет     </v>
      </c>
      <c r="G339" s="10" t="str">
        <f>IFERROR(__xludf.DUMMYFUNCTION("TEXTJOIN(""|"",TRUE,UNIQUE(FILTER(SPLIT(F339,"" ""),LEN(SPLIT(F339,"" ""))&gt;2)))"),"хмет|ордость|нации|маханбет")</f>
        <v>хмет|ордость|нации|маханбет</v>
      </c>
      <c r="I339" s="6"/>
      <c r="J339" s="6"/>
    </row>
    <row r="340">
      <c r="A340" s="12" t="s">
        <v>920</v>
      </c>
      <c r="B340" s="7" t="s">
        <v>921</v>
      </c>
      <c r="C340" s="7" t="s">
        <v>922</v>
      </c>
      <c r="D340" s="8">
        <v>64600.0</v>
      </c>
      <c r="E340" s="9">
        <v>1.0</v>
      </c>
      <c r="F340" s="10" t="str">
        <f>IFERROR(__xludf.DUMMYFUNCTION("LOWER(REGEXREPLACE(B340&amp;"" ""&amp;C340,""[^а-яa-z0-9 ]"","" ""))"),"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"&amp;"сохраняет форму и облегчает сортировку мячей после занятий   спользуется педагогом или детьми под контролем взрослого ")</f>
        <v>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сохраняет форму и облегчает сортировку мячей после занятий   спользуется педагогом или детьми под контролем взрослого </v>
      </c>
      <c r="G340" s="10" t="str">
        <f>IFERROR(__xludf.DUMMYFUNCTION("TEXTJOIN(""|"",TRUE,UNIQUE(FILTER(SPLIT(F340,"" ""),LEN(SPLIT(F340,"" ""))&gt;2)))"),"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amp;"ортировку|мячей|после|занятий|спользуется|педагогом|или|детьми|под|контролем|взрослого")</f>
        <v>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ортировку|мячей|после|занятий|спользуется|педагогом|или|детьми|под|контролем|взрослого</v>
      </c>
      <c r="I340" s="6"/>
      <c r="J340" s="6"/>
    </row>
    <row r="341">
      <c r="A341" s="12" t="s">
        <v>923</v>
      </c>
      <c r="B341" s="7" t="s">
        <v>924</v>
      </c>
      <c r="C341" s="7" t="s">
        <v>925</v>
      </c>
      <c r="D341" s="8">
        <v>102600.0</v>
      </c>
      <c r="E341" s="9">
        <v>1.0</v>
      </c>
      <c r="F341" s="10" t="str">
        <f>IFERROR(__xludf.DUMMYFUNCTION("LOWER(REGEXREPLACE(B341&amp;"" ""&amp;C341,""[^а-яa-z0-9 ]"","" ""))"),"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с"&amp;"пособствует формированию у детей навыков организации пространства и аккуратного обращения с оборудованием ")</f>
        <v>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способствует формированию у детей навыков организации пространства и аккуратного обращения с оборудованием </v>
      </c>
      <c r="G341" s="10" t="str">
        <f>IFERROR(__xludf.DUMMYFUNCTION("TEXTJOIN(""|"",TRUE,UNIQUE(FILTER(SPLIT(F341,"" ""),LEN(SPLIT(F341,"" ""))&gt;2)))"),"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amp;"|детей|навыков|организации|пространства|аккуратного|обращения|оборудованием")</f>
        <v>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детей|навыков|организации|пространства|аккуратного|обращения|оборудованием</v>
      </c>
      <c r="I341" s="6"/>
      <c r="J341" s="6"/>
    </row>
    <row r="342">
      <c r="A342" s="12" t="s">
        <v>926</v>
      </c>
      <c r="B342" s="7" t="s">
        <v>927</v>
      </c>
      <c r="C342" s="7" t="s">
        <v>928</v>
      </c>
      <c r="D342" s="8">
        <v>6300.0</v>
      </c>
      <c r="E342" s="9">
        <v>50.0</v>
      </c>
      <c r="F342" s="10" t="str">
        <f>IFERROR(__xludf.DUMMYFUNCTION("LOWER(REGEXREPLACE(B342&amp;"" ""&amp;C342,""[^а-яa-z0-9 ]"","" ""))"),"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системати"&amp;"зации документов в административных и методических помещениях ")</f>
        <v>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систематизации документов в административных и методических помещениях </v>
      </c>
      <c r="G342" s="10" t="str">
        <f>IFERROR(__xludf.DUMMYFUNCTION("TEXTJOIN(""|"",TRUE,UNIQUE(FILTER(SPLIT(F342,"" ""),LEN(SPLIT(F342,"" ""))&gt;2)))"),"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amp;"инистративных|методических|помещениях")</f>
        <v>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инистративных|методических|помещениях</v>
      </c>
      <c r="I342" s="6"/>
      <c r="J342" s="6"/>
    </row>
    <row r="343">
      <c r="A343" s="12" t="s">
        <v>929</v>
      </c>
      <c r="B343" s="7" t="s">
        <v>930</v>
      </c>
      <c r="C343" s="7" t="s">
        <v>931</v>
      </c>
      <c r="D343" s="8">
        <v>28100.0</v>
      </c>
      <c r="E343" s="9">
        <v>5.0</v>
      </c>
      <c r="F343" s="10" t="str">
        <f>IFERROR(__xludf.DUMMYFUNCTION("LOWER(REGEXREPLACE(B343&amp;"" ""&amp;C343,""[^а-яa-z0-9 ]"","" ""))"),"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конструкци"&amp;"я устойчивая и безопасная ")</f>
        <v>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конструкция устойчивая и безопасная </v>
      </c>
      <c r="G343" s="10" t="str">
        <f>IFERROR(__xludf.DUMMYFUNCTION("TEXTJOIN(""|"",TRUE,UNIQUE(FILTER(SPLIT(F343,"" ""),LEN(SPLIT(F343,"" ""))&gt;2)))"),"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amp;"пасная")</f>
        <v>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пасная</v>
      </c>
      <c r="I343" s="6"/>
      <c r="J343" s="6"/>
    </row>
    <row r="344">
      <c r="A344" s="12" t="s">
        <v>932</v>
      </c>
      <c r="B344" s="7" t="s">
        <v>933</v>
      </c>
      <c r="C344" s="7" t="s">
        <v>934</v>
      </c>
      <c r="D344" s="8">
        <v>54900.0</v>
      </c>
      <c r="E344" s="9">
        <v>1.0</v>
      </c>
      <c r="F344" s="10" t="str">
        <f>IFERROR(__xludf.DUMMYFUNCTION("LOWER(REGEXREPLACE(B344&amp;"" ""&amp;C344,""[^а-яa-z0-9 ]"","" ""))")," оробка стерилизационная круглая  бикс   спользуется для стерилизации и хранения медицинских инструментов ")</f>
        <v> оробка стерилизационная круглая  бикс   спользуется для стерилизации и хранения медицинских инструментов </v>
      </c>
      <c r="G344" s="10" t="str">
        <f>IFERROR(__xludf.DUMMYFUNCTION("TEXTJOIN(""|"",TRUE,UNIQUE(FILTER(SPLIT(F344,"" ""),LEN(SPLIT(F344,"" ""))&gt;2)))"),"оробка|стерилизационная|круглая|бикс|спользуется|для|стерилизации|хранения|медицинских|инструментов")</f>
        <v>оробка|стерилизационная|круглая|бикс|спользуется|для|стерилизации|хранения|медицинских|инструментов</v>
      </c>
      <c r="I344" s="6"/>
      <c r="J344" s="6"/>
    </row>
    <row r="345">
      <c r="A345" s="12" t="s">
        <v>935</v>
      </c>
      <c r="B345" s="7" t="s">
        <v>936</v>
      </c>
      <c r="C345" s="7" t="s">
        <v>937</v>
      </c>
      <c r="D345" s="8">
        <v>86600.0</v>
      </c>
      <c r="E345" s="9">
        <v>1.0</v>
      </c>
      <c r="F345" s="10" t="str">
        <f>IFERROR(__xludf.DUMMYFUNCTION("LOWER(REGEXREPLACE(B345&amp;"" ""&amp;C345,""[^а-яa-z0-9 ]"","" ""))")," оробка стерилизационная круглая  бикс  большая  редназначена для стерилизации и хранения большего объ ма медицинских инструментов и материалов ")</f>
        <v> оробка стерилизационная круглая  бикс  большая  редназначена для стерилизации и хранения большего объ ма медицинских инструментов и материалов </v>
      </c>
      <c r="G345" s="10" t="str">
        <f>IFERROR(__xludf.DUMMYFUNCTION("TEXTJOIN(""|"",TRUE,UNIQUE(FILTER(SPLIT(F345,"" ""),LEN(SPLIT(F345,"" ""))&gt;2)))"),"оробка|стерилизационная|круглая|бикс|большая|редназначена|для|стерилизации|хранения|большего|объ|медицинских|инструментов|материалов")</f>
        <v>оробка|стерилизационная|круглая|бикс|большая|редназначена|для|стерилизации|хранения|большего|объ|медицинских|инструментов|материалов</v>
      </c>
      <c r="I345" s="6"/>
      <c r="J345" s="6"/>
    </row>
    <row r="346">
      <c r="A346" s="12" t="s">
        <v>938</v>
      </c>
      <c r="B346" s="7" t="s">
        <v>939</v>
      </c>
      <c r="C346" s="7" t="s">
        <v>940</v>
      </c>
      <c r="D346" s="8">
        <v>10500.0</v>
      </c>
      <c r="E346" s="9">
        <v>4.0</v>
      </c>
      <c r="F346" s="10" t="str">
        <f>IFERROR(__xludf.DUMMYFUNCTION("LOWER(REGEXREPLACE(B346&amp;"" ""&amp;C346,""[^а-яa-z0-9 ]"","" ""))"),"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мимики"&amp;" и образного мышления ")</f>
        <v>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 и образного мышления </v>
      </c>
      <c r="G346" s="10" t="str">
        <f>IFERROR(__xludf.DUMMYFUNCTION("TEXTJOIN(""|"",TRUE,UNIQUE(FILTER(SPLIT(F346,"" ""),LEN(SPLIT(F346,"" ""))&gt;2)))"),"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f>
        <v>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v>
      </c>
      <c r="I346" s="6"/>
      <c r="J346" s="6"/>
    </row>
    <row r="347">
      <c r="A347" s="12" t="s">
        <v>941</v>
      </c>
      <c r="B347" s="7" t="s">
        <v>942</v>
      </c>
      <c r="C347" s="7" t="s">
        <v>943</v>
      </c>
      <c r="D347" s="8">
        <v>2900.0</v>
      </c>
      <c r="E347" s="9">
        <v>5.0</v>
      </c>
      <c r="F347" s="10" t="str">
        <f>IFERROR(__xludf.DUMMYFUNCTION("LOWER(REGEXREPLACE(B347&amp;"" ""&amp;C347,""[^а-яa-z0-9 ]"","" ""))"),"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р"&amp;"ечи  коммуникативных и социальных навыков ")</f>
        <v>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речи  коммуникативных и социальных навыков </v>
      </c>
      <c r="G347" s="10" t="str">
        <f>IFERROR(__xludf.DUMMYFUNCTION("TEXTJOIN(""|"",TRUE,UNIQUE(FILTER(SPLIT(F347,"" ""),LEN(SPLIT(F347,"" ""))&gt;2)))"),"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amp;"|навыков")</f>
        <v>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навыков</v>
      </c>
      <c r="I347" s="6"/>
      <c r="J347" s="6"/>
    </row>
    <row r="348">
      <c r="A348" s="12" t="s">
        <v>944</v>
      </c>
      <c r="B348" s="7" t="s">
        <v>945</v>
      </c>
      <c r="C348" s="7" t="s">
        <v>946</v>
      </c>
      <c r="D348" s="8">
        <v>39900.0</v>
      </c>
      <c r="E348" s="9">
        <v>5.0</v>
      </c>
      <c r="F348" s="10" t="str">
        <f>IFERROR(__xludf.DUMMYFUNCTION("LOWER(REGEXREPLACE(B348&amp;"" ""&amp;C348,""[^а-яa-z0-9 ]"","" ""))"),"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использован"&amp;"ию   спользуется для развития познавательного интереса  воображения и сюжетно ролевой игры   одходит для участия в утренниках и образовательных проектах ")</f>
        <v>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использованию   спользуется для развития познавательного интереса  воображения и сюжетно ролевой игры   одходит для участия в утренниках и образовательных проектах </v>
      </c>
      <c r="G348" s="10" t="str">
        <f>IFERROR(__xludf.DUMMYFUNCTION("TEXTJOIN(""|"",TRUE,UNIQUE(FILTER(SPLIT(F348,"" ""),LEN(SPLIT(F348,"" ""))&gt;2)))"),"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amp;"ия|познавательного|интереса|воображения|сюжетно|ролевой|игры|одходит|для|участия|утренниках|образовательных|проектах")</f>
        <v>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ия|познавательного|интереса|воображения|сюжетно|ролевой|игры|одходит|для|участия|утренниках|образовательных|проектах</v>
      </c>
      <c r="I348" s="6"/>
      <c r="J348" s="6"/>
    </row>
    <row r="349">
      <c r="A349" s="12" t="s">
        <v>947</v>
      </c>
      <c r="B349" s="7" t="s">
        <v>948</v>
      </c>
      <c r="C349" s="7" t="s">
        <v>949</v>
      </c>
      <c r="D349" s="8">
        <v>12200.0</v>
      </c>
      <c r="E349" s="9">
        <v>14.0</v>
      </c>
      <c r="F349" s="10" t="str">
        <f>IFERROR(__xludf.DUMMYFUNCTION("LOWER(REGEXREPLACE(B349&amp;"" ""&amp;C349,""[^а-яa-z0-9 ]"","" ""))"),"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f>
        <v>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v>
      </c>
      <c r="G349" s="10" t="str">
        <f>IFERROR(__xludf.DUMMYFUNCTION("TEXTJOIN(""|"",TRUE,UNIQUE(FILTER(SPLIT(F349,"" ""),LEN(SPLIT(F349,"" ""))&gt;2)))"),"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f>
        <v>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v>
      </c>
      <c r="I349" s="6"/>
      <c r="J349" s="6"/>
    </row>
    <row r="350">
      <c r="A350" s="12" t="s">
        <v>950</v>
      </c>
      <c r="B350" s="7" t="s">
        <v>951</v>
      </c>
      <c r="C350" s="7"/>
      <c r="D350" s="8">
        <v>1700.0</v>
      </c>
      <c r="E350" s="9">
        <v>1.0</v>
      </c>
      <c r="F350" s="10" t="str">
        <f>IFERROR(__xludf.DUMMYFUNCTION("LOWER(REGEXREPLACE(B350&amp;"" ""&amp;C350,""[^а-яa-z0-9 ]"","" ""))")," шуды  алай же уге болады   ак подавить злость   ow to control anger  каз   рус   англ яз   ")</f>
        <v> шуды  алай же уге болады   ак подавить злость   ow to control anger  каз   рус   англ яз   </v>
      </c>
      <c r="G350" s="10" t="str">
        <f>IFERROR(__xludf.DUMMYFUNCTION("TEXTJOIN(""|"",TRUE,UNIQUE(FILTER(SPLIT(F350,"" ""),LEN(SPLIT(F350,"" ""))&gt;2)))"),"шуды|алай|уге|болады|подавить|злость|control|anger|каз|рус|англ")</f>
        <v>шуды|алай|уге|болады|подавить|злость|control|anger|каз|рус|англ</v>
      </c>
      <c r="I350" s="6"/>
      <c r="J350" s="6"/>
    </row>
    <row r="351">
      <c r="A351" s="12" t="s">
        <v>952</v>
      </c>
      <c r="B351" s="7" t="s">
        <v>953</v>
      </c>
      <c r="C351" s="7" t="s">
        <v>954</v>
      </c>
      <c r="D351" s="8">
        <v>17500.0</v>
      </c>
      <c r="E351" s="9">
        <v>14.0</v>
      </c>
      <c r="F351" s="10" t="str">
        <f>IFERROR(__xludf.DUMMYFUNCTION("LOWER(REGEXREPLACE(B351&amp;"" ""&amp;C351,""[^а-яa-z0-9 ]"","" ""))"),"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социальн"&amp;"ых ролях ")</f>
        <v>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социальных ролях </v>
      </c>
      <c r="G351" s="10" t="str">
        <f>IFERROR(__xludf.DUMMYFUNCTION("TEXTJOIN(""|"",TRUE,UNIQUE(FILTER(SPLIT(F351,"" ""),LEN(SPLIT(F351,"" ""))&gt;2)))"),"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f>
        <v>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v>
      </c>
      <c r="I351" s="6"/>
      <c r="J351" s="6"/>
    </row>
    <row r="352">
      <c r="A352" s="12" t="s">
        <v>955</v>
      </c>
      <c r="B352" s="7" t="s">
        <v>956</v>
      </c>
      <c r="C352" s="7" t="s">
        <v>957</v>
      </c>
      <c r="D352" s="8">
        <v>36100.0</v>
      </c>
      <c r="E352" s="9">
        <v>5.0</v>
      </c>
      <c r="F352" s="10" t="str">
        <f>IFERROR(__xludf.DUMMYFUNCTION("LOWER(REGEXREPLACE(B352&amp;"" ""&amp;C352,""[^а-яa-z0-9 ]"","" ""))"),"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выразительност"&amp;"и и ролевой игры ")</f>
        <v>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выразительности и ролевой игры </v>
      </c>
      <c r="G352" s="10" t="str">
        <f>IFERROR(__xludf.DUMMYFUNCTION("TEXTJOIN(""|"",TRUE,UNIQUE(FILTER(SPLIT(F352,"" ""),LEN(SPLIT(F352,"" ""))&gt;2)))"),"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f>
        <v>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v>
      </c>
      <c r="I352" s="6"/>
      <c r="J352" s="6"/>
    </row>
    <row r="353">
      <c r="A353" s="12" t="s">
        <v>958</v>
      </c>
      <c r="B353" s="7" t="s">
        <v>959</v>
      </c>
      <c r="C353" s="7" t="s">
        <v>960</v>
      </c>
      <c r="D353" s="8">
        <v>17800.0</v>
      </c>
      <c r="E353" s="9">
        <v>12.0</v>
      </c>
      <c r="F353" s="10" t="str">
        <f>IFERROR(__xludf.DUMMYFUNCTION("LOWER(REGEXREPLACE(B353&amp;"" ""&amp;C353,""[^а-яa-z0-9 ]"","" ""))"),"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выраз"&amp;"ительность ")</f>
        <v>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выразительность </v>
      </c>
      <c r="G353" s="10" t="str">
        <f>IFERROR(__xludf.DUMMYFUNCTION("TEXTJOIN(""|"",TRUE,UNIQUE(FILTER(SPLIT(F353,"" ""),LEN(SPLIT(F353,"" ""))&gt;2)))"),"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f>
        <v>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v>
      </c>
      <c r="I353" s="6"/>
      <c r="J353" s="6"/>
    </row>
    <row r="354">
      <c r="A354" s="12" t="s">
        <v>961</v>
      </c>
      <c r="B354" s="7" t="s">
        <v>962</v>
      </c>
      <c r="C354" s="7" t="s">
        <v>963</v>
      </c>
      <c r="D354" s="8">
        <v>25500.0</v>
      </c>
      <c r="E354" s="9">
        <v>5.0</v>
      </c>
      <c r="F354" s="10" t="str">
        <f>IFERROR(__xludf.DUMMYFUNCTION("LOWER(REGEXREPLACE(B354&amp;"" ""&amp;C354,""[^а-яa-z0-9 ]"","" ""))"),"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поним"&amp;"ания трудовой деятельности взрослых ")</f>
        <v>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понимания трудовой деятельности взрослых </v>
      </c>
      <c r="G354" s="10" t="str">
        <f>IFERROR(__xludf.DUMMYFUNCTION("TEXTJOIN(""|"",TRUE,UNIQUE(FILTER(SPLIT(F354,"" ""),LEN(SPLIT(F354,"" ""))&gt;2)))"),"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amp;"ьности|взрослых")</f>
        <v>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ьности|взрослых</v>
      </c>
      <c r="I354" s="6"/>
      <c r="J354" s="6"/>
    </row>
    <row r="355">
      <c r="A355" s="12" t="s">
        <v>964</v>
      </c>
      <c r="B355" s="7" t="s">
        <v>965</v>
      </c>
      <c r="C355" s="7" t="s">
        <v>966</v>
      </c>
      <c r="D355" s="8">
        <v>10800.0</v>
      </c>
      <c r="E355" s="9">
        <v>14.0</v>
      </c>
      <c r="F355" s="10" t="str">
        <f>IFERROR(__xludf.DUMMYFUNCTION("LOWER(REGEXREPLACE(B355&amp;"" ""&amp;C355,""[^а-яa-z0-9 ]"","" ""))")," остюм врача  абор доктора детский           костюм врача для детей карнавальный для утренника  сада   3 предмета медика  халат  колпак  игрушка стетоскоп ")</f>
        <v> остюм врача  абор доктора детский           костюм врача для детей карнавальный для утренника  сада   3 предмета медика  халат  колпак  игрушка стетоскоп </v>
      </c>
      <c r="G355" s="10" t="str">
        <f>IFERROR(__xludf.DUMMYFUNCTION("TEXTJOIN(""|"",TRUE,UNIQUE(FILTER(SPLIT(F355,"" ""),LEN(SPLIT(F355,"" ""))&gt;2)))"),"остюм|врача|абор|доктора|детский|костюм|врача|для|детей|карнавальный|для|утренника|сада|предмета|медика|халат|колпак|игрушка|стетоскоп")</f>
        <v>остюм|врача|абор|доктора|детский|костюм|врача|для|детей|карнавальный|для|утренника|сада|предмета|медика|халат|колпак|игрушка|стетоскоп</v>
      </c>
      <c r="I355" s="6"/>
      <c r="J355" s="6"/>
    </row>
    <row r="356">
      <c r="A356" s="12" t="s">
        <v>967</v>
      </c>
      <c r="B356" s="7" t="s">
        <v>968</v>
      </c>
      <c r="C356" s="7" t="s">
        <v>969</v>
      </c>
      <c r="D356" s="8">
        <v>5200.0</v>
      </c>
      <c r="E356" s="9">
        <v>1.0</v>
      </c>
      <c r="F356" s="10" t="str">
        <f>IFERROR(__xludf.DUMMYFUNCTION("LOWER(REGEXREPLACE(B356&amp;"" ""&amp;C356,""[^а-яa-z0-9 ]"","" ""))"),"  ксерек   ерый лютый  каз рус яз      уезов")</f>
        <v>  ксерек   ерый лютый  каз рус яз      уезов</v>
      </c>
      <c r="G356" s="10" t="str">
        <f>IFERROR(__xludf.DUMMYFUNCTION("TEXTJOIN(""|"",TRUE,UNIQUE(FILTER(SPLIT(F356,"" ""),LEN(SPLIT(F356,"" ""))&gt;2)))"),"ксерек|ерый|лютый|каз|рус|уезов")</f>
        <v>ксерек|ерый|лютый|каз|рус|уезов</v>
      </c>
      <c r="I356" s="6"/>
      <c r="J356" s="6"/>
    </row>
    <row r="357">
      <c r="A357" s="12" t="s">
        <v>970</v>
      </c>
      <c r="B357" s="7" t="s">
        <v>971</v>
      </c>
      <c r="C357" s="7" t="s">
        <v>972</v>
      </c>
      <c r="D357" s="8">
        <v>1700.0</v>
      </c>
      <c r="E357" s="9">
        <v>1.0</v>
      </c>
      <c r="F357" s="10" t="str">
        <f>IFERROR(__xludf.DUMMYFUNCTION("LOWER(REGEXREPLACE(B357&amp;"" ""&amp;C357,""[^а-яa-z0-9 ]"","" ""))"),"  ктем к н  к н лд     маков")</f>
        <v>  ктем к н  к н лд     маков</v>
      </c>
      <c r="G357" s="10" t="str">
        <f>IFERROR(__xludf.DUMMYFUNCTION("TEXTJOIN(""|"",TRUE,UNIQUE(FILTER(SPLIT(F357,"" ""),LEN(SPLIT(F357,"" ""))&gt;2)))"),"ктем|маков")</f>
        <v>ктем|маков</v>
      </c>
      <c r="I357" s="6"/>
      <c r="J357" s="6"/>
    </row>
    <row r="358">
      <c r="A358" s="12" t="s">
        <v>973</v>
      </c>
      <c r="B358" s="7" t="s">
        <v>974</v>
      </c>
      <c r="C358" s="7" t="s">
        <v>975</v>
      </c>
      <c r="D358" s="8">
        <v>2800.0</v>
      </c>
      <c r="E358" s="9">
        <v>10.0</v>
      </c>
      <c r="F358" s="10" t="str">
        <f>IFERROR(__xludf.DUMMYFUNCTION("LOWER(REGEXREPLACE(B358&amp;"" ""&amp;C358,""[^а-яa-z0-9 ]"","" ""))")," раски акриловые  криловые краски на водной основе  предназначенные для детского творчества   езопасны  легко наносятся и быстро высыхают ")</f>
        <v> раски акриловые  криловые краски на водной основе  предназначенные для детского творчества   езопасны  легко наносятся и быстро высыхают </v>
      </c>
      <c r="G358" s="10" t="str">
        <f>IFERROR(__xludf.DUMMYFUNCTION("TEXTJOIN(""|"",TRUE,UNIQUE(FILTER(SPLIT(F358,"" ""),LEN(SPLIT(F358,"" ""))&gt;2)))"),"раски|акриловые|криловые|краски|водной|основе|предназначенные|для|детского|творчества|езопасны|легко|наносятся|быстро|высыхают")</f>
        <v>раски|акриловые|криловые|краски|водной|основе|предназначенные|для|детского|творчества|езопасны|легко|наносятся|быстро|высыхают</v>
      </c>
      <c r="I358" s="6"/>
      <c r="J358" s="6"/>
    </row>
    <row r="359">
      <c r="A359" s="12" t="s">
        <v>976</v>
      </c>
      <c r="B359" s="7" t="s">
        <v>977</v>
      </c>
      <c r="C359" s="7" t="s">
        <v>978</v>
      </c>
      <c r="D359" s="8">
        <v>7200.0</v>
      </c>
      <c r="E359" s="9">
        <v>1.0</v>
      </c>
      <c r="F359" s="10" t="str">
        <f>IFERROR(__xludf.DUMMYFUNCTION("LOWER(REGEXREPLACE(B359&amp;"" ""&amp;C359,""[^а-яa-z0-9 ]"","" ""))")," дебиет  лем не саяхат   рестоматия 2 4 сыныпка арнал ан   растыр ан     фтибекова")</f>
        <v> дебиет  лем не саяхат   рестоматия 2 4 сыныпка арнал ан   растыр ан     фтибекова</v>
      </c>
      <c r="G359" s="10" t="str">
        <f>IFERROR(__xludf.DUMMYFUNCTION("TEXTJOIN(""|"",TRUE,UNIQUE(FILTER(SPLIT(F359,"" ""),LEN(SPLIT(F359,"" ""))&gt;2)))"),"дебиет|лем|саяхат|рестоматия|сыныпка|арнал|растыр|фтибекова")</f>
        <v>дебиет|лем|саяхат|рестоматия|сыныпка|арнал|растыр|фтибекова</v>
      </c>
      <c r="I359" s="6"/>
      <c r="J359" s="6"/>
    </row>
    <row r="360">
      <c r="A360" s="12" t="s">
        <v>979</v>
      </c>
      <c r="B360" s="7" t="s">
        <v>980</v>
      </c>
      <c r="C360" s="7" t="s">
        <v>981</v>
      </c>
      <c r="D360" s="8">
        <v>22800.0</v>
      </c>
      <c r="E360" s="9">
        <v>5.0</v>
      </c>
      <c r="F360" s="10" t="str">
        <f>IFERROR(__xludf.DUMMYFUNCTION("LOWER(REGEXREPLACE(B360&amp;"" ""&amp;C360,""[^а-яa-z0-9 ]"","" ""))"),"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ощущение"&amp;"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част"&amp;"ь декоративного и сенсорного оформления среды   одбираются с уч том устойчивости  безопасности и удобства ухода в условиях постоянного пребывания детей ")</f>
        <v>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часть декоративного и сенсорного оформления среды   одбираются с уч том устойчивости  безопасности и удобства ухода в условиях постоянного пребывания детей </v>
      </c>
      <c r="G360" s="10" t="str">
        <f>IFERROR(__xludf.DUMMYFUNCTION("TEXTJOIN(""|"",TRUE,UNIQUE(FILTER(SPLIT(F360,"" ""),LEN(SPLIT(F360,"" ""))&gt;2)))"),"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amp;"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amp;"мления|среды|одбираются|том|устойчивости|безопасности|удобства|ухода|условиях|постоянного|пребывания|детей")</f>
        <v>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мления|среды|одбираются|том|устойчивости|безопасности|удобства|ухода|условиях|постоянного|пребывания|детей</v>
      </c>
      <c r="I360" s="6"/>
      <c r="J360" s="6"/>
    </row>
    <row r="361">
      <c r="A361" s="12" t="s">
        <v>982</v>
      </c>
      <c r="B361" s="7" t="s">
        <v>983</v>
      </c>
      <c r="C361" s="7" t="s">
        <v>984</v>
      </c>
      <c r="D361" s="8">
        <v>11400.0</v>
      </c>
      <c r="E361" s="9">
        <v>1.0</v>
      </c>
      <c r="F361" s="10" t="str">
        <f>IFERROR(__xludf.DUMMYFUNCTION("LOWER(REGEXREPLACE(B361&amp;"" ""&amp;C361,""[^а-яa-z0-9 ]"","" ""))"),"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прос"&amp;"транственного мышления и навыков конструирования у детей дошкольного возраста  способствует развитию координации движений и командной работы")</f>
        <v>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v>
      </c>
      <c r="G361" s="10" t="str">
        <f>IFERROR(__xludf.DUMMYFUNCTION("TEXTJOIN(""|"",TRUE,UNIQUE(FILTER(SPLIT(F361,"" ""),LEN(SPLIT(F361,"" ""))&gt;2)))"),"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amp;"ования|детей|дошкольного|возраста|способствует|развитию|координации|движений|командной|работы")</f>
        <v>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ования|детей|дошкольного|возраста|способствует|развитию|координации|движений|командной|работы</v>
      </c>
      <c r="I361" s="6"/>
      <c r="J361" s="6"/>
    </row>
    <row r="362">
      <c r="A362" s="12" t="s">
        <v>985</v>
      </c>
      <c r="B362" s="7" t="s">
        <v>986</v>
      </c>
      <c r="C362" s="7" t="s">
        <v>987</v>
      </c>
      <c r="D362" s="8">
        <v>9500.0</v>
      </c>
      <c r="E362" s="9">
        <v>5.0</v>
      </c>
      <c r="F362" s="10" t="str">
        <f>IFERROR(__xludf.DUMMYFUNCTION("LOWER(REGEXREPLACE(B362&amp;"" ""&amp;C362,""[^а-яa-z0-9 ]"","" ""))"),"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к"&amp;"лассификации по цвету и форме ")</f>
        <v>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классификации по цвету и форме </v>
      </c>
      <c r="G362" s="10" t="str">
        <f>IFERROR(__xludf.DUMMYFUNCTION("TEXTJOIN(""|"",TRUE,UNIQUE(FILTER(SPLIT(F362,"" ""),LEN(SPLIT(F362,"" ""))&gt;2)))"),"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amp;"|форме")</f>
        <v>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форме</v>
      </c>
      <c r="I362" s="6"/>
      <c r="J362" s="6"/>
    </row>
    <row r="363">
      <c r="A363" s="12" t="s">
        <v>988</v>
      </c>
      <c r="B363" s="7" t="s">
        <v>989</v>
      </c>
      <c r="C363" s="7" t="s">
        <v>990</v>
      </c>
      <c r="D363" s="8">
        <v>30400.0</v>
      </c>
      <c r="E363" s="9">
        <v>10.0</v>
      </c>
      <c r="F363" s="10" t="str">
        <f>IFERROR(__xludf.DUMMYFUNCTION("LOWER(REGEXREPLACE(B363&amp;"" ""&amp;C363,""[^а-яa-z0-9 ]"","" ""))"),"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испо"&amp;"льзование ")</f>
        <v>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использование </v>
      </c>
      <c r="G363" s="10" t="str">
        <f>IFERROR(__xludf.DUMMYFUNCTION("TEXTJOIN(""|"",TRUE,UNIQUE(FILTER(SPLIT(F363,"" ""),LEN(SPLIT(F363,"" ""))&gt;2)))"),"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f>
        <v>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v>
      </c>
      <c r="I363" s="6"/>
      <c r="J363" s="6"/>
    </row>
    <row r="364">
      <c r="A364" s="12" t="s">
        <v>991</v>
      </c>
      <c r="B364" s="7" t="s">
        <v>992</v>
      </c>
      <c r="C364" s="7" t="s">
        <v>993</v>
      </c>
      <c r="D364" s="8">
        <v>15200.0</v>
      </c>
      <c r="E364" s="9">
        <v>1.0</v>
      </c>
      <c r="F364" s="10" t="str">
        <f>IFERROR(__xludf.DUMMYFUNCTION("LOWER(REGEXREPLACE(B364&amp;"" ""&amp;C364,""[^а-яa-z0-9 ]"","" ""))"),"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f>
        <v>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v>
      </c>
      <c r="G364" s="10" t="str">
        <f>IFERROR(__xludf.DUMMYFUNCTION("TEXTJOIN(""|"",TRUE,UNIQUE(FILTER(SPLIT(F364,"" ""),LEN(SPLIT(F364,"" ""))&gt;2)))"),"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f>
        <v>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v>
      </c>
      <c r="I364" s="6"/>
      <c r="J364" s="6"/>
    </row>
    <row r="365">
      <c r="A365" s="12" t="s">
        <v>994</v>
      </c>
      <c r="B365" s="7" t="s">
        <v>995</v>
      </c>
      <c r="C365" s="7" t="s">
        <v>996</v>
      </c>
      <c r="D365" s="8">
        <v>61400.0</v>
      </c>
      <c r="E365" s="9">
        <v>7.0</v>
      </c>
      <c r="F365" s="10" t="str">
        <f>IFERROR(__xludf.DUMMYFUNCTION("LOWER(REGEXREPLACE(B365&amp;"" ""&amp;C365,""[^а-яa-z0-9 ]"","" ""))"),"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f>
        <v>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v>
      </c>
      <c r="G365" s="10" t="str">
        <f>IFERROR(__xludf.DUMMYFUNCTION("TEXTJOIN(""|"",TRUE,UNIQUE(FILTER(SPLIT(F365,"" ""),LEN(SPLIT(F365,"" ""))&gt;2)))"),"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f>
        <v>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v>
      </c>
      <c r="I365" s="6"/>
      <c r="J365" s="6"/>
    </row>
    <row r="366">
      <c r="A366" s="12" t="s">
        <v>997</v>
      </c>
      <c r="B366" s="7" t="s">
        <v>998</v>
      </c>
      <c r="C366" s="7" t="s">
        <v>999</v>
      </c>
      <c r="D366" s="8">
        <v>29100.0</v>
      </c>
      <c r="E366" s="9">
        <v>5.0</v>
      </c>
      <c r="F366" s="10" t="str">
        <f>IFERROR(__xludf.DUMMYFUNCTION("LOWER(REGEXREPLACE(B366&amp;"" ""&amp;C366,""[^а-яa-z0-9 ]"","" ""))"),"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использован"&amp;"ию ")</f>
        <v>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использованию </v>
      </c>
      <c r="G366" s="10" t="str">
        <f>IFERROR(__xludf.DUMMYFUNCTION("TEXTJOIN(""|"",TRUE,UNIQUE(FILTER(SPLIT(F366,"" ""),LEN(SPLIT(F366,"" ""))&gt;2)))"),"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f>
        <v>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v>
      </c>
      <c r="I366" s="6"/>
      <c r="J366" s="6"/>
    </row>
    <row r="367">
      <c r="A367" s="12" t="s">
        <v>1000</v>
      </c>
      <c r="B367" s="7" t="s">
        <v>1001</v>
      </c>
      <c r="C367" s="7" t="s">
        <v>1002</v>
      </c>
      <c r="D367" s="8">
        <v>26800.0</v>
      </c>
      <c r="E367" s="9">
        <v>5.0</v>
      </c>
      <c r="F367" s="10" t="str">
        <f>IFERROR(__xludf.DUMMYFUNCTION("LOWER(REGEXREPLACE(B367&amp;"" ""&amp;C367,""[^а-яa-z0-9 ]"","" ""))"),"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f>
        <v>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v>
      </c>
      <c r="G367" s="10" t="str">
        <f>IFERROR(__xludf.DUMMYFUNCTION("TEXTJOIN(""|"",TRUE,UNIQUE(FILTER(SPLIT(F367,"" ""),LEN(SPLIT(F367,"" ""))&gt;2)))"),"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f>
        <v>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v>
      </c>
      <c r="I367" s="6"/>
      <c r="J367" s="6"/>
    </row>
    <row r="368">
      <c r="A368" s="12" t="s">
        <v>1003</v>
      </c>
      <c r="B368" s="7" t="s">
        <v>1004</v>
      </c>
      <c r="C368" s="7" t="s">
        <v>1005</v>
      </c>
      <c r="D368" s="8">
        <v>39700.0</v>
      </c>
      <c r="E368" s="9">
        <v>7.0</v>
      </c>
      <c r="F368" s="10" t="str">
        <f>IFERROR(__xludf.DUMMYFUNCTION("LOWER(REGEXREPLACE(B368&amp;"" ""&amp;C368,""[^а-яa-z0-9 ]"","" ""))"),"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f>
        <v>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v>
      </c>
      <c r="G368" s="10" t="str">
        <f>IFERROR(__xludf.DUMMYFUNCTION("TEXTJOIN(""|"",TRUE,UNIQUE(FILTER(SPLIT(F368,"" ""),LEN(SPLIT(F368,"" ""))&gt;2)))"),"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f>
        <v>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v>
      </c>
      <c r="I368" s="6"/>
      <c r="J368" s="6"/>
    </row>
    <row r="369">
      <c r="A369" s="12" t="s">
        <v>1006</v>
      </c>
      <c r="B369" s="7" t="s">
        <v>1007</v>
      </c>
      <c r="C369" s="7" t="s">
        <v>1008</v>
      </c>
      <c r="D369" s="8">
        <v>6800.0</v>
      </c>
      <c r="E369" s="9">
        <v>1.0</v>
      </c>
      <c r="F369" s="10" t="str">
        <f>IFERROR(__xludf.DUMMYFUNCTION("LOWER(REGEXREPLACE(B369&amp;"" ""&amp;C369,""[^а-яa-z0-9 ]"","" ""))")," депт л к  дем л к  тет леу лы   ")</f>
        <v> депт л к  дем л к  тет леу лы   </v>
      </c>
      <c r="G369" s="10" t="str">
        <f>IFERROR(__xludf.DUMMYFUNCTION("TEXTJOIN(""|"",TRUE,UNIQUE(FILTER(SPLIT(F369,"" ""),LEN(SPLIT(F369,"" ""))&gt;2)))"),"депт|дем|тет|леу")</f>
        <v>депт|дем|тет|леу</v>
      </c>
      <c r="I369" s="6"/>
      <c r="J369" s="6"/>
    </row>
    <row r="370">
      <c r="A370" s="12" t="s">
        <v>1009</v>
      </c>
      <c r="B370" s="7" t="s">
        <v>1010</v>
      </c>
      <c r="C370" s="7" t="s">
        <v>1011</v>
      </c>
      <c r="D370" s="8">
        <v>24500.0</v>
      </c>
      <c r="E370" s="9">
        <v>5.0</v>
      </c>
      <c r="F370" s="10" t="str">
        <f>IFERROR(__xludf.DUMMYFUNCTION("LOWER(REGEXREPLACE(B370&amp;"" ""&amp;C370,""[^а-яa-z0-9 ]"","" ""))"),"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"&amp;"единица ")</f>
        <v>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единица </v>
      </c>
      <c r="G370" s="10" t="str">
        <f>IFERROR(__xludf.DUMMYFUNCTION("TEXTJOIN(""|"",TRUE,UNIQUE(FILTER(SPLIT(F370,"" ""),LEN(SPLIT(F370,"" ""))&gt;2)))"),"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f>
        <v>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v>
      </c>
      <c r="I370" s="6"/>
      <c r="J370" s="6"/>
    </row>
    <row r="371">
      <c r="A371" s="12" t="s">
        <v>1012</v>
      </c>
      <c r="B371" s="7" t="s">
        <v>1013</v>
      </c>
      <c r="C371" s="7" t="s">
        <v>1014</v>
      </c>
      <c r="D371" s="8">
        <v>18100.0</v>
      </c>
      <c r="E371" s="9">
        <v>1.0</v>
      </c>
      <c r="F371" s="10" t="str">
        <f>IFERROR(__xludf.DUMMYFUNCTION("LOWER(REGEXREPLACE(B371&amp;"" ""&amp;C371,""[^а-яa-z0-9 ]"","" ""))"),"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f>
        <v>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v>
      </c>
      <c r="G371" s="10" t="str">
        <f>IFERROR(__xludf.DUMMYFUNCTION("TEXTJOIN(""|"",TRUE,UNIQUE(FILTER(SPLIT(F371,"" ""),LEN(SPLIT(F371,"" ""))&gt;2)))"),"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f>
        <v>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v>
      </c>
      <c r="I371" s="6"/>
      <c r="J371" s="6"/>
    </row>
    <row r="372">
      <c r="A372" s="12" t="s">
        <v>1015</v>
      </c>
      <c r="B372" s="7" t="s">
        <v>1016</v>
      </c>
      <c r="C372" s="7" t="s">
        <v>1017</v>
      </c>
      <c r="D372" s="8">
        <v>26800.0</v>
      </c>
      <c r="E372" s="9">
        <v>5.0</v>
      </c>
      <c r="F372" s="10" t="str">
        <f>IFERROR(__xludf.DUMMYFUNCTION("LOWER(REGEXREPLACE(B372&amp;"" ""&amp;C372,""[^а-яa-z0-9 ]"","" ""))"),"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f>
        <v>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v>
      </c>
      <c r="G372" s="10" t="str">
        <f>IFERROR(__xludf.DUMMYFUNCTION("TEXTJOIN(""|"",TRUE,UNIQUE(FILTER(SPLIT(F372,"" ""),LEN(SPLIT(F372,"" ""))&gt;2)))"),"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f>
        <v>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v>
      </c>
      <c r="I372" s="6"/>
      <c r="J372" s="6"/>
    </row>
    <row r="373">
      <c r="A373" s="12" t="s">
        <v>1018</v>
      </c>
      <c r="B373" s="7" t="s">
        <v>1019</v>
      </c>
      <c r="C373" s="7" t="s">
        <v>1020</v>
      </c>
      <c r="D373" s="8">
        <v>47500.0</v>
      </c>
      <c r="E373" s="9">
        <v>5.0</v>
      </c>
      <c r="F373" s="10" t="str">
        <f>IFERROR(__xludf.DUMMYFUNCTION("LOWER(REGEXREPLACE(B373&amp;"" ""&amp;C373,""[^а-яa-z0-9 ]"","" ""))"),"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f>
        <v>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v>
      </c>
      <c r="G373" s="10" t="str">
        <f>IFERROR(__xludf.DUMMYFUNCTION("TEXTJOIN(""|"",TRUE,UNIQUE(FILTER(SPLIT(F373,"" ""),LEN(SPLIT(F373,"" ""))&gt;2)))"),"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f>
        <v>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v>
      </c>
      <c r="I373" s="6"/>
      <c r="J373" s="6"/>
    </row>
    <row r="374">
      <c r="A374" s="12" t="s">
        <v>1021</v>
      </c>
      <c r="B374" s="7" t="s">
        <v>1022</v>
      </c>
      <c r="C374" s="7" t="s">
        <v>1023</v>
      </c>
      <c r="D374" s="8">
        <v>25800.0</v>
      </c>
      <c r="E374" s="9">
        <v>5.0</v>
      </c>
      <c r="F374" s="10" t="str">
        <f>IFERROR(__xludf.DUMMYFUNCTION("LOWER(REGEXREPLACE(B374&amp;"" ""&amp;C374,""[^а-яa-z0-9 ]"","" ""))"),"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f>
        <v>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v>
      </c>
      <c r="G374" s="10" t="str">
        <f>IFERROR(__xludf.DUMMYFUNCTION("TEXTJOIN(""|"",TRUE,UNIQUE(FILTER(SPLIT(F374,"" ""),LEN(SPLIT(F374,"" ""))&gt;2)))"),"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f>
        <v>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v>
      </c>
      <c r="I374" s="6"/>
      <c r="J374" s="6"/>
    </row>
    <row r="375">
      <c r="A375" s="12" t="s">
        <v>1024</v>
      </c>
      <c r="B375" s="7" t="s">
        <v>1025</v>
      </c>
      <c r="C375" s="7" t="s">
        <v>1026</v>
      </c>
      <c r="D375" s="8">
        <v>4900.0</v>
      </c>
      <c r="E375" s="9">
        <v>7.0</v>
      </c>
      <c r="F375" s="10" t="str">
        <f>IFERROR(__xludf.DUMMYFUNCTION("LOWER(REGEXREPLACE(B375&amp;"" ""&amp;C375,""[^а-яa-z0-9 ]"","" ""))"),"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f>
        <v>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v>
      </c>
      <c r="G375" s="10" t="str">
        <f>IFERROR(__xludf.DUMMYFUNCTION("TEXTJOIN(""|"",TRUE,UNIQUE(FILTER(SPLIT(F375,"" ""),LEN(SPLIT(F375,"" ""))&gt;2)))"),"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f>
        <v>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v>
      </c>
      <c r="I375" s="6"/>
      <c r="J375" s="6"/>
    </row>
    <row r="376">
      <c r="A376" s="12" t="s">
        <v>1027</v>
      </c>
      <c r="B376" s="7" t="s">
        <v>1028</v>
      </c>
      <c r="C376" s="7" t="s">
        <v>1029</v>
      </c>
      <c r="D376" s="8">
        <v>31900.0</v>
      </c>
      <c r="E376" s="9">
        <v>10.0</v>
      </c>
      <c r="F376" s="10" t="str">
        <f>IFERROR(__xludf.DUMMYFUNCTION("LOWER(REGEXREPLACE(B376&amp;"" ""&amp;C376,""[^а-яa-z0-9 ]"","" ""))"),"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п"&amp;"озволяет удерживать куклу в сидячем и стоячем положении ")</f>
        <v>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позволяет удерживать куклу в сидячем и стоячем положении </v>
      </c>
      <c r="G376" s="10" t="str">
        <f>IFERROR(__xludf.DUMMYFUNCTION("TEXTJOIN(""|"",TRUE,UNIQUE(FILTER(SPLIT(F376,"" ""),LEN(SPLIT(F376,"" ""))&gt;2)))"),"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amp;"идячем|стоячем|положении")</f>
        <v>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идячем|стоячем|положении</v>
      </c>
      <c r="I376" s="6"/>
      <c r="J376" s="6"/>
    </row>
    <row r="377">
      <c r="A377" s="12" t="s">
        <v>1030</v>
      </c>
      <c r="B377" s="7" t="s">
        <v>1031</v>
      </c>
      <c r="C377" s="7" t="s">
        <v>1032</v>
      </c>
      <c r="D377" s="8">
        <v>9500.0</v>
      </c>
      <c r="E377" s="9">
        <v>3.0</v>
      </c>
      <c r="F377" s="10" t="str">
        <f>IFERROR(__xludf.DUMMYFUNCTION("LOWER(REGEXREPLACE(B377&amp;"" ""&amp;C377,""[^а-яa-z0-9 ]"","" ""))"),"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f>
        <v>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v>
      </c>
      <c r="G377" s="10" t="str">
        <f>IFERROR(__xludf.DUMMYFUNCTION("TEXTJOIN(""|"",TRUE,UNIQUE(FILTER(SPLIT(F377,"" ""),LEN(SPLIT(F377,"" ""))&gt;2)))"),"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f>
        <v>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v>
      </c>
      <c r="I377" s="6"/>
      <c r="J377" s="6"/>
    </row>
    <row r="378">
      <c r="A378" s="12" t="s">
        <v>1033</v>
      </c>
      <c r="B378" s="7" t="s">
        <v>1034</v>
      </c>
      <c r="C378" s="7" t="s">
        <v>1035</v>
      </c>
      <c r="D378" s="8">
        <v>14200.0</v>
      </c>
      <c r="E378" s="9">
        <v>8.0</v>
      </c>
      <c r="F378" s="10" t="str">
        <f>IFERROR(__xludf.DUMMYFUNCTION("LOWER(REGEXREPLACE(B378&amp;"" ""&amp;C378,""[^а-яa-z0-9 ]"","" ""))"),"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f>
        <v>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v>
      </c>
      <c r="G378" s="10" t="str">
        <f>IFERROR(__xludf.DUMMYFUNCTION("TEXTJOIN(""|"",TRUE,UNIQUE(FILTER(SPLIT(F378,"" ""),LEN(SPLIT(F378,"" ""))&gt;2)))"),"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f>
        <v>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v>
      </c>
      <c r="I378" s="6"/>
      <c r="J378" s="6"/>
    </row>
    <row r="379">
      <c r="A379" s="12" t="s">
        <v>1036</v>
      </c>
      <c r="B379" s="7" t="s">
        <v>1037</v>
      </c>
      <c r="C379" s="7" t="s">
        <v>1038</v>
      </c>
      <c r="D379" s="8">
        <v>7600.0</v>
      </c>
      <c r="E379" s="9">
        <v>1.0</v>
      </c>
      <c r="F379" s="10" t="str">
        <f>IFERROR(__xludf.DUMMYFUNCTION("LOWER(REGEXREPLACE(B379&amp;"" ""&amp;C379,""[^а-яa-z0-9 ]"","" ""))"),"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f>
        <v>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v>
      </c>
      <c r="G379" s="10" t="str">
        <f>IFERROR(__xludf.DUMMYFUNCTION("TEXTJOIN(""|"",TRUE,UNIQUE(FILTER(SPLIT(F379,"" ""),LEN(SPLIT(F379,"" ""))&gt;2)))"),"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f>
        <v>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v>
      </c>
      <c r="I379" s="6"/>
      <c r="J379" s="6"/>
    </row>
    <row r="380">
      <c r="A380" s="12" t="s">
        <v>1039</v>
      </c>
      <c r="B380" s="7" t="s">
        <v>1040</v>
      </c>
      <c r="C380" s="7" t="s">
        <v>1041</v>
      </c>
      <c r="D380" s="8">
        <v>27900.0</v>
      </c>
      <c r="E380" s="9">
        <v>1.0</v>
      </c>
      <c r="F380" s="10" t="str">
        <f>IFERROR(__xludf.DUMMYFUNCTION("LOWER(REGEXREPLACE(B380&amp;"" ""&amp;C380,""[^а-яa-z0-9 ]"","" ""))")," лемн   м дени жау арлары под ред      анфорд  перевод  арипова    ")</f>
        <v> лемн   м дени жау арлары под ред      анфорд  перевод  арипова    </v>
      </c>
      <c r="G380" s="10" t="str">
        <f>IFERROR(__xludf.DUMMYFUNCTION("TEXTJOIN(""|"",TRUE,UNIQUE(FILTER(SPLIT(F380,"" ""),LEN(SPLIT(F380,"" ""))&gt;2)))"),"лемн|дени|жау|арлары|под|ред|анфорд|перевод|арипова")</f>
        <v>лемн|дени|жау|арлары|под|ред|анфорд|перевод|арипова</v>
      </c>
      <c r="I380" s="6"/>
      <c r="J380" s="6"/>
    </row>
    <row r="381">
      <c r="A381" s="12" t="s">
        <v>1042</v>
      </c>
      <c r="B381" s="7" t="s">
        <v>1043</v>
      </c>
      <c r="C381" s="7" t="s">
        <v>1044</v>
      </c>
      <c r="D381" s="8">
        <v>21900.0</v>
      </c>
      <c r="E381" s="9">
        <v>1.0</v>
      </c>
      <c r="F381" s="10" t="str">
        <f>IFERROR(__xludf.DUMMYFUNCTION("LOWER(REGEXREPLACE(B381&amp;"" ""&amp;C381,""[^а-яa-z0-9 ]"","" ""))"),"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f>
        <v>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v>
      </c>
      <c r="G381" s="10" t="str">
        <f>IFERROR(__xludf.DUMMYFUNCTION("TEXTJOIN(""|"",TRUE,UNIQUE(FILTER(SPLIT(F381,"" ""),LEN(SPLIT(F381,"" ""))&gt;2)))"),"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f>
        <v>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v>
      </c>
      <c r="I381" s="6"/>
      <c r="J381" s="6"/>
    </row>
    <row r="382">
      <c r="A382" s="12" t="s">
        <v>1045</v>
      </c>
      <c r="B382" s="7" t="s">
        <v>1046</v>
      </c>
      <c r="C382" s="7" t="s">
        <v>1047</v>
      </c>
      <c r="D382" s="8">
        <v>38800.0</v>
      </c>
      <c r="E382" s="9">
        <v>12.0</v>
      </c>
      <c r="F382" s="10" t="str">
        <f>IFERROR(__xludf.DUMMYFUNCTION("LOWER(REGEXREPLACE(B382&amp;"" ""&amp;C382,""[^а-яa-z0-9 ]"","" ""))"),"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соци"&amp;"альных навыков ")</f>
        <v>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социальных навыков </v>
      </c>
      <c r="G382" s="10" t="str">
        <f>IFERROR(__xludf.DUMMYFUNCTION("TEXTJOIN(""|"",TRUE,UNIQUE(FILTER(SPLIT(F382,"" ""),LEN(SPLIT(F382,"" ""))&gt;2)))"),"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f>
        <v>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v>
      </c>
      <c r="I382" s="6"/>
      <c r="J382" s="6"/>
    </row>
    <row r="383">
      <c r="A383" s="12" t="s">
        <v>1048</v>
      </c>
      <c r="B383" s="7" t="s">
        <v>1049</v>
      </c>
      <c r="C383" s="7" t="s">
        <v>1050</v>
      </c>
      <c r="D383" s="8">
        <v>11400.0</v>
      </c>
      <c r="E383" s="9">
        <v>1.0</v>
      </c>
      <c r="F383" s="10" t="str">
        <f>IFERROR(__xludf.DUMMYFUNCTION("LOWER(REGEXREPLACE(B383&amp;"" ""&amp;C383,""[^а-яa-z0-9 ]"","" ""))"),"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f>
        <v>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v>
      </c>
      <c r="G383" s="10" t="str">
        <f>IFERROR(__xludf.DUMMYFUNCTION("TEXTJOIN(""|"",TRUE,UNIQUE(FILTER(SPLIT(F383,"" ""),LEN(SPLIT(F383,"" ""))&gt;2)))"),"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f>
        <v>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v>
      </c>
      <c r="I383" s="6"/>
      <c r="J383" s="6"/>
    </row>
    <row r="384">
      <c r="A384" s="12" t="s">
        <v>1051</v>
      </c>
      <c r="B384" s="7" t="s">
        <v>1052</v>
      </c>
      <c r="C384" s="7" t="s">
        <v>1053</v>
      </c>
      <c r="D384" s="8">
        <v>44400.0</v>
      </c>
      <c r="E384" s="9">
        <v>7.0</v>
      </c>
      <c r="F384" s="10" t="str">
        <f>IFERROR(__xludf.DUMMYFUNCTION("LOWER(REGEXREPLACE(B384&amp;"" ""&amp;C384,""[^а-яa-z0-9 ]"","" ""))"),"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f>
        <v>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v>
      </c>
      <c r="G384" s="10" t="str">
        <f>IFERROR(__xludf.DUMMYFUNCTION("TEXTJOIN(""|"",TRUE,UNIQUE(FILTER(SPLIT(F384,"" ""),LEN(SPLIT(F384,"" ""))&gt;2)))"),"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f>
        <v>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v>
      </c>
      <c r="I384" s="6"/>
      <c r="J384" s="6"/>
    </row>
    <row r="385">
      <c r="A385" s="12" t="s">
        <v>1054</v>
      </c>
      <c r="B385" s="7" t="s">
        <v>1055</v>
      </c>
      <c r="C385" s="7" t="s">
        <v>1056</v>
      </c>
      <c r="D385" s="8">
        <v>5700.0</v>
      </c>
      <c r="E385" s="9">
        <v>7.0</v>
      </c>
      <c r="F385" s="10" t="str">
        <f>IFERROR(__xludf.DUMMYFUNCTION("LOWER(REGEXREPLACE(B385&amp;"" ""&amp;C385,""[^а-яa-z0-9 ]"","" ""))"),"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ст"&amp;"роение позволяет менять позы и расширяет игровые сценарии ")</f>
        <v>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строение позволяет менять позы и расширяет игровые сценарии </v>
      </c>
      <c r="G385" s="10" t="str">
        <f>IFERROR(__xludf.DUMMYFUNCTION("TEXTJOIN(""|"",TRUE,UNIQUE(FILTER(SPLIT(F385,"" ""),LEN(SPLIT(F385,"" ""))&gt;2)))"),"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amp;"яет|менять|позы|расширяет|игровые|сценарии")</f>
        <v>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яет|менять|позы|расширяет|игровые|сценарии</v>
      </c>
      <c r="I385" s="6"/>
      <c r="J385" s="6"/>
    </row>
    <row r="386">
      <c r="A386" s="12" t="s">
        <v>1057</v>
      </c>
      <c r="B386" s="7" t="s">
        <v>1058</v>
      </c>
      <c r="C386" s="7" t="s">
        <v>1059</v>
      </c>
      <c r="D386" s="8">
        <v>22800.0</v>
      </c>
      <c r="E386" s="9">
        <v>35.0</v>
      </c>
      <c r="F386" s="10" t="str">
        <f>IFERROR(__xludf.DUMMYFUNCTION("LOWER(REGEXREPLACE(B386&amp;"" ""&amp;C386,""[^а-яa-z0-9 ]"","" ""))"),"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де"&amp;"ятельности ")</f>
        <v>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деятельности </v>
      </c>
      <c r="G386" s="10" t="str">
        <f>IFERROR(__xludf.DUMMYFUNCTION("TEXTJOIN(""|"",TRUE,UNIQUE(FILTER(SPLIT(F386,"" ""),LEN(SPLIT(F386,"" ""))&gt;2)))"),"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f>
        <v>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v>
      </c>
      <c r="I386" s="6"/>
      <c r="J386" s="6"/>
    </row>
    <row r="387">
      <c r="A387" s="12" t="s">
        <v>1060</v>
      </c>
      <c r="B387" s="7" t="s">
        <v>1061</v>
      </c>
      <c r="C387" s="7" t="s">
        <v>1062</v>
      </c>
      <c r="D387" s="8">
        <v>10800.0</v>
      </c>
      <c r="E387" s="9">
        <v>5.0</v>
      </c>
      <c r="F387" s="10" t="str">
        <f>IFERROR(__xludf.DUMMYFUNCTION("LOWER(REGEXREPLACE(B387&amp;"" ""&amp;C387,""[^а-яa-z0-9 ]"","" ""))"),"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f>
        <v>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v>
      </c>
      <c r="G387" s="10" t="str">
        <f>IFERROR(__xludf.DUMMYFUNCTION("TEXTJOIN(""|"",TRUE,UNIQUE(FILTER(SPLIT(F387,"" ""),LEN(SPLIT(F387,"" ""))&gt;2)))"),"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f>
        <v>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v>
      </c>
      <c r="I387" s="6"/>
      <c r="J387" s="6"/>
    </row>
    <row r="388">
      <c r="A388" s="12" t="s">
        <v>1063</v>
      </c>
      <c r="B388" s="7" t="s">
        <v>1064</v>
      </c>
      <c r="C388" s="7" t="s">
        <v>1065</v>
      </c>
      <c r="D388" s="8">
        <v>47500.0</v>
      </c>
      <c r="E388" s="9">
        <v>12.0</v>
      </c>
      <c r="F388" s="10" t="str">
        <f>IFERROR(__xludf.DUMMYFUNCTION("LOWER(REGEXREPLACE(B388&amp;"" ""&amp;C388,""[^а-яa-z0-9 ]"","" ""))"),"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неско"&amp;"льких детей ")</f>
        <v>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нескольких детей </v>
      </c>
      <c r="G388" s="10" t="str">
        <f>IFERROR(__xludf.DUMMYFUNCTION("TEXTJOIN(""|"",TRUE,UNIQUE(FILTER(SPLIT(F388,"" ""),LEN(SPLIT(F388,"" ""))&gt;2)))"),"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f>
        <v>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v>
      </c>
      <c r="I388" s="6"/>
      <c r="J388" s="6"/>
    </row>
    <row r="389">
      <c r="A389" s="12" t="s">
        <v>1066</v>
      </c>
      <c r="B389" s="7" t="s">
        <v>1067</v>
      </c>
      <c r="C389" s="7" t="s">
        <v>1068</v>
      </c>
      <c r="D389" s="8">
        <v>57000.0</v>
      </c>
      <c r="E389" s="9">
        <v>7.0</v>
      </c>
      <c r="F389" s="10" t="str">
        <f>IFERROR(__xludf.DUMMYFUNCTION("LOWER(REGEXREPLACE(B389&amp;"" ""&amp;C389,""[^а-яa-z0-9 ]"","" ""))"),"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составл"&amp;"яет не менее 70 см   атериал изготовления   дерево ")</f>
        <v>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составляет не менее 70 см   атериал изготовления   дерево </v>
      </c>
      <c r="G389" s="10" t="str">
        <f>IFERROR(__xludf.DUMMYFUNCTION("TEXTJOIN(""|"",TRUE,UNIQUE(FILTER(SPLIT(F389,"" ""),LEN(SPLIT(F389,"" ""))&gt;2)))"),"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amp;"ал|изготовления|дерево")</f>
        <v>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ал|изготовления|дерево</v>
      </c>
      <c r="I389" s="6"/>
      <c r="J389" s="6"/>
    </row>
    <row r="390">
      <c r="A390" s="12" t="s">
        <v>1069</v>
      </c>
      <c r="B390" s="7" t="s">
        <v>1070</v>
      </c>
      <c r="C390" s="7" t="s">
        <v>1071</v>
      </c>
      <c r="D390" s="8">
        <v>5700.0</v>
      </c>
      <c r="E390" s="9">
        <v>5.0</v>
      </c>
      <c r="F390" s="10" t="str">
        <f>IFERROR(__xludf.DUMMYFUNCTION("LOWER(REGEXREPLACE(B390&amp;"" ""&amp;C390,""[^а-яa-z0-9 ]"","" ""))"),"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контроле"&amp;"м педагога ")</f>
        <v>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контролем педагога </v>
      </c>
      <c r="G390" s="10" t="str">
        <f>IFERROR(__xludf.DUMMYFUNCTION("TEXTJOIN(""|"",TRUE,UNIQUE(FILTER(SPLIT(F390,"" ""),LEN(SPLIT(F390,"" ""))&gt;2)))"),"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f>
        <v>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v>
      </c>
      <c r="I390" s="6"/>
      <c r="J390" s="6"/>
    </row>
    <row r="391">
      <c r="A391" s="12" t="s">
        <v>1072</v>
      </c>
      <c r="B391" s="7" t="s">
        <v>1073</v>
      </c>
      <c r="C391" s="7" t="s">
        <v>1074</v>
      </c>
      <c r="D391" s="8">
        <v>8400.0</v>
      </c>
      <c r="E391" s="9">
        <v>1.0</v>
      </c>
      <c r="F391" s="10" t="str">
        <f>IFERROR(__xludf.DUMMYFUNCTION("LOWER(REGEXREPLACE(B391&amp;"" ""&amp;C391,""[^а-яa-z0-9 ]"","" ""))")," лемн    лы кереметтер   ш   ")</f>
        <v> лемн    лы кереметтер   ш   </v>
      </c>
      <c r="G391" s="10" t="str">
        <f>IFERROR(__xludf.DUMMYFUNCTION("TEXTJOIN(""|"",TRUE,UNIQUE(FILTER(SPLIT(F391,"" ""),LEN(SPLIT(F391,"" ""))&gt;2)))"),"лемн|кереметтер")</f>
        <v>лемн|кереметтер</v>
      </c>
      <c r="I391" s="6"/>
      <c r="J391" s="6"/>
    </row>
    <row r="392">
      <c r="A392" s="12" t="s">
        <v>1075</v>
      </c>
      <c r="B392" s="7" t="s">
        <v>1076</v>
      </c>
      <c r="C392" s="7" t="s">
        <v>1077</v>
      </c>
      <c r="D392" s="8">
        <v>16800.0</v>
      </c>
      <c r="E392" s="9">
        <v>5.0</v>
      </c>
      <c r="F392" s="10" t="str">
        <f>IFERROR(__xludf.DUMMYFUNCTION("LOWER(REGEXREPLACE(B392&amp;"" ""&amp;C392,""[^а-яa-z0-9 ]"","" ""))"),"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заняти"&amp;"й и игровых постановок    комплект входит не менее 5 кукол ")</f>
        <v>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занятий и игровых постановок    комплект входит не менее 5 кукол </v>
      </c>
      <c r="G392" s="10" t="str">
        <f>IFERROR(__xludf.DUMMYFUNCTION("TEXTJOIN(""|"",TRUE,UNIQUE(FILTER(SPLIT(F392,"" ""),LEN(SPLIT(F392,"" ""))&gt;2)))"),"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amp;"к|комплект|входит|менее|кукол")</f>
        <v>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к|комплект|входит|менее|кукол</v>
      </c>
      <c r="I392" s="6"/>
      <c r="J392" s="6"/>
    </row>
    <row r="393">
      <c r="A393" s="12" t="s">
        <v>1078</v>
      </c>
      <c r="B393" s="7" t="s">
        <v>1079</v>
      </c>
      <c r="C393" s="7" t="s">
        <v>1080</v>
      </c>
      <c r="D393" s="8">
        <v>14900.0</v>
      </c>
      <c r="E393" s="9">
        <v>5.0</v>
      </c>
      <c r="F393" s="10" t="str">
        <f>IFERROR(__xludf.DUMMYFUNCTION("LOWER(REGEXREPLACE(B393&amp;"" ""&amp;C393,""[^а-яa-z0-9 ]"","" ""))"),"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перчат"&amp;"очных кукол ")</f>
        <v>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перчаточных кукол </v>
      </c>
      <c r="G393" s="10" t="str">
        <f>IFERROR(__xludf.DUMMYFUNCTION("TEXTJOIN(""|"",TRUE,UNIQUE(FILTER(SPLIT(F393,"" ""),LEN(SPLIT(F393,"" ""))&gt;2)))"),"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f>
        <v>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v>
      </c>
      <c r="I393" s="6"/>
      <c r="J393" s="6"/>
    </row>
    <row r="394">
      <c r="A394" s="12" t="s">
        <v>1081</v>
      </c>
      <c r="B394" s="7" t="s">
        <v>1082</v>
      </c>
      <c r="C394" s="7" t="s">
        <v>1083</v>
      </c>
      <c r="D394" s="8">
        <v>76500.0</v>
      </c>
      <c r="E394" s="9">
        <v>2.0</v>
      </c>
      <c r="F394" s="10" t="str">
        <f>IFERROR(__xludf.DUMMYFUNCTION("LOWER(REGEXREPLACE(B394&amp;"" ""&amp;C394,""[^а-яa-z0-9 ]"","" ""))"),"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f>
        <v>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v>
      </c>
      <c r="G394" s="10" t="str">
        <f>IFERROR(__xludf.DUMMYFUNCTION("TEXTJOIN(""|"",TRUE,UNIQUE(FILTER(SPLIT(F394,"" ""),LEN(SPLIT(F394,"" ""))&gt;2)))"),"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f>
        <v>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v>
      </c>
      <c r="I394" s="6"/>
      <c r="J394" s="6"/>
    </row>
    <row r="395">
      <c r="A395" s="12" t="s">
        <v>1084</v>
      </c>
      <c r="B395" s="7" t="s">
        <v>1085</v>
      </c>
      <c r="C395" s="7" t="s">
        <v>1086</v>
      </c>
      <c r="D395" s="8">
        <v>27900.0</v>
      </c>
      <c r="E395" s="9">
        <v>1.0</v>
      </c>
      <c r="F395" s="10" t="str">
        <f>IFERROR(__xludf.DUMMYFUNCTION("LOWER(REGEXREPLACE(B395&amp;"" ""&amp;C395,""[^а-яa-z0-9 ]"","" ""))")," ультурные сокровища мира под ред      анфорд  перевод  санова    ")</f>
        <v> ультурные сокровища мира под ред      анфорд  перевод  санова    </v>
      </c>
      <c r="G395" s="10" t="str">
        <f>IFERROR(__xludf.DUMMYFUNCTION("TEXTJOIN(""|"",TRUE,UNIQUE(FILTER(SPLIT(F395,"" ""),LEN(SPLIT(F395,"" ""))&gt;2)))"),"ультурные|сокровища|мира|под|ред|анфорд|перевод|санова")</f>
        <v>ультурные|сокровища|мира|под|ред|анфорд|перевод|санова</v>
      </c>
      <c r="I395" s="6"/>
      <c r="J395" s="6"/>
    </row>
    <row r="396">
      <c r="A396" s="12" t="s">
        <v>1087</v>
      </c>
      <c r="B396" s="7" t="s">
        <v>1088</v>
      </c>
      <c r="C396" s="7" t="s">
        <v>1089</v>
      </c>
      <c r="D396" s="8">
        <v>8000.0</v>
      </c>
      <c r="E396" s="9">
        <v>1.0</v>
      </c>
      <c r="F396" s="10" t="str">
        <f>IFERROR(__xludf.DUMMYFUNCTION("LOWER(REGEXREPLACE(B396&amp;"" ""&amp;C396,""[^а-яa-z0-9 ]"","" ""))"),"  н н рындай   н кей    йымбетов")</f>
        <v>  н н рындай   н кей    йымбетов</v>
      </c>
      <c r="G396" s="10" t="str">
        <f>IFERROR(__xludf.DUMMYFUNCTION("TEXTJOIN(""|"",TRUE,UNIQUE(FILTER(SPLIT(F396,"" ""),LEN(SPLIT(F396,"" ""))&gt;2)))"),"рындай|кей|йымбетов")</f>
        <v>рындай|кей|йымбетов</v>
      </c>
      <c r="I396" s="6"/>
      <c r="J396" s="6"/>
    </row>
    <row r="397">
      <c r="A397" s="12" t="s">
        <v>1090</v>
      </c>
      <c r="B397" s="7" t="s">
        <v>1091</v>
      </c>
      <c r="C397" s="7" t="s">
        <v>1092</v>
      </c>
      <c r="D397" s="8">
        <v>8000.0</v>
      </c>
      <c r="E397" s="9">
        <v>1.0</v>
      </c>
      <c r="F397" s="10" t="str">
        <f>IFERROR(__xludf.DUMMYFUNCTION("LOWER(REGEXREPLACE(B397&amp;"" ""&amp;C397,""[^а-яa-z0-9 ]"","" ""))"),"  шт н сыры неде   ызы ты физика  аммонд   ")</f>
        <v>  шт н сыры неде   ызы ты физика  аммонд   </v>
      </c>
      <c r="G397" s="10" t="str">
        <f>IFERROR(__xludf.DUMMYFUNCTION("TEXTJOIN(""|"",TRUE,UNIQUE(FILTER(SPLIT(F397,"" ""),LEN(SPLIT(F397,"" ""))&gt;2)))"),"сыры|неде|ызы|физика|аммонд")</f>
        <v>сыры|неде|ызы|физика|аммонд</v>
      </c>
      <c r="I397" s="6"/>
      <c r="J397" s="6"/>
    </row>
    <row r="398">
      <c r="A398" s="12" t="s">
        <v>1093</v>
      </c>
      <c r="B398" s="7" t="s">
        <v>1094</v>
      </c>
      <c r="C398" s="7" t="s">
        <v>1095</v>
      </c>
      <c r="D398" s="8">
        <v>15900.0</v>
      </c>
      <c r="E398" s="9">
        <v>1.0</v>
      </c>
      <c r="F398" s="10" t="str">
        <f>IFERROR(__xludf.DUMMYFUNCTION("LOWER(REGEXREPLACE(B398&amp;"" ""&amp;C398,""[^а-яa-z0-9 ]"","" ""))")," аза  афоризмдер   аймерденов   ")</f>
        <v> аза  афоризмдер   аймерденов   </v>
      </c>
      <c r="G398" s="10" t="str">
        <f>IFERROR(__xludf.DUMMYFUNCTION("TEXTJOIN(""|"",TRUE,UNIQUE(FILTER(SPLIT(F398,"" ""),LEN(SPLIT(F398,"" ""))&gt;2)))"),"аза|афоризмдер|аймерденов")</f>
        <v>аза|афоризмдер|аймерденов</v>
      </c>
      <c r="I398" s="6"/>
      <c r="J398" s="6"/>
    </row>
    <row r="399">
      <c r="A399" s="12" t="s">
        <v>1096</v>
      </c>
      <c r="B399" s="7" t="s">
        <v>1097</v>
      </c>
      <c r="C399" s="7" t="s">
        <v>1098</v>
      </c>
      <c r="D399" s="8">
        <v>12000.0</v>
      </c>
      <c r="E399" s="9">
        <v>7.0</v>
      </c>
      <c r="F399" s="10" t="str">
        <f>IFERROR(__xludf.DUMMYFUNCTION("LOWER(REGEXREPLACE(B399&amp;"" ""&amp;C399,""[^а-яa-z0-9 ]"","" ""))"),"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f>
        <v>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v>
      </c>
      <c r="G399" s="10" t="str">
        <f>IFERROR(__xludf.DUMMYFUNCTION("TEXTJOIN(""|"",TRUE,UNIQUE(FILTER(SPLIT(F399,"" ""),LEN(SPLIT(F399,"" ""))&gt;2)))"),"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f>
        <v>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v>
      </c>
      <c r="I399" s="6"/>
      <c r="J399" s="6"/>
    </row>
    <row r="400">
      <c r="A400" s="12" t="s">
        <v>1099</v>
      </c>
      <c r="B400" s="7" t="s">
        <v>1100</v>
      </c>
      <c r="C400" s="7" t="s">
        <v>1101</v>
      </c>
      <c r="D400" s="8">
        <v>12400.0</v>
      </c>
      <c r="E400" s="9">
        <v>125.0</v>
      </c>
      <c r="F400" s="10" t="str">
        <f>IFERROR(__xludf.DUMMYFUNCTION("LOWER(REGEXREPLACE(B400&amp;"" ""&amp;C400,""[^а-яa-z0-9 ]"","" ""))"),"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f>
        <v>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v>
      </c>
      <c r="G400" s="10" t="str">
        <f>IFERROR(__xludf.DUMMYFUNCTION("TEXTJOIN(""|"",TRUE,UNIQUE(FILTER(SPLIT(F400,"" ""),LEN(SPLIT(F400,"" ""))&gt;2)))"),"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f>
        <v>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v>
      </c>
      <c r="I400" s="6"/>
      <c r="J400" s="6"/>
    </row>
    <row r="401">
      <c r="A401" s="12" t="s">
        <v>1102</v>
      </c>
      <c r="B401" s="7" t="s">
        <v>1103</v>
      </c>
      <c r="C401" s="7" t="s">
        <v>1104</v>
      </c>
      <c r="D401" s="8">
        <v>12000.0</v>
      </c>
      <c r="E401" s="9">
        <v>1.0</v>
      </c>
      <c r="F401" s="10" t="str">
        <f>IFERROR(__xludf.DUMMYFUNCTION("LOWER(REGEXREPLACE(B401&amp;"" ""&amp;C401,""[^а-яa-z0-9 ]"","" ""))")," аза  ертег лер     растар ан   аева    ")</f>
        <v> аза  ертег лер     растар ан   аева    </v>
      </c>
      <c r="G401" s="10" t="str">
        <f>IFERROR(__xludf.DUMMYFUNCTION("TEXTJOIN(""|"",TRUE,UNIQUE(FILTER(SPLIT(F401,"" ""),LEN(SPLIT(F401,"" ""))&gt;2)))"),"аза|ертег|лер|растар|аева")</f>
        <v>аза|ертег|лер|растар|аева</v>
      </c>
      <c r="I401" s="6"/>
      <c r="J401" s="6"/>
    </row>
    <row r="402">
      <c r="A402" s="12" t="s">
        <v>1105</v>
      </c>
      <c r="B402" s="7" t="s">
        <v>1106</v>
      </c>
      <c r="C402" s="7" t="s">
        <v>107</v>
      </c>
      <c r="D402" s="8">
        <v>1400.0</v>
      </c>
      <c r="E402" s="9">
        <v>1.0</v>
      </c>
      <c r="F402" s="10" t="str">
        <f>IFERROR(__xludf.DUMMYFUNCTION("LOWER(REGEXREPLACE(B402&amp;"" ""&amp;C402,""[^а-яa-z0-9 ]"","" ""))"),"   ылды  бояма    ермада    мная  раскраска   аскрась по коду   а ферме  енаги   ")</f>
        <v>   ылды  бояма    ермада    мная  раскраска   аскрась по коду   а ферме  енаги   </v>
      </c>
      <c r="G402" s="10" t="str">
        <f>IFERROR(__xludf.DUMMYFUNCTION("TEXTJOIN(""|"",TRUE,UNIQUE(FILTER(SPLIT(F402,"" ""),LEN(SPLIT(F402,"" ""))&gt;2)))"),"ылды|бояма|ермада|мная|раскраска|аскрась|коду|ферме|енаги")</f>
        <v>ылды|бояма|ермада|мная|раскраска|аскрась|коду|ферме|енаги</v>
      </c>
      <c r="I402" s="6"/>
      <c r="J402" s="6"/>
    </row>
    <row r="403">
      <c r="A403" s="12" t="s">
        <v>1107</v>
      </c>
      <c r="B403" s="7" t="s">
        <v>1108</v>
      </c>
      <c r="C403" s="7" t="s">
        <v>1109</v>
      </c>
      <c r="D403" s="8">
        <v>10000.0</v>
      </c>
      <c r="E403" s="9">
        <v>1.0</v>
      </c>
      <c r="F403" s="10" t="str">
        <f>IFERROR(__xludf.DUMMYFUNCTION("LOWER(REGEXREPLACE(B403&amp;"" ""&amp;C403,""[^а-яa-z0-9 ]"","" ""))")," алалар а аманат     олда алиев")</f>
        <v> алалар а аманат     олда алиев</v>
      </c>
      <c r="G403" s="10" t="str">
        <f>IFERROR(__xludf.DUMMYFUNCTION("TEXTJOIN(""|"",TRUE,UNIQUE(FILTER(SPLIT(F403,"" ""),LEN(SPLIT(F403,"" ""))&gt;2)))"),"алалар|аманат|олда|алиев")</f>
        <v>алалар|аманат|олда|алиев</v>
      </c>
      <c r="I403" s="6"/>
      <c r="J403" s="6"/>
    </row>
    <row r="404">
      <c r="A404" s="12" t="s">
        <v>1110</v>
      </c>
      <c r="B404" s="7" t="s">
        <v>1111</v>
      </c>
      <c r="C404" s="7" t="s">
        <v>1112</v>
      </c>
      <c r="D404" s="8">
        <v>14000.0</v>
      </c>
      <c r="E404" s="9">
        <v>1.0</v>
      </c>
      <c r="F404" s="10" t="str">
        <f>IFERROR(__xludf.DUMMYFUNCTION("LOWER(REGEXREPLACE(B404&amp;"" ""&amp;C404,""[^а-яa-z0-9 ]"","" ""))")," аза  ма ал мателдерi   азахские пословицы и поговорки  каз   рус яз   сост    ужикова   ")</f>
        <v> аза  ма ал мателдерi   азахские пословицы и поговорки  каз   рус яз   сост    ужикова   </v>
      </c>
      <c r="G404" s="10" t="str">
        <f>IFERROR(__xludf.DUMMYFUNCTION("TEXTJOIN(""|"",TRUE,UNIQUE(FILTER(SPLIT(F404,"" ""),LEN(SPLIT(F404,"" ""))&gt;2)))"),"аза|мателдерi|азахские|пословицы|поговорки|каз|рус|сост|ужикова")</f>
        <v>аза|мателдерi|азахские|пословицы|поговорки|каз|рус|сост|ужикова</v>
      </c>
      <c r="I404" s="6"/>
      <c r="J404" s="6"/>
    </row>
    <row r="405">
      <c r="A405" s="12" t="s">
        <v>1113</v>
      </c>
      <c r="B405" s="7" t="s">
        <v>1114</v>
      </c>
      <c r="C405" s="7" t="s">
        <v>1008</v>
      </c>
      <c r="D405" s="8">
        <v>700.0</v>
      </c>
      <c r="E405" s="9">
        <v>1.0</v>
      </c>
      <c r="F405" s="10" t="str">
        <f>IFERROR(__xludf.DUMMYFUNCTION("LOWER(REGEXREPLACE(B405&amp;"" ""&amp;C405,""[^а-яa-z0-9 ]"","" ""))")," аза  оркестр    азахский оркестр  каз   рус   англ яз    тет леу лы   ")</f>
        <v> аза  оркестр    азахский оркестр  каз   рус   англ яз    тет леу лы   </v>
      </c>
      <c r="G405" s="10" t="str">
        <f>IFERROR(__xludf.DUMMYFUNCTION("TEXTJOIN(""|"",TRUE,UNIQUE(FILTER(SPLIT(F405,"" ""),LEN(SPLIT(F405,"" ""))&gt;2)))"),"аза|оркестр|азахский|оркестр|каз|рус|англ|тет|леу")</f>
        <v>аза|оркестр|азахский|оркестр|каз|рус|англ|тет|леу</v>
      </c>
      <c r="I405" s="6"/>
      <c r="J405" s="6"/>
    </row>
    <row r="406">
      <c r="A406" s="12" t="s">
        <v>1115</v>
      </c>
      <c r="B406" s="7" t="s">
        <v>1116</v>
      </c>
      <c r="C406" s="7" t="s">
        <v>1117</v>
      </c>
      <c r="D406" s="8">
        <v>10600.0</v>
      </c>
      <c r="E406" s="9">
        <v>1.0</v>
      </c>
      <c r="F406" s="10" t="str">
        <f>IFERROR(__xludf.DUMMYFUNCTION("LOWER(REGEXREPLACE(B406&amp;"" ""&amp;C406,""[^а-яa-z0-9 ]"","" ""))")," аза  портреттер н   тарихы    пш л к   танымды  басылым  скенд р  бдешев   ")</f>
        <v> аза  портреттер н   тарихы    пш л к   танымды  басылым  скенд р  бдешев   </v>
      </c>
      <c r="G406" s="10" t="str">
        <f>IFERROR(__xludf.DUMMYFUNCTION("TEXTJOIN(""|"",TRUE,UNIQUE(FILTER(SPLIT(F406,"" ""),LEN(SPLIT(F406,"" ""))&gt;2)))"),"аза|портреттер|тарихы|танымды|басылым|скенд|бдешев")</f>
        <v>аза|портреттер|тарихы|танымды|басылым|скенд|бдешев</v>
      </c>
      <c r="I406" s="6"/>
      <c r="J406" s="6"/>
    </row>
    <row r="407">
      <c r="A407" s="12" t="s">
        <v>1118</v>
      </c>
      <c r="B407" s="7" t="s">
        <v>1119</v>
      </c>
      <c r="C407" s="7" t="s">
        <v>1120</v>
      </c>
      <c r="D407" s="8">
        <v>5900.0</v>
      </c>
      <c r="E407" s="9">
        <v>1.0</v>
      </c>
      <c r="F407" s="10" t="str">
        <f>IFERROR(__xludf.DUMMYFUNCTION("LOWER(REGEXREPLACE(B407&amp;"" ""&amp;C407,""[^а-яa-z0-9 ]"","" ""))")," аза  хал ыны  салт д стурлерi   радиции и обряды казахского народа   azakh traditions and customs  каз   рус   англ яз      енжеахметулы")</f>
        <v> аза  хал ыны  салт д стурлерi   радиции и обряды казахского народа   azakh traditions and customs  каз   рус   англ яз      енжеахметулы</v>
      </c>
      <c r="G407" s="10" t="str">
        <f>IFERROR(__xludf.DUMMYFUNCTION("TEXTJOIN(""|"",TRUE,UNIQUE(FILTER(SPLIT(F407,"" ""),LEN(SPLIT(F407,"" ""))&gt;2)))"),"аза|хал|ыны|салт|стурлерi|радиции|обряды|казахского|народа|azakh|traditions|and|customs|каз|рус|англ|енжеахметулы")</f>
        <v>аза|хал|ыны|салт|стурлерi|радиции|обряды|казахского|народа|azakh|traditions|and|customs|каз|рус|англ|енжеахметулы</v>
      </c>
      <c r="I407" s="6"/>
      <c r="J407" s="6"/>
    </row>
    <row r="408">
      <c r="A408" s="12" t="s">
        <v>1121</v>
      </c>
      <c r="B408" s="7" t="s">
        <v>1122</v>
      </c>
      <c r="C408" s="7" t="s">
        <v>1123</v>
      </c>
      <c r="D408" s="8">
        <v>24900.0</v>
      </c>
      <c r="E408" s="9">
        <v>1.0</v>
      </c>
      <c r="F408" s="10" t="str">
        <f>IFERROR(__xludf.DUMMYFUNCTION("LOWER(REGEXREPLACE(B408&amp;"" ""&amp;C408,""[^а-яa-z0-9 ]"","" ""))")," аза  хал ыны  т рмысы мен м дениет    ыт и культура казахского народа   ife and culture of the  azakh people  каз   рус   англ яз      енжеахмет лы")</f>
        <v> аза  хал ыны  т рмысы мен м дениет    ыт и культура казахского народа   ife and culture of the  azakh people  каз   рус   англ яз      енжеахмет лы</v>
      </c>
      <c r="G408" s="10" t="str">
        <f>IFERROR(__xludf.DUMMYFUNCTION("TEXTJOIN(""|"",TRUE,UNIQUE(FILTER(SPLIT(F408,"" ""),LEN(SPLIT(F408,"" ""))&gt;2)))"),"аза|хал|ыны|рмысы|мен|дениет|культура|казахского|народа|ife|and|culture|the|azakh|people|каз|рус|англ|енжеахмет")</f>
        <v>аза|хал|ыны|рмысы|мен|дениет|культура|казахского|народа|ife|and|culture|the|azakh|people|каз|рус|англ|енжеахмет</v>
      </c>
      <c r="I408" s="6"/>
      <c r="J408" s="6"/>
    </row>
    <row r="409">
      <c r="A409" s="12" t="s">
        <v>1124</v>
      </c>
      <c r="B409" s="7" t="s">
        <v>1125</v>
      </c>
      <c r="C409" s="7" t="s">
        <v>1126</v>
      </c>
      <c r="D409" s="8">
        <v>24900.0</v>
      </c>
      <c r="E409" s="9">
        <v>1.0</v>
      </c>
      <c r="F409" s="10" t="str">
        <f>IFERROR(__xludf.DUMMYFUNCTION("LOWER(REGEXREPLACE(B409&amp;"" ""&amp;C409,""[^а-яa-z0-9 ]"","" ""))")," аза  хал ыны   лтты  ки мдер    ациональная одежда казахского народа   ational clofhes of  azakh people  каз   рус   англ яз    инаят   ")</f>
        <v> аза  хал ыны   лтты  ки мдер    ациональная одежда казахского народа   ational clofhes of  azakh people  каз   рус   англ яз    инаят   </v>
      </c>
      <c r="G409" s="10" t="str">
        <f>IFERROR(__xludf.DUMMYFUNCTION("TEXTJOIN(""|"",TRUE,UNIQUE(FILTER(SPLIT(F409,"" ""),LEN(SPLIT(F409,"" ""))&gt;2)))"),"аза|хал|ыны|лтты|мдер|ациональная|одежда|казахского|народа|ational|clofhes|azakh|people|каз|рус|англ|инаят")</f>
        <v>аза|хал|ыны|лтты|мдер|ациональная|одежда|казахского|народа|ational|clofhes|azakh|people|каз|рус|англ|инаят</v>
      </c>
      <c r="I409" s="6"/>
      <c r="J409" s="6"/>
    </row>
    <row r="410">
      <c r="A410" s="12" t="s">
        <v>1127</v>
      </c>
      <c r="B410" s="7" t="s">
        <v>1128</v>
      </c>
      <c r="C410" s="7" t="s">
        <v>1129</v>
      </c>
      <c r="D410" s="8">
        <v>25100.0</v>
      </c>
      <c r="E410" s="9">
        <v>1.0</v>
      </c>
      <c r="F410" s="10" t="str">
        <f>IFERROR(__xludf.DUMMYFUNCTION("LOWER(REGEXREPLACE(B410&amp;"" ""&amp;C410,""[^а-яa-z0-9 ]"","" ""))")," аза стан  оры тары   аповедный  азахстан  azakhstan protected wilderness  каз рус англ   кушкин   ")</f>
        <v> аза стан  оры тары   аповедный  азахстан  azakhstan protected wilderness  каз рус англ   кушкин   </v>
      </c>
      <c r="G410" s="10" t="str">
        <f>IFERROR(__xludf.DUMMYFUNCTION("TEXTJOIN(""|"",TRUE,UNIQUE(FILTER(SPLIT(F410,"" ""),LEN(SPLIT(F410,"" ""))&gt;2)))"),"аза|стан|оры|тары|аповедный|азахстан|azakhstan|protected|wilderness|каз|рус|англ|кушкин")</f>
        <v>аза|стан|оры|тары|аповедный|азахстан|azakhstan|protected|wilderness|каз|рус|англ|кушкин</v>
      </c>
      <c r="I410" s="6"/>
      <c r="J410" s="6"/>
    </row>
    <row r="411">
      <c r="A411" s="12" t="s">
        <v>1130</v>
      </c>
      <c r="B411" s="7" t="s">
        <v>1131</v>
      </c>
      <c r="C411" s="7" t="s">
        <v>1132</v>
      </c>
      <c r="D411" s="8">
        <v>11000.0</v>
      </c>
      <c r="E411" s="9">
        <v>1.0</v>
      </c>
      <c r="F411" s="10" t="str">
        <f>IFERROR(__xludf.DUMMYFUNCTION("LOWER(REGEXREPLACE(B411&amp;"" ""&amp;C411,""[^а-яa-z0-9 ]"","" ""))")," аза стан хал ы ертег лер   4 7 жас аралы ында ы балалар а арнал ан   растар ан     лпей сова")</f>
        <v> аза стан хал ы ертег лер   4 7 жас аралы ында ы балалар а арнал ан   растар ан     лпей сова</v>
      </c>
      <c r="G411" s="10" t="str">
        <f>IFERROR(__xludf.DUMMYFUNCTION("TEXTJOIN(""|"",TRUE,UNIQUE(FILTER(SPLIT(F411,"" ""),LEN(SPLIT(F411,"" ""))&gt;2)))"),"аза|стан|хал|ертег|лер|жас|аралы|ында|балалар|арнал|растар|лпей|сова")</f>
        <v>аза|стан|хал|ертег|лер|жас|аралы|ында|балалар|арнал|растар|лпей|сова</v>
      </c>
      <c r="I411" s="6"/>
      <c r="J411" s="6"/>
    </row>
    <row r="412">
      <c r="A412" s="12" t="s">
        <v>1133</v>
      </c>
      <c r="B412" s="7" t="s">
        <v>1134</v>
      </c>
      <c r="C412" s="7" t="s">
        <v>1132</v>
      </c>
      <c r="D412" s="8">
        <v>11000.0</v>
      </c>
      <c r="E412" s="9">
        <v>1.0</v>
      </c>
      <c r="F412" s="10" t="str">
        <f>IFERROR(__xludf.DUMMYFUNCTION("LOWER(REGEXREPLACE(B412&amp;"" ""&amp;C412,""[^а-яa-z0-9 ]"","" ""))")," аза стан хал ы ертег лер   8 11 жас аралы ында ы балалар а арнал ан   растар ан     лпей сова")</f>
        <v> аза стан хал ы ертег лер   8 11 жас аралы ында ы балалар а арнал ан   растар ан     лпей сова</v>
      </c>
      <c r="G412" s="10" t="str">
        <f>IFERROR(__xludf.DUMMYFUNCTION("TEXTJOIN(""|"",TRUE,UNIQUE(FILTER(SPLIT(F412,"" ""),LEN(SPLIT(F412,"" ""))&gt;2)))"),"аза|стан|хал|ертег|лер|жас|аралы|ында|балалар|арнал|растар|лпей|сова")</f>
        <v>аза|стан|хал|ертег|лер|жас|аралы|ында|балалар|арнал|растар|лпей|сова</v>
      </c>
      <c r="I412" s="6"/>
      <c r="J412" s="6"/>
    </row>
    <row r="413">
      <c r="A413" s="12" t="s">
        <v>1135</v>
      </c>
      <c r="B413" s="7" t="s">
        <v>1136</v>
      </c>
      <c r="C413" s="7" t="s">
        <v>1129</v>
      </c>
      <c r="D413" s="8">
        <v>31900.0</v>
      </c>
      <c r="E413" s="9">
        <v>1.0</v>
      </c>
      <c r="F413" s="10" t="str">
        <f>IFERROR(__xludf.DUMMYFUNCTION("LOWER(REGEXREPLACE(B413&amp;"" ""&amp;C413,""[^а-яa-z0-9 ]"","" ""))")," аза станны   ажайып таби аты  дивительная природа  азахстана  he wondering nature of  azakhstan  каз   рус   англ яз    кушкин   ")</f>
        <v> аза станны   ажайып таби аты  дивительная природа  азахстана  he wondering nature of  azakhstan  каз   рус   англ яз    кушкин   </v>
      </c>
      <c r="G413" s="10" t="str">
        <f>IFERROR(__xludf.DUMMYFUNCTION("TEXTJOIN(""|"",TRUE,UNIQUE(FILTER(SPLIT(F413,"" ""),LEN(SPLIT(F413,"" ""))&gt;2)))"),"аза|станны|ажайып|таби|аты|дивительная|природа|азахстана|wondering|nature|azakhstan|каз|рус|англ|кушкин")</f>
        <v>аза|станны|ажайып|таби|аты|дивительная|природа|азахстана|wondering|nature|azakhstan|каз|рус|англ|кушкин</v>
      </c>
      <c r="I413" s="6"/>
      <c r="J413" s="6"/>
    </row>
    <row r="414">
      <c r="A414" s="12" t="s">
        <v>1137</v>
      </c>
      <c r="B414" s="7" t="s">
        <v>1138</v>
      </c>
      <c r="C414" s="7" t="s">
        <v>275</v>
      </c>
      <c r="D414" s="8">
        <v>19900.0</v>
      </c>
      <c r="E414" s="9">
        <v>1.0</v>
      </c>
      <c r="F414" s="10" t="str">
        <f>IFERROR(__xludf.DUMMYFUNCTION("LOWER(REGEXREPLACE(B414&amp;"" ""&amp;C414,""[^а-яa-z0-9 ]"","" ""))")," алалар а  аза стан  еспубликасыны   онституциясы туралы  спанова   ")</f>
        <v> алалар а  аза стан  еспубликасыны   онституциясы туралы  спанова   </v>
      </c>
      <c r="G414" s="10" t="str">
        <f>IFERROR(__xludf.DUMMYFUNCTION("TEXTJOIN(""|"",TRUE,UNIQUE(FILTER(SPLIT(F414,"" ""),LEN(SPLIT(F414,"" ""))&gt;2)))"),"алалар|аза|стан|еспубликасыны|онституциясы|туралы|спанова")</f>
        <v>алалар|аза|стан|еспубликасыны|онституциясы|туралы|спанова</v>
      </c>
      <c r="I414" s="6"/>
      <c r="J414" s="6"/>
    </row>
    <row r="415">
      <c r="A415" s="12" t="s">
        <v>1139</v>
      </c>
      <c r="B415" s="7" t="s">
        <v>1140</v>
      </c>
      <c r="C415" s="7" t="s">
        <v>1141</v>
      </c>
      <c r="D415" s="8">
        <v>23900.0</v>
      </c>
      <c r="E415" s="9">
        <v>1.0</v>
      </c>
      <c r="F415" s="10" t="str">
        <f>IFERROR(__xludf.DUMMYFUNCTION("LOWER(REGEXREPLACE(B415&amp;"" ""&amp;C415,""[^а-яa-z0-9 ]"","" ""))")," аза ты  дар ан дастар аны   ациональная кухня казахов  енжеахмет лы   ")</f>
        <v> аза ты  дар ан дастар аны   ациональная кухня казахов  енжеахмет лы   </v>
      </c>
      <c r="G415" s="10" t="str">
        <f>IFERROR(__xludf.DUMMYFUNCTION("TEXTJOIN(""|"",TRUE,UNIQUE(FILTER(SPLIT(F415,"" ""),LEN(SPLIT(F415,"" ""))&gt;2)))"),"аза|дар|дастар|аны|ациональная|кухня|казахов|енжеахмет")</f>
        <v>аза|дар|дастар|аны|ациональная|кухня|казахов|енжеахмет</v>
      </c>
      <c r="I415" s="6"/>
      <c r="J415" s="6"/>
    </row>
    <row r="416">
      <c r="A416" s="12" t="s">
        <v>1142</v>
      </c>
      <c r="B416" s="7" t="s">
        <v>1143</v>
      </c>
      <c r="C416" s="7" t="s">
        <v>1144</v>
      </c>
      <c r="D416" s="8">
        <v>21000.0</v>
      </c>
      <c r="E416" s="9">
        <v>1.0</v>
      </c>
      <c r="F416" s="10" t="str">
        <f>IFERROR(__xludf.DUMMYFUNCTION("LOWER(REGEXREPLACE(B416&amp;"" ""&amp;C416,""[^а-яa-z0-9 ]"","" ""))")," аза ты  д стурл  кару жара ыны  этнографиясы     хметжан")</f>
        <v> аза ты  д стурл  кару жара ыны  этнографиясы     хметжан</v>
      </c>
      <c r="G416" s="10" t="str">
        <f>IFERROR(__xludf.DUMMYFUNCTION("TEXTJOIN(""|"",TRUE,UNIQUE(FILTER(SPLIT(F416,"" ""),LEN(SPLIT(F416,"" ""))&gt;2)))"),"аза|стурл|кару|жара|ыны|этнографиясы|хметжан")</f>
        <v>аза|стурл|кару|жара|ыны|этнографиясы|хметжан</v>
      </c>
      <c r="I416" s="6"/>
      <c r="J416" s="6"/>
    </row>
    <row r="417">
      <c r="A417" s="12" t="s">
        <v>1145</v>
      </c>
      <c r="B417" s="7" t="s">
        <v>1146</v>
      </c>
      <c r="C417" s="7" t="s">
        <v>1147</v>
      </c>
      <c r="D417" s="8">
        <v>21900.0</v>
      </c>
      <c r="E417" s="9">
        <v>1.0</v>
      </c>
      <c r="F417" s="10" t="str">
        <f>IFERROR(__xludf.DUMMYFUNCTION("LOWER(REGEXREPLACE(B417&amp;"" ""&amp;C417,""[^а-яa-z0-9 ]"","" ""))")," аза ты  д стурл  музыкалы  аспаптары  акишева   ")</f>
        <v> аза ты  д стурл  музыкалы  аспаптары  акишева   </v>
      </c>
      <c r="G417" s="10" t="str">
        <f>IFERROR(__xludf.DUMMYFUNCTION("TEXTJOIN(""|"",TRUE,UNIQUE(FILTER(SPLIT(F417,"" ""),LEN(SPLIT(F417,"" ""))&gt;2)))"),"аза|стурл|музыкалы|аспаптары|акишева")</f>
        <v>аза|стурл|музыкалы|аспаптары|акишева</v>
      </c>
      <c r="I417" s="6"/>
      <c r="J417" s="6"/>
    </row>
    <row r="418">
      <c r="A418" s="12" t="s">
        <v>1148</v>
      </c>
      <c r="B418" s="7" t="s">
        <v>1149</v>
      </c>
      <c r="C418" s="7" t="s">
        <v>1150</v>
      </c>
      <c r="D418" s="8">
        <v>23900.0</v>
      </c>
      <c r="E418" s="9">
        <v>1.0</v>
      </c>
      <c r="F418" s="10" t="str">
        <f>IFERROR(__xludf.DUMMYFUNCTION("LOWER(REGEXREPLACE(B418&amp;"" ""&amp;C418,""[^а-яa-z0-9 ]"","" ""))")," аза ты  д ст рл    ра  б йымдары   радиционные лоскутные изделия казахов   azakh traditional patchwork  каз   рус   англ яз    екеева     ")</f>
        <v> аза ты  д ст рл    ра  б йымдары   радиционные лоскутные изделия казахов   azakh traditional patchwork  каз   рус   англ яз    екеева     </v>
      </c>
      <c r="G418" s="10" t="str">
        <f>IFERROR(__xludf.DUMMYFUNCTION("TEXTJOIN(""|"",TRUE,UNIQUE(FILTER(SPLIT(F418,"" ""),LEN(SPLIT(F418,"" ""))&gt;2)))"),"аза|йымдары|радиционные|лоскутные|изделия|казахов|azakh|traditional|patchwork|каз|рус|англ|екеева")</f>
        <v>аза|йымдары|радиционные|лоскутные|изделия|казахов|azakh|traditional|patchwork|каз|рус|англ|екеева</v>
      </c>
      <c r="I418" s="6"/>
      <c r="J418" s="6"/>
    </row>
    <row r="419">
      <c r="A419" s="12" t="s">
        <v>1151</v>
      </c>
      <c r="B419" s="7" t="s">
        <v>1152</v>
      </c>
      <c r="C419" s="7" t="s">
        <v>1153</v>
      </c>
      <c r="D419" s="8">
        <v>23900.0</v>
      </c>
      <c r="E419" s="9">
        <v>1.0</v>
      </c>
      <c r="F419" s="10" t="str">
        <f>IFERROR(__xludf.DUMMYFUNCTION("LOWER(REGEXREPLACE(B419&amp;"" ""&amp;C419,""[^а-яa-z0-9 ]"","" ""))")," аза ты  зергел к  нер   велирное искусство казахов   eweler s art of  azakhs  каз   рус   англ яз      охтабаева")</f>
        <v> аза ты  зергел к  нер   велирное искусство казахов   eweler s art of  azakhs  каз   рус   англ яз      охтабаева</v>
      </c>
      <c r="G419" s="10" t="str">
        <f>IFERROR(__xludf.DUMMYFUNCTION("TEXTJOIN(""|"",TRUE,UNIQUE(FILTER(SPLIT(F419,"" ""),LEN(SPLIT(F419,"" ""))&gt;2)))"),"аза|зергел|нер|велирное|искусство|казахов|eweler|art|azakhs|каз|рус|англ|охтабаева")</f>
        <v>аза|зергел|нер|велирное|искусство|казахов|eweler|art|azakhs|каз|рус|англ|охтабаева</v>
      </c>
      <c r="I419" s="6"/>
      <c r="J419" s="6"/>
    </row>
    <row r="420">
      <c r="A420" s="12" t="s">
        <v>1154</v>
      </c>
      <c r="B420" s="7" t="s">
        <v>1155</v>
      </c>
      <c r="C420" s="7" t="s">
        <v>1156</v>
      </c>
      <c r="D420" s="8">
        <v>27900.0</v>
      </c>
      <c r="E420" s="9">
        <v>1.0</v>
      </c>
      <c r="F420" s="10" t="str">
        <f>IFERROR(__xludf.DUMMYFUNCTION("LOWER(REGEXREPLACE(B420&amp;"" ""&amp;C420,""[^а-яa-z0-9 ]"","" ""))")," аза ты  кесте т гу  нер    ышивальное искусство казахов   mbroidery art of  azakhs  охтабаева   ")</f>
        <v> аза ты  кесте т гу  нер    ышивальное искусство казахов   mbroidery art of  azakhs  охтабаева   </v>
      </c>
      <c r="G420" s="10" t="str">
        <f>IFERROR(__xludf.DUMMYFUNCTION("TEXTJOIN(""|"",TRUE,UNIQUE(FILTER(SPLIT(F420,"" ""),LEN(SPLIT(F420,"" ""))&gt;2)))"),"аза|кесте|нер|ышивальное|искусство|казахов|mbroidery|art|azakhs|охтабаева")</f>
        <v>аза|кесте|нер|ышивальное|искусство|казахов|mbroidery|art|azakhs|охтабаева</v>
      </c>
      <c r="I420" s="6"/>
      <c r="J420" s="6"/>
    </row>
    <row r="421">
      <c r="A421" s="12" t="s">
        <v>1157</v>
      </c>
      <c r="B421" s="7" t="s">
        <v>1158</v>
      </c>
      <c r="C421" s="7"/>
      <c r="D421" s="8">
        <v>1700.0</v>
      </c>
      <c r="E421" s="9">
        <v>1.0</v>
      </c>
      <c r="F421" s="10" t="str">
        <f>IFERROR(__xludf.DUMMYFUNCTION("LOWER(REGEXREPLACE(B421&amp;"" ""&amp;C421,""[^а-яa-z0-9 ]"","" ""))")," алай сыпайы с йлесуге болады   ак вести себя вежливо   ow to speak well ")</f>
        <v> алай сыпайы с йлесуге болады   ак вести себя вежливо   ow to speak well </v>
      </c>
      <c r="G421" s="10" t="str">
        <f>IFERROR(__xludf.DUMMYFUNCTION("TEXTJOIN(""|"",TRUE,UNIQUE(FILTER(SPLIT(F421,"" ""),LEN(SPLIT(F421,"" ""))&gt;2)))"),"алай|сыпайы|йлесуге|болады|вести|себя|вежливо|speak|well")</f>
        <v>алай|сыпайы|йлесуге|болады|вести|себя|вежливо|speak|well</v>
      </c>
      <c r="I421" s="6"/>
      <c r="J421" s="6"/>
    </row>
    <row r="422">
      <c r="A422" s="12" t="s">
        <v>1159</v>
      </c>
      <c r="B422" s="7" t="s">
        <v>1160</v>
      </c>
      <c r="C422" s="7" t="s">
        <v>376</v>
      </c>
      <c r="D422" s="8">
        <v>4800.0</v>
      </c>
      <c r="E422" s="9">
        <v>1.0</v>
      </c>
      <c r="F422" s="10" t="str">
        <f>IFERROR(__xludf.DUMMYFUNCTION("LOWER(REGEXREPLACE(B422&amp;"" ""&amp;C422,""[^а-яa-z0-9 ]"","" ""))")," ара шылар туралы 10 о и а  ертолет   ")</f>
        <v> ара шылар туралы 10 о и а  ертолет   </v>
      </c>
      <c r="G422" s="10" t="str">
        <f>IFERROR(__xludf.DUMMYFUNCTION("TEXTJOIN(""|"",TRUE,UNIQUE(FILTER(SPLIT(F422,"" ""),LEN(SPLIT(F422,"" ""))&gt;2)))"),"ара|шылар|туралы|ертолет")</f>
        <v>ара|шылар|туралы|ертолет</v>
      </c>
      <c r="I422" s="6"/>
      <c r="J422" s="6"/>
    </row>
    <row r="423">
      <c r="A423" s="12" t="s">
        <v>1161</v>
      </c>
      <c r="B423" s="7" t="s">
        <v>1162</v>
      </c>
      <c r="C423" s="7" t="s">
        <v>364</v>
      </c>
      <c r="D423" s="8">
        <v>7900.0</v>
      </c>
      <c r="E423" s="9">
        <v>1.0</v>
      </c>
      <c r="F423" s="10" t="str">
        <f>IFERROR(__xludf.DUMMYFUNCTION("LOWER(REGEXREPLACE(B423&amp;"" ""&amp;C423,""[^а-яa-z0-9 ]"","" ""))")," обыланды батыр  каз   а ылш    ей мдеген    ум сбаев")</f>
        <v> обыланды батыр  каз   а ылш    ей мдеген    ум сбаев</v>
      </c>
      <c r="G423" s="10" t="str">
        <f>IFERROR(__xludf.DUMMYFUNCTION("TEXTJOIN(""|"",TRUE,UNIQUE(FILTER(SPLIT(F423,"" ""),LEN(SPLIT(F423,"" ""))&gt;2)))"),"обыланды|батыр|каз|ылш|мдеген|сбаев")</f>
        <v>обыланды|батыр|каз|ылш|мдеген|сбаев</v>
      </c>
      <c r="I423" s="6"/>
      <c r="J423" s="6"/>
    </row>
    <row r="424">
      <c r="A424" s="12" t="s">
        <v>1163</v>
      </c>
      <c r="B424" s="7" t="s">
        <v>1164</v>
      </c>
      <c r="C424" s="7" t="s">
        <v>361</v>
      </c>
      <c r="D424" s="8">
        <v>6400.0</v>
      </c>
      <c r="E424" s="9">
        <v>1.0</v>
      </c>
      <c r="F424" s="10" t="str">
        <f>IFERROR(__xludf.DUMMYFUNCTION("LOWER(REGEXREPLACE(B424&amp;"" ""&amp;C424,""[^а-яa-z0-9 ]"","" ""))")," обыланды батыр  рус   англ    дапт   умисбаев   ")</f>
        <v> обыланды батыр  рус   англ    дапт   умисбаев   </v>
      </c>
      <c r="G424" s="10" t="str">
        <f>IFERROR(__xludf.DUMMYFUNCTION("TEXTJOIN(""|"",TRUE,UNIQUE(FILTER(SPLIT(F424,"" ""),LEN(SPLIT(F424,"" ""))&gt;2)))"),"обыланды|батыр|рус|англ|дапт|умисбаев")</f>
        <v>обыланды|батыр|рус|англ|дапт|умисбаев</v>
      </c>
      <c r="I424" s="6"/>
      <c r="J424" s="6"/>
    </row>
    <row r="425">
      <c r="A425" s="12" t="s">
        <v>1165</v>
      </c>
      <c r="B425" s="7" t="s">
        <v>1166</v>
      </c>
      <c r="C425" s="7" t="s">
        <v>1167</v>
      </c>
      <c r="D425" s="8">
        <v>39900.0</v>
      </c>
      <c r="E425" s="9">
        <v>21.0</v>
      </c>
      <c r="F425" s="10" t="str">
        <f>IFERROR(__xludf.DUMMYFUNCTION("LOWER(REGEXREPLACE(B425&amp;"" ""&amp;C425,""[^а-яa-z0-9 ]"","" ""))"),"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"&amp;"улитки и камней   редназначена для сенсорных и двигательных упражнений ")</f>
        <v>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улитки и камней   редназначена для сенсорных и двигательных упражнений </v>
      </c>
      <c r="G425" s="10" t="str">
        <f>IFERROR(__xludf.DUMMYFUNCTION("TEXTJOIN(""|"",TRUE,UNIQUE(FILTER(SPLIT(F425,"" ""),LEN(SPLIT(F425,"" ""))&gt;2)))"),"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amp;"значена|для|сенсорных|двигательных|упражнений")</f>
        <v>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значена|для|сенсорных|двигательных|упражнений</v>
      </c>
      <c r="I425" s="6"/>
      <c r="J425" s="6"/>
    </row>
    <row r="426">
      <c r="A426" s="12" t="s">
        <v>1168</v>
      </c>
      <c r="B426" s="7" t="s">
        <v>1169</v>
      </c>
      <c r="C426" s="7" t="s">
        <v>364</v>
      </c>
      <c r="D426" s="8">
        <v>7900.0</v>
      </c>
      <c r="E426" s="9">
        <v>1.0</v>
      </c>
      <c r="F426" s="10" t="str">
        <f>IFERROR(__xludf.DUMMYFUNCTION("LOWER(REGEXREPLACE(B426&amp;"" ""&amp;C426,""[^а-яa-z0-9 ]"","" ""))")," озы  орпеш    аян сулу  каз   агылш    ей мдеген    ум сбаев")</f>
        <v> озы  орпеш    аян сулу  каз   агылш    ей мдеген    ум сбаев</v>
      </c>
      <c r="G426" s="10" t="str">
        <f>IFERROR(__xludf.DUMMYFUNCTION("TEXTJOIN(""|"",TRUE,UNIQUE(FILTER(SPLIT(F426,"" ""),LEN(SPLIT(F426,"" ""))&gt;2)))"),"озы|орпеш|аян|сулу|каз|агылш|мдеген|сбаев")</f>
        <v>озы|орпеш|аян|сулу|каз|агылш|мдеген|сбаев</v>
      </c>
      <c r="I426" s="6"/>
      <c r="J426" s="6"/>
    </row>
    <row r="427">
      <c r="A427" s="12" t="s">
        <v>1170</v>
      </c>
      <c r="B427" s="7" t="s">
        <v>1171</v>
      </c>
      <c r="C427" s="7" t="s">
        <v>308</v>
      </c>
      <c r="D427" s="8">
        <v>21900.0</v>
      </c>
      <c r="E427" s="9">
        <v>1.0</v>
      </c>
      <c r="F427" s="10" t="str">
        <f>IFERROR(__xludf.DUMMYFUNCTION("LOWER(REGEXREPLACE(B427&amp;"" ""&amp;C427,""[^а-яa-z0-9 ]"","" ""))")," ош келд     з  аурыз   санды   к тап      спанова")</f>
        <v> ош келд     з  аурыз   санды   к тап      спанова</v>
      </c>
      <c r="G427" s="10" t="str">
        <f>IFERROR(__xludf.DUMMYFUNCTION("TEXTJOIN(""|"",TRUE,UNIQUE(FILTER(SPLIT(F427,"" ""),LEN(SPLIT(F427,"" ""))&gt;2)))"),"келд|аурыз|санды|тап|спанова")</f>
        <v>келд|аурыз|санды|тап|спанова</v>
      </c>
      <c r="I427" s="6"/>
      <c r="J427" s="6"/>
    </row>
    <row r="428">
      <c r="A428" s="12" t="s">
        <v>1172</v>
      </c>
      <c r="B428" s="7" t="s">
        <v>1173</v>
      </c>
      <c r="C428" s="7" t="s">
        <v>1174</v>
      </c>
      <c r="D428" s="8">
        <v>4000.0</v>
      </c>
      <c r="E428" s="9">
        <v>1.0</v>
      </c>
      <c r="F428" s="10" t="str">
        <f>IFERROR(__xludf.DUMMYFUNCTION("LOWER(REGEXREPLACE(B428&amp;"" ""&amp;C428,""[^а-яa-z0-9 ]"","" ""))")," уырмаш  та па тар  жа ылтпаштар  ж мбактар мен ма ал м телдер     аева")</f>
        <v> уырмаш  та па тар  жа ылтпаштар  ж мбактар мен ма ал м телдер     аева</v>
      </c>
      <c r="G428" s="10" t="str">
        <f>IFERROR(__xludf.DUMMYFUNCTION("TEXTJOIN(""|"",TRUE,UNIQUE(FILTER(SPLIT(F428,"" ""),LEN(SPLIT(F428,"" ""))&gt;2)))"),"уырмаш|тар|ылтпаштар|мбактар|мен|телдер|аева")</f>
        <v>уырмаш|тар|ылтпаштар|мбактар|мен|телдер|аева</v>
      </c>
      <c r="I428" s="6"/>
      <c r="J428" s="6"/>
    </row>
    <row r="429">
      <c r="A429" s="12" t="s">
        <v>1175</v>
      </c>
      <c r="B429" s="7" t="s">
        <v>1176</v>
      </c>
      <c r="C429" s="7" t="s">
        <v>1177</v>
      </c>
      <c r="D429" s="8">
        <v>6100.0</v>
      </c>
      <c r="E429" s="9">
        <v>5.0</v>
      </c>
      <c r="F429" s="10" t="str">
        <f>IFERROR(__xludf.DUMMYFUNCTION("LOWER(REGEXREPLACE(B429&amp;"" ""&amp;C429,""[^а-яa-z0-9 ]"","" ""))"),"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f>
        <v>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v>
      </c>
      <c r="G429" s="10" t="str">
        <f>IFERROR(__xludf.DUMMYFUNCTION("TEXTJOIN(""|"",TRUE,UNIQUE(FILTER(SPLIT(F429,"" ""),LEN(SPLIT(F429,"" ""))&gt;2)))"),"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f>
        <v>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v>
      </c>
      <c r="I429" s="6"/>
      <c r="J429" s="6"/>
    </row>
    <row r="430">
      <c r="A430" s="12" t="s">
        <v>1178</v>
      </c>
      <c r="B430" s="7" t="s">
        <v>1179</v>
      </c>
      <c r="C430" s="7" t="s">
        <v>1180</v>
      </c>
      <c r="D430" s="8">
        <v>7000.0</v>
      </c>
      <c r="E430" s="9">
        <v>1.0</v>
      </c>
      <c r="F430" s="10" t="str">
        <f>IFERROR(__xludf.DUMMYFUNCTION("LOWER(REGEXREPLACE(B430&amp;"" ""&amp;C430,""[^а-яa-z0-9 ]"","" ""))")," ыз  iбек  каз    ей мдеген    айзулла лы")</f>
        <v> ыз  iбек  каз    ей мдеген    айзулла лы</v>
      </c>
      <c r="G430" s="10" t="str">
        <f>IFERROR(__xludf.DUMMYFUNCTION("TEXTJOIN(""|"",TRUE,UNIQUE(FILTER(SPLIT(F430,"" ""),LEN(SPLIT(F430,"" ""))&gt;2)))"),"iбек|каз|мдеген|айзулла")</f>
        <v>iбек|каз|мдеген|айзулла</v>
      </c>
      <c r="I430" s="6"/>
      <c r="J430" s="6"/>
    </row>
    <row r="431">
      <c r="A431" s="12" t="s">
        <v>1181</v>
      </c>
      <c r="B431" s="7" t="s">
        <v>1182</v>
      </c>
      <c r="C431" s="7" t="s">
        <v>1183</v>
      </c>
      <c r="D431" s="8">
        <v>5800.0</v>
      </c>
      <c r="E431" s="9">
        <v>1.0</v>
      </c>
      <c r="F431" s="10" t="str">
        <f>IFERROR(__xludf.DUMMYFUNCTION("LOWER(REGEXREPLACE(B431&amp;"" ""&amp;C431,""[^а-яa-z0-9 ]"","" ""))")," ыз  iбек  рус    дапт      айзулла лы")</f>
        <v> ыз  iбек  рус    дапт      айзулла лы</v>
      </c>
      <c r="G431" s="10" t="str">
        <f>IFERROR(__xludf.DUMMYFUNCTION("TEXTJOIN(""|"",TRUE,UNIQUE(FILTER(SPLIT(F431,"" ""),LEN(SPLIT(F431,"" ""))&gt;2)))"),"iбек|рус|дапт|айзулла")</f>
        <v>iбек|рус|дапт|айзулла</v>
      </c>
      <c r="I431" s="6"/>
      <c r="J431" s="6"/>
    </row>
    <row r="432">
      <c r="A432" s="12" t="s">
        <v>1184</v>
      </c>
      <c r="B432" s="7" t="s">
        <v>1185</v>
      </c>
      <c r="C432" s="7"/>
      <c r="D432" s="8">
        <v>1700.0</v>
      </c>
      <c r="E432" s="9">
        <v>1.0</v>
      </c>
      <c r="F432" s="10" t="str">
        <f>IFERROR(__xludf.DUMMYFUNCTION("LOWER(REGEXREPLACE(B432&amp;"" ""&amp;C432,""[^а-яa-z0-9 ]"","" ""))")," ыз аныштан  алай   тыламын   ак побороть в себе зависть   ow to remove jealousy ")</f>
        <v> ыз аныштан  алай   тыламын   ак побороть в себе зависть   ow to remove jealousy </v>
      </c>
      <c r="G432" s="10" t="str">
        <f>IFERROR(__xludf.DUMMYFUNCTION("TEXTJOIN(""|"",TRUE,UNIQUE(FILTER(SPLIT(F432,"" ""),LEN(SPLIT(F432,"" ""))&gt;2)))"),"аныштан|алай|тыламын|побороть|себе|зависть|remove|jealousy")</f>
        <v>аныштан|алай|тыламын|побороть|себе|зависть|remove|jealousy</v>
      </c>
      <c r="I432" s="6"/>
      <c r="J432" s="6"/>
    </row>
    <row r="433">
      <c r="A433" s="12" t="s">
        <v>1186</v>
      </c>
      <c r="B433" s="7" t="s">
        <v>1187</v>
      </c>
      <c r="C433" s="7" t="s">
        <v>1188</v>
      </c>
      <c r="D433" s="8">
        <v>10500.0</v>
      </c>
      <c r="E433" s="9">
        <v>2.0</v>
      </c>
      <c r="F433" s="10" t="str">
        <f>IFERROR(__xludf.DUMMYFUNCTION("LOWER(REGEXREPLACE(B433&amp;"" ""&amp;C433,""[^а-яa-z0-9 ]"","" ""))"),"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де"&amp;"тской среде ")</f>
        <v>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детской среде </v>
      </c>
      <c r="G433" s="10" t="str">
        <f>IFERROR(__xludf.DUMMYFUNCTION("TEXTJOIN(""|"",TRUE,UNIQUE(FILTER(SPLIT(F433,"" ""),LEN(SPLIT(F433,"" ""))&gt;2)))"),"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f>
        <v>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v>
      </c>
      <c r="I433" s="6"/>
      <c r="J433" s="6"/>
    </row>
    <row r="434">
      <c r="A434" s="12" t="s">
        <v>1189</v>
      </c>
      <c r="B434" s="7" t="s">
        <v>1190</v>
      </c>
      <c r="C434" s="7" t="s">
        <v>1191</v>
      </c>
      <c r="D434" s="8">
        <v>3600.0</v>
      </c>
      <c r="E434" s="9">
        <v>1.0</v>
      </c>
      <c r="F434" s="10" t="str">
        <f>IFERROR(__xludf.DUMMYFUNCTION("LOWER(REGEXREPLACE(B434&amp;"" ""&amp;C434,""[^а-яa-z0-9 ]"","" ""))")," еонардо да  инчи   eonardo da  inci  каз   рус   англ яз    арен  ол  перевод  ужикова      санова    ")</f>
        <v> еонардо да  инчи   eonardo da  inci  каз   рус   англ яз    арен  ол  перевод  ужикова      санова    </v>
      </c>
      <c r="G434" s="10" t="str">
        <f>IFERROR(__xludf.DUMMYFUNCTION("TEXTJOIN(""|"",TRUE,UNIQUE(FILTER(SPLIT(F434,"" ""),LEN(SPLIT(F434,"" ""))&gt;2)))"),"еонардо|инчи|eonardo|inci|каз|рус|англ|арен|перевод|ужикова|санова")</f>
        <v>еонардо|инчи|eonardo|inci|каз|рус|англ|арен|перевод|ужикова|санова</v>
      </c>
      <c r="I434" s="6"/>
      <c r="J434" s="6"/>
    </row>
    <row r="435">
      <c r="A435" s="12" t="s">
        <v>1192</v>
      </c>
      <c r="B435" s="7" t="s">
        <v>1193</v>
      </c>
      <c r="C435" s="7" t="s">
        <v>1194</v>
      </c>
      <c r="D435" s="8">
        <v>5400.0</v>
      </c>
      <c r="E435" s="9">
        <v>2.0</v>
      </c>
      <c r="F435" s="10" t="str">
        <f>IFERROR(__xludf.DUMMYFUNCTION("LOWER(REGEXREPLACE(B435&amp;"" ""&amp;C435,""[^а-яa-z0-9 ]"","" ""))"),"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f>
        <v>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v>
      </c>
      <c r="G435" s="10" t="str">
        <f>IFERROR(__xludf.DUMMYFUNCTION("TEXTJOIN(""|"",TRUE,UNIQUE(FILTER(SPLIT(F435,"" ""),LEN(SPLIT(F435,"" ""))&gt;2)))"),"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f>
        <v>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v>
      </c>
      <c r="I435" s="6"/>
      <c r="J435" s="6"/>
    </row>
    <row r="436">
      <c r="A436" s="12" t="s">
        <v>1195</v>
      </c>
      <c r="B436" s="7" t="s">
        <v>1196</v>
      </c>
      <c r="C436" s="7" t="s">
        <v>1197</v>
      </c>
      <c r="D436" s="8">
        <v>7600.0</v>
      </c>
      <c r="E436" s="9">
        <v>2.0</v>
      </c>
      <c r="F436" s="10" t="str">
        <f>IFERROR(__xludf.DUMMYFUNCTION("LOWER(REGEXREPLACE(B436&amp;"" ""&amp;C436,""[^а-яa-z0-9 ]"","" ""))"),"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удержани"&amp;"е баланса   азмер подушки составляет не менее 16 16 см   атериал водонепроницаемый и рассчитан на многократное использование ")</f>
        <v>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удержание баланса   азмер подушки составляет не менее 16 16 см   атериал водонепроницаемый и рассчитан на многократное использование </v>
      </c>
      <c r="G436" s="10" t="str">
        <f>IFERROR(__xludf.DUMMYFUNCTION("TEXTJOIN(""|"",TRUE,UNIQUE(FILTER(SPLIT(F436,"" ""),LEN(SPLIT(F436,"" ""))&gt;2)))"),"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amp;"|подушки|составляет|менее|атериал|водонепроницаемый|рассчитан|многократное|использование")</f>
        <v>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подушки|составляет|менее|атериал|водонепроницаемый|рассчитан|многократное|использование</v>
      </c>
      <c r="I436" s="6"/>
      <c r="J436" s="6"/>
    </row>
    <row r="437">
      <c r="A437" s="12" t="s">
        <v>1198</v>
      </c>
      <c r="B437" s="7" t="s">
        <v>1199</v>
      </c>
      <c r="C437" s="7" t="s">
        <v>1200</v>
      </c>
      <c r="D437" s="8">
        <v>45000.0</v>
      </c>
      <c r="E437" s="9">
        <v>1.0</v>
      </c>
      <c r="F437" s="10" t="str">
        <f>IFERROR(__xludf.DUMMYFUNCTION("LOWER(REGEXREPLACE(B437&amp;"" ""&amp;C437,""[^а-яa-z0-9 ]"","" ""))"),"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f>
        <v>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v>
      </c>
      <c r="G437" s="10" t="str">
        <f>IFERROR(__xludf.DUMMYFUNCTION("TEXTJOIN(""|"",TRUE,UNIQUE(FILTER(SPLIT(F437,"" ""),LEN(SPLIT(F437,"" ""))&gt;2)))"),"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f>
        <v>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v>
      </c>
      <c r="I437" s="6"/>
      <c r="J437" s="6"/>
    </row>
    <row r="438">
      <c r="A438" s="12" t="s">
        <v>1201</v>
      </c>
      <c r="B438" s="7" t="s">
        <v>1202</v>
      </c>
      <c r="C438" s="7" t="s">
        <v>1203</v>
      </c>
      <c r="D438" s="8">
        <v>4700.0</v>
      </c>
      <c r="E438" s="9">
        <v>2.0</v>
      </c>
      <c r="F438" s="10" t="str">
        <f>IFERROR(__xludf.DUMMYFUNCTION("LOWER(REGEXREPLACE(B438&amp;"" ""&amp;C438,""[^а-яa-z0-9 ]"","" ""))"),"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f>
        <v>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v>
      </c>
      <c r="G438" s="10" t="str">
        <f>IFERROR(__xludf.DUMMYFUNCTION("TEXTJOIN(""|"",TRUE,UNIQUE(FILTER(SPLIT(F438,"" ""),LEN(SPLIT(F438,"" ""))&gt;2)))"),"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f>
        <v>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v>
      </c>
      <c r="I438" s="6"/>
      <c r="J438" s="6"/>
    </row>
    <row r="439">
      <c r="A439" s="12" t="s">
        <v>1204</v>
      </c>
      <c r="B439" s="7" t="s">
        <v>1205</v>
      </c>
      <c r="C439" s="7" t="s">
        <v>1206</v>
      </c>
      <c r="D439" s="8">
        <v>8600.0</v>
      </c>
      <c r="E439" s="9">
        <v>2.0</v>
      </c>
      <c r="F439" s="10" t="str">
        <f>IFERROR(__xludf.DUMMYFUNCTION("LOWER(REGEXREPLACE(B439&amp;"" ""&amp;C439,""[^а-яa-z0-9 ]"","" ""))"),"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f>
        <v>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v>
      </c>
      <c r="G439" s="10" t="str">
        <f>IFERROR(__xludf.DUMMYFUNCTION("TEXTJOIN(""|"",TRUE,UNIQUE(FILTER(SPLIT(F439,"" ""),LEN(SPLIT(F439,"" ""))&gt;2)))"),"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f>
        <v>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v>
      </c>
      <c r="I439" s="6"/>
      <c r="J439" s="6"/>
    </row>
    <row r="440">
      <c r="A440" s="12" t="s">
        <v>1207</v>
      </c>
      <c r="B440" s="7" t="s">
        <v>1208</v>
      </c>
      <c r="C440" s="7" t="s">
        <v>1209</v>
      </c>
      <c r="D440" s="8">
        <v>7600.0</v>
      </c>
      <c r="E440" s="9">
        <v>1.0</v>
      </c>
      <c r="F440" s="10" t="str">
        <f>IFERROR(__xludf.DUMMYFUNCTION("LOWER(REGEXREPLACE(B440&amp;"" ""&amp;C440,""[^а-яa-z0-9 ]"","" ""))"),"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f>
        <v>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v>
      </c>
      <c r="G440" s="10" t="str">
        <f>IFERROR(__xludf.DUMMYFUNCTION("TEXTJOIN(""|"",TRUE,UNIQUE(FILTER(SPLIT(F440,"" ""),LEN(SPLIT(F440,"" ""))&gt;2)))"),"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f>
        <v>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v>
      </c>
      <c r="I440" s="6"/>
      <c r="J440" s="6"/>
    </row>
    <row r="441">
      <c r="A441" s="12" t="s">
        <v>1210</v>
      </c>
      <c r="B441" s="7" t="s">
        <v>1211</v>
      </c>
      <c r="C441" s="7" t="s">
        <v>1212</v>
      </c>
      <c r="D441" s="8">
        <v>6500.0</v>
      </c>
      <c r="E441" s="9">
        <v>5.0</v>
      </c>
      <c r="F441" s="10" t="str">
        <f>IFERROR(__xludf.DUMMYFUNCTION("LOWER(REGEXREPLACE(B441&amp;"" ""&amp;C441,""[^а-яa-z0-9 ]"","" ""))"),"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шар"&amp;"ика ")</f>
        <v>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шарика </v>
      </c>
      <c r="G441" s="10" t="str">
        <f>IFERROR(__xludf.DUMMYFUNCTION("TEXTJOIN(""|"",TRUE,UNIQUE(FILTER(SPLIT(F441,"" ""),LEN(SPLIT(F441,"" ""))&gt;2)))"),"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f>
        <v>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v>
      </c>
      <c r="I441" s="6"/>
      <c r="J441" s="6"/>
    </row>
    <row r="442">
      <c r="A442" s="12" t="s">
        <v>1213</v>
      </c>
      <c r="B442" s="7" t="s">
        <v>1214</v>
      </c>
      <c r="C442" s="7" t="s">
        <v>1215</v>
      </c>
      <c r="D442" s="8">
        <v>35900.0</v>
      </c>
      <c r="E442" s="9">
        <v>7.0</v>
      </c>
      <c r="F442" s="10" t="str">
        <f>IFERROR(__xludf.DUMMYFUNCTION("LOWER(REGEXREPLACE(B442&amp;"" ""&amp;C442,""[^а-яa-z0-9 ]"","" ""))"),"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"&amp;" материал износостойкий и удобный в использовании ")</f>
        <v>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материал износостойкий и удобный в использовании </v>
      </c>
      <c r="G442" s="10" t="str">
        <f>IFERROR(__xludf.DUMMYFUNCTION("TEXTJOIN(""|"",TRUE,UNIQUE(FILTER(SPLIT(F442,"" ""),LEN(SPLIT(F442,"" ""))&gt;2)))"),"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amp;"й|удобный|использовании")</f>
        <v>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й|удобный|использовании</v>
      </c>
      <c r="I442" s="6"/>
      <c r="J442" s="6"/>
    </row>
    <row r="443">
      <c r="A443" s="12" t="s">
        <v>1216</v>
      </c>
      <c r="B443" s="7" t="s">
        <v>1217</v>
      </c>
      <c r="C443" s="7" t="s">
        <v>1218</v>
      </c>
      <c r="D443" s="8">
        <v>4000.0</v>
      </c>
      <c r="E443" s="9">
        <v>50.0</v>
      </c>
      <c r="F443" s="10" t="str">
        <f>IFERROR(__xludf.DUMMYFUNCTION("LOWER(REGEXREPLACE(B443&amp;"" ""&amp;C443,""[^а-яa-z0-9 ]"","" ""))"),"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f>
        <v>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v>
      </c>
      <c r="G443" s="10" t="str">
        <f>IFERROR(__xludf.DUMMYFUNCTION("TEXTJOIN(""|"",TRUE,UNIQUE(FILTER(SPLIT(F443,"" ""),LEN(SPLIT(F443,"" ""))&gt;2)))"),"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f>
        <v>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v>
      </c>
      <c r="I443" s="6"/>
      <c r="J443" s="6"/>
    </row>
    <row r="444">
      <c r="A444" s="12" t="s">
        <v>1219</v>
      </c>
      <c r="B444" s="7" t="s">
        <v>48</v>
      </c>
      <c r="C444" s="7" t="s">
        <v>49</v>
      </c>
      <c r="D444" s="8">
        <v>8000.0</v>
      </c>
      <c r="E444" s="9">
        <v>2.0</v>
      </c>
      <c r="F444" s="10" t="str">
        <f>IFERROR(__xludf.DUMMYFUNCTION("LOWER(REGEXREPLACE(B444&amp;"" ""&amp;C444,""[^а-яa-z0-9 ]"","" ""))")," оток медицинский почкообразный  редназначен для размещения инструментов и расходных материалов во время процедур ")</f>
        <v> оток медицинский почкообразный  редназначен для размещения инструментов и расходных материалов во время процедур </v>
      </c>
      <c r="G444" s="10" t="str">
        <f>IFERROR(__xludf.DUMMYFUNCTION("TEXTJOIN(""|"",TRUE,UNIQUE(FILTER(SPLIT(F444,"" ""),LEN(SPLIT(F444,""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I444" s="6"/>
      <c r="J444" s="6"/>
    </row>
    <row r="445">
      <c r="A445" s="12" t="s">
        <v>1220</v>
      </c>
      <c r="B445" s="7" t="s">
        <v>1221</v>
      </c>
      <c r="C445" s="7" t="s">
        <v>1222</v>
      </c>
      <c r="D445" s="8">
        <v>1000.0</v>
      </c>
      <c r="E445" s="9">
        <v>40.0</v>
      </c>
      <c r="F445" s="10" t="str">
        <f>IFERROR(__xludf.DUMMYFUNCTION("LOWER(REGEXREPLACE(B445&amp;"" ""&amp;C445,""[^а-яa-z0-9 ]"","" ""))"),"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f>
        <v>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v>
      </c>
      <c r="G445" s="10" t="str">
        <f>IFERROR(__xludf.DUMMYFUNCTION("TEXTJOIN(""|"",TRUE,UNIQUE(FILTER(SPLIT(F445,"" ""),LEN(SPLIT(F445,"" ""))&gt;2)))"),"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f>
        <v>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v>
      </c>
      <c r="I445" s="6"/>
      <c r="J445" s="6"/>
    </row>
    <row r="446">
      <c r="A446" s="12" t="s">
        <v>1223</v>
      </c>
      <c r="B446" s="7" t="s">
        <v>1224</v>
      </c>
      <c r="C446" s="7" t="s">
        <v>1225</v>
      </c>
      <c r="D446" s="8">
        <v>1400.0</v>
      </c>
      <c r="E446" s="9">
        <v>5.0</v>
      </c>
      <c r="F446" s="10" t="str">
        <f>IFERROR(__xludf.DUMMYFUNCTION("LOWER(REGEXREPLACE(B446&amp;"" ""&amp;C446,""[^а-яa-z0-9 ]"","" ""))"),"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f>
        <v>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v>
      </c>
      <c r="G446" s="10" t="str">
        <f>IFERROR(__xludf.DUMMYFUNCTION("TEXTJOIN(""|"",TRUE,UNIQUE(FILTER(SPLIT(F446,"" ""),LEN(SPLIT(F446,"" ""))&gt;2)))"),"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f>
        <v>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v>
      </c>
      <c r="I446" s="6"/>
      <c r="J446" s="6"/>
    </row>
    <row r="447">
      <c r="A447" s="12" t="s">
        <v>1226</v>
      </c>
      <c r="B447" s="7" t="s">
        <v>1227</v>
      </c>
      <c r="C447" s="7" t="s">
        <v>1228</v>
      </c>
      <c r="D447" s="8">
        <v>285000.0</v>
      </c>
      <c r="E447" s="9">
        <v>3.0</v>
      </c>
      <c r="F447" s="10" t="str">
        <f>IFERROR(__xludf.DUMMYFUNCTION("LOWER(REGEXREPLACE(B447&amp;"" ""&amp;C447,""[^а-яa-z0-9 ]"","" ""))"),"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коор"&amp;"динацию и устойчивость   онструкция рассчитана на напольное размещение и использование в помещениях ")</f>
        <v>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координацию и устойчивость   онструкция рассчитана на напольное размещение и использование в помещениях </v>
      </c>
      <c r="G447" s="10" t="str">
        <f>IFERROR(__xludf.DUMMYFUNCTION("TEXTJOIN(""|"",TRUE,UNIQUE(FILTER(SPLIT(F447,"" ""),LEN(SPLIT(F447,"" ""))&gt;2)))"),"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amp;"сть|онструкция|рассчитана|напольное|размещение|использование|помещениях")</f>
        <v>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сть|онструкция|рассчитана|напольное|размещение|использование|помещениях</v>
      </c>
      <c r="I447" s="6"/>
      <c r="J447" s="6"/>
    </row>
    <row r="448">
      <c r="A448" s="12" t="s">
        <v>1229</v>
      </c>
      <c r="B448" s="7" t="s">
        <v>1230</v>
      </c>
      <c r="C448" s="7" t="s">
        <v>1231</v>
      </c>
      <c r="D448" s="8">
        <v>6800.0</v>
      </c>
      <c r="E448" s="9">
        <v>5.0</v>
      </c>
      <c r="F448" s="10" t="str">
        <f>IFERROR(__xludf.DUMMYFUNCTION("LOWER(REGEXREPLACE(B448&amp;"" ""&amp;C448,""[^а-яa-z0-9 ]"","" ""))"),"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f>
        <v>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v>
      </c>
      <c r="G448" s="10" t="str">
        <f>IFERROR(__xludf.DUMMYFUNCTION("TEXTJOIN(""|"",TRUE,UNIQUE(FILTER(SPLIT(F448,"" ""),LEN(SPLIT(F448,"" ""))&gt;2)))"),"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f>
        <v>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v>
      </c>
      <c r="I448" s="6"/>
      <c r="J448" s="6"/>
    </row>
    <row r="449">
      <c r="A449" s="12" t="s">
        <v>1232</v>
      </c>
      <c r="B449" s="7" t="s">
        <v>1233</v>
      </c>
      <c r="C449" s="7" t="s">
        <v>1234</v>
      </c>
      <c r="D449" s="8">
        <v>32300.0</v>
      </c>
      <c r="E449" s="9">
        <v>5.0</v>
      </c>
      <c r="F449" s="10" t="str">
        <f>IFERROR(__xludf.DUMMYFUNCTION("LOWER(REGEXREPLACE(B449&amp;"" ""&amp;C449,""[^а-яa-z0-9 ]"","" ""))"),"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f>
        <v>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v>
      </c>
      <c r="G449" s="10" t="str">
        <f>IFERROR(__xludf.DUMMYFUNCTION("TEXTJOIN(""|"",TRUE,UNIQUE(FILTER(SPLIT(F449,"" ""),LEN(SPLIT(F449,"" ""))&gt;2)))"),"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f>
        <v>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v>
      </c>
      <c r="I449" s="6"/>
      <c r="J449" s="6"/>
    </row>
    <row r="450">
      <c r="A450" s="12" t="s">
        <v>1235</v>
      </c>
      <c r="B450" s="7" t="s">
        <v>1236</v>
      </c>
      <c r="C450" s="7" t="s">
        <v>1237</v>
      </c>
      <c r="D450" s="8">
        <v>4600.0</v>
      </c>
      <c r="E450" s="9">
        <v>5.0</v>
      </c>
      <c r="F450" s="10" t="str">
        <f>IFERROR(__xludf.DUMMYFUNCTION("LOWER(REGEXREPLACE(B450&amp;"" ""&amp;C450,""[^а-яa-z0-9 ]"","" ""))"),"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f>
        <v>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v>
      </c>
      <c r="G450" s="10" t="str">
        <f>IFERROR(__xludf.DUMMYFUNCTION("TEXTJOIN(""|"",TRUE,UNIQUE(FILTER(SPLIT(F450,"" ""),LEN(SPLIT(F450,"" ""))&gt;2)))"),"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f>
        <v>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v>
      </c>
      <c r="I450" s="6"/>
      <c r="J450" s="6"/>
    </row>
    <row r="451">
      <c r="A451" s="12" t="s">
        <v>1238</v>
      </c>
      <c r="B451" s="7" t="s">
        <v>1239</v>
      </c>
      <c r="C451" s="7" t="s">
        <v>1240</v>
      </c>
      <c r="D451" s="8">
        <v>22500.0</v>
      </c>
      <c r="E451" s="9">
        <v>7.0</v>
      </c>
      <c r="F451" s="10" t="str">
        <f>IFERROR(__xludf.DUMMYFUNCTION("LOWER(REGEXREPLACE(B451&amp;"" ""&amp;C451,""[^а-яa-z0-9 ]"","" ""))"),"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f>
        <v>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v>
      </c>
      <c r="G451" s="10" t="str">
        <f>IFERROR(__xludf.DUMMYFUNCTION("TEXTJOIN(""|"",TRUE,UNIQUE(FILTER(SPLIT(F451,"" ""),LEN(SPLIT(F451,"" ""))&gt;2)))"),"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f>
        <v>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v>
      </c>
      <c r="I451" s="6"/>
      <c r="J451" s="6"/>
    </row>
    <row r="452">
      <c r="A452" s="12" t="s">
        <v>1241</v>
      </c>
      <c r="B452" s="7" t="s">
        <v>1242</v>
      </c>
      <c r="C452" s="7" t="s">
        <v>1243</v>
      </c>
      <c r="D452" s="8">
        <v>60600.0</v>
      </c>
      <c r="E452" s="9">
        <v>10.0</v>
      </c>
      <c r="F452" s="10" t="str">
        <f>IFERROR(__xludf.DUMMYFUNCTION("LOWER(REGEXREPLACE(B452&amp;"" ""&amp;C452,""[^а-яa-z0-9 ]"","" ""))"),"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"&amp;"развитию пространственного мышления и координации движений   оличество элементов в наборе   не менее 40  возможны варианты комплектации до 100 деталей ")</f>
        <v>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развитию пространственного мышления и координации движений   оличество элементов в наборе   не менее 40  возможны варианты комплектации до 100 деталей </v>
      </c>
      <c r="G452" s="10" t="str">
        <f>IFERROR(__xludf.DUMMYFUNCTION("TEXTJOIN(""|"",TRUE,UNIQUE(FILTER(SPLIT(F452,"" ""),LEN(SPLIT(F452,"" ""))&gt;2)))"),"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amp;"транственного|мышления|координации|движений|оличество|элементов|наборе|менее|возможны|варианты|комплектации|100|деталей")</f>
        <v>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транственного|мышления|координации|движений|оличество|элементов|наборе|менее|возможны|варианты|комплектации|100|деталей</v>
      </c>
      <c r="I452" s="6"/>
      <c r="J452" s="6"/>
    </row>
    <row r="453">
      <c r="A453" s="12" t="s">
        <v>1244</v>
      </c>
      <c r="B453" s="7" t="s">
        <v>1245</v>
      </c>
      <c r="C453" s="7" t="s">
        <v>1246</v>
      </c>
      <c r="D453" s="8">
        <v>24700.0</v>
      </c>
      <c r="E453" s="9">
        <v>5.0</v>
      </c>
      <c r="F453" s="10" t="str">
        <f>IFERROR(__xludf.DUMMYFUNCTION("LOWER(REGEXREPLACE(B453&amp;"" ""&amp;C453,""[^а-яa-z0-9 ]"","" ""))"),"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f>
        <v>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v>
      </c>
      <c r="G453" s="10" t="str">
        <f>IFERROR(__xludf.DUMMYFUNCTION("TEXTJOIN(""|"",TRUE,UNIQUE(FILTER(SPLIT(F453,"" ""),LEN(SPLIT(F453,"" ""))&gt;2)))"),"агнитофон|удиооборудование|для|воспроизведения|звуковых|музыкальных|материалов|спользуется|музыкальных|занятиях|праздниках|образовательной|деятельности")</f>
        <v>агнитофон|удиооборудование|для|воспроизведения|звуковых|музыкальных|материалов|спользуется|музыкальных|занятиях|праздниках|образовательной|деятельности</v>
      </c>
      <c r="I453" s="6"/>
      <c r="J453" s="6"/>
    </row>
    <row r="454">
      <c r="A454" s="12" t="s">
        <v>1247</v>
      </c>
      <c r="B454" s="7" t="s">
        <v>1248</v>
      </c>
      <c r="C454" s="7" t="s">
        <v>1249</v>
      </c>
      <c r="D454" s="8">
        <v>36800.0</v>
      </c>
      <c r="E454" s="9">
        <v>7.0</v>
      </c>
      <c r="F454" s="10" t="str">
        <f>IFERROR(__xludf.DUMMYFUNCTION("LOWER(REGEXREPLACE(B454&amp;"" ""&amp;C454,""[^а-яa-z0-9 ]"","" ""))"),"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f>
        <v>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v>
      </c>
      <c r="G454" s="10" t="str">
        <f>IFERROR(__xludf.DUMMYFUNCTION("TEXTJOIN(""|"",TRUE,UNIQUE(FILTER(SPLIT(F454,"" ""),LEN(SPLIT(F454,"" ""))&gt;2)))"),"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f>
        <v>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v>
      </c>
      <c r="I454" s="6"/>
      <c r="J454" s="6"/>
    </row>
    <row r="455">
      <c r="A455" s="12" t="s">
        <v>1250</v>
      </c>
      <c r="B455" s="7" t="s">
        <v>1251</v>
      </c>
      <c r="C455" s="7" t="s">
        <v>1252</v>
      </c>
      <c r="D455" s="8">
        <v>5700.0</v>
      </c>
      <c r="E455" s="9">
        <v>10.0</v>
      </c>
      <c r="F455" s="10" t="str">
        <f>IFERROR(__xludf.DUMMYFUNCTION("LOWER(REGEXREPLACE(B455&amp;"" ""&amp;C455,""[^а-яa-z0-9 ]"","" ""))"),"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f>
        <v>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v>
      </c>
      <c r="G455" s="10" t="str">
        <f>IFERROR(__xludf.DUMMYFUNCTION("TEXTJOIN(""|"",TRUE,UNIQUE(FILTER(SPLIT(F455,"" ""),LEN(SPLIT(F455,"" ""))&gt;2)))"),"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f>
        <v>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v>
      </c>
      <c r="I455" s="6"/>
      <c r="J455" s="6"/>
    </row>
    <row r="456">
      <c r="A456" s="12" t="s">
        <v>1253</v>
      </c>
      <c r="B456" s="7" t="s">
        <v>1254</v>
      </c>
      <c r="C456" s="7" t="s">
        <v>1255</v>
      </c>
      <c r="D456" s="8">
        <v>1300.0</v>
      </c>
      <c r="E456" s="9">
        <v>10.0</v>
      </c>
      <c r="F456" s="10" t="str">
        <f>IFERROR(__xludf.DUMMYFUNCTION("LOWER(REGEXREPLACE(B456&amp;"" ""&amp;C456,""[^а-яa-z0-9 ]"","" ""))"),"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f>
        <v>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v>
      </c>
      <c r="G456" s="10" t="str">
        <f>IFERROR(__xludf.DUMMYFUNCTION("TEXTJOIN(""|"",TRUE,UNIQUE(FILTER(SPLIT(F456,"" ""),LEN(SPLIT(F456,"" ""))&gt;2)))"),"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f>
        <v>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v>
      </c>
      <c r="I456" s="6"/>
      <c r="J456" s="6"/>
    </row>
    <row r="457">
      <c r="A457" s="12" t="s">
        <v>1256</v>
      </c>
      <c r="B457" s="7" t="s">
        <v>1257</v>
      </c>
      <c r="C457" s="7" t="s">
        <v>1258</v>
      </c>
      <c r="D457" s="8">
        <v>15000.0</v>
      </c>
      <c r="E457" s="9">
        <v>1.0</v>
      </c>
      <c r="F457" s="10" t="str">
        <f>IFERROR(__xludf.DUMMYFUNCTION("LOWER(REGEXREPLACE(B457&amp;"" ""&amp;C457,""[^а-яa-z0-9 ]"","" ""))")," атематика    ай  р  же  л под ред      аклауд  перевод  абиев    ")</f>
        <v> атематика    ай  р  же  л под ред      аклауд  перевод  абиев    </v>
      </c>
      <c r="G457" s="10" t="str">
        <f>IFERROR(__xludf.DUMMYFUNCTION("TEXTJOIN(""|"",TRUE,UNIQUE(FILTER(SPLIT(F457,"" ""),LEN(SPLIT(F457,"" ""))&gt;2)))"),"атематика|под|ред|аклауд|перевод|абиев")</f>
        <v>атематика|под|ред|аклауд|перевод|абиев</v>
      </c>
      <c r="I457" s="6"/>
      <c r="J457" s="6"/>
    </row>
    <row r="458">
      <c r="A458" s="12" t="s">
        <v>1259</v>
      </c>
      <c r="B458" s="7" t="s">
        <v>1260</v>
      </c>
      <c r="C458" s="7" t="s">
        <v>1261</v>
      </c>
      <c r="D458" s="8">
        <v>4600.0</v>
      </c>
      <c r="E458" s="9">
        <v>2.0</v>
      </c>
      <c r="F458" s="10" t="str">
        <f>IFERROR(__xludf.DUMMYFUNCTION("LOWER(REGEXREPLACE(B458&amp;"" ""&amp;C458,""[^а-яa-z0-9 ]"","" ""))"),"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"&amp;"опору   азмер каждого изделия   не менее 16 16 см   атериалы рассчитаны на интенсивную эксплуатацию ")</f>
        <v>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опору   азмер каждого изделия   не менее 16 16 см   атериалы рассчитаны на интенсивную эксплуатацию </v>
      </c>
      <c r="G458" s="10" t="str">
        <f>IFERROR(__xludf.DUMMYFUNCTION("TEXTJOIN(""|"",TRUE,UNIQUE(FILTER(SPLIT(F458,"" ""),LEN(SPLIT(F458,"" ""))&gt;2)))"),"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amp;"го|изделия|менее|атериалы|рассчитаны|интенсивную|эксплуатацию")</f>
        <v>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го|изделия|менее|атериалы|рассчитаны|интенсивную|эксплуатацию</v>
      </c>
      <c r="I458" s="6"/>
      <c r="J458" s="6"/>
    </row>
    <row r="459">
      <c r="A459" s="12" t="s">
        <v>1262</v>
      </c>
      <c r="B459" s="7" t="s">
        <v>1263</v>
      </c>
      <c r="C459" s="7" t="s">
        <v>1264</v>
      </c>
      <c r="D459" s="8">
        <v>15000.0</v>
      </c>
      <c r="E459" s="9">
        <v>1.0</v>
      </c>
      <c r="F459" s="10" t="str">
        <f>IFERROR(__xludf.DUMMYFUNCTION("LOWER(REGEXREPLACE(B459&amp;"" ""&amp;C459,""[^а-яa-z0-9 ]"","" ""))")," атематика   росто и легко под ред      аклауд  перевод  аяхметов   ")</f>
        <v> атематика   росто и легко под ред      аклауд  перевод  аяхметов   </v>
      </c>
      <c r="G459" s="10" t="str">
        <f>IFERROR(__xludf.DUMMYFUNCTION("TEXTJOIN(""|"",TRUE,UNIQUE(FILTER(SPLIT(F459,"" ""),LEN(SPLIT(F459,"" ""))&gt;2)))"),"атематика|росто|легко|под|ред|аклауд|перевод|аяхметов")</f>
        <v>атематика|росто|легко|под|ред|аклауд|перевод|аяхметов</v>
      </c>
      <c r="I459" s="6"/>
      <c r="J459" s="6"/>
    </row>
    <row r="460">
      <c r="A460" s="12" t="s">
        <v>1265</v>
      </c>
      <c r="B460" s="7" t="s">
        <v>1266</v>
      </c>
      <c r="C460" s="7" t="s">
        <v>1267</v>
      </c>
      <c r="D460" s="8">
        <v>22000.0</v>
      </c>
      <c r="E460" s="9">
        <v>14.0</v>
      </c>
      <c r="F460" s="10" t="str">
        <f>IFERROR(__xludf.DUMMYFUNCTION("LOWER(REGEXREPLACE(B460&amp;"" ""&amp;C460,""[^а-яa-z0-9 ]"","" ""))"),"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f>
        <v>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v>
      </c>
      <c r="G460" s="10" t="str">
        <f>IFERROR(__xludf.DUMMYFUNCTION("TEXTJOIN(""|"",TRUE,UNIQUE(FILTER(SPLIT(F460,"" ""),LEN(SPLIT(F460,"" ""))&gt;2)))"),"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f>
        <v>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v>
      </c>
      <c r="I460" s="6"/>
      <c r="J460" s="6"/>
    </row>
    <row r="461">
      <c r="A461" s="12" t="s">
        <v>1268</v>
      </c>
      <c r="B461" s="7" t="s">
        <v>1269</v>
      </c>
      <c r="C461" s="7" t="s">
        <v>1270</v>
      </c>
      <c r="D461" s="8">
        <v>2800.0</v>
      </c>
      <c r="E461" s="9">
        <v>1.0</v>
      </c>
      <c r="F461" s="10" t="str">
        <f>IFERROR(__xludf.DUMMYFUNCTION("LOWER(REGEXREPLACE(B461&amp;"" ""&amp;C461,""[^а-яa-z0-9 ]"","" ""))"),"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звукопроизноше"&amp;"ние  дыхание и артикуляцию   ассчитаны на регулярное применение ")</f>
        <v>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звукопроизношение  дыхание и артикуляцию   ассчитаны на регулярное применение </v>
      </c>
      <c r="G461" s="10" t="str">
        <f>IFERROR(__xludf.DUMMYFUNCTION("TEXTJOIN(""|"",TRUE,UNIQUE(FILTER(SPLIT(F461,"" ""),LEN(SPLIT(F461,"" ""))&gt;2)))"),"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amp;"ляцию|ассчитаны|регулярное|применение")</f>
        <v>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ляцию|ассчитаны|регулярное|применение</v>
      </c>
      <c r="I461" s="6"/>
      <c r="J461" s="6"/>
    </row>
    <row r="462">
      <c r="A462" s="12" t="s">
        <v>1271</v>
      </c>
      <c r="B462" s="7" t="s">
        <v>1272</v>
      </c>
      <c r="C462" s="7" t="s">
        <v>1273</v>
      </c>
      <c r="D462" s="8">
        <v>6700.0</v>
      </c>
      <c r="E462" s="9">
        <v>175.0</v>
      </c>
      <c r="F462" s="10" t="str">
        <f>IFERROR(__xludf.DUMMYFUNCTION("LOWER(REGEXREPLACE(B462&amp;"" ""&amp;C462,""[^а-яa-z0-9 ]"","" ""))")," атериалы и инструменты для апликации  цветная бумага  цветной и белый картон  ткань  клей  ножницы  клейкая лент")</f>
        <v> атериалы и инструменты для апликации  цветная бумага  цветной и белый картон  ткань  клей  ножницы  клейкая лент</v>
      </c>
      <c r="G462" s="10" t="str">
        <f>IFERROR(__xludf.DUMMYFUNCTION("TEXTJOIN(""|"",TRUE,UNIQUE(FILTER(SPLIT(F462,"" ""),LEN(SPLIT(F462,"" ""))&gt;2)))"),"атериалы|инструменты|для|апликации|цветная|бумага|цветной|белый|картон|ткань|клей|ножницы|клейкая|лент")</f>
        <v>атериалы|инструменты|для|апликации|цветная|бумага|цветной|белый|картон|ткань|клей|ножницы|клейкая|лент</v>
      </c>
      <c r="I462" s="6"/>
      <c r="J462" s="6"/>
    </row>
    <row r="463">
      <c r="A463" s="12" t="s">
        <v>1274</v>
      </c>
      <c r="B463" s="7" t="s">
        <v>1275</v>
      </c>
      <c r="C463" s="7" t="s">
        <v>1276</v>
      </c>
      <c r="D463" s="8">
        <v>500.0</v>
      </c>
      <c r="E463" s="9">
        <v>125.0</v>
      </c>
      <c r="F463" s="10" t="str">
        <f>IFERROR(__xludf.DUMMYFUNCTION("LOWER(REGEXREPLACE(B463&amp;"" ""&amp;C463,""[^а-яa-z0-9 ]"","" ""))"),"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f>
        <v>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v>
      </c>
      <c r="G463" s="10" t="str">
        <f>IFERROR(__xludf.DUMMYFUNCTION("TEXTJOIN(""|"",TRUE,UNIQUE(FILTER(SPLIT(F463,"" ""),LEN(SPLIT(F463,"" ""))&gt;2)))"),"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f>
        <v>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v>
      </c>
      <c r="I463" s="6"/>
      <c r="J463" s="6"/>
    </row>
    <row r="464">
      <c r="A464" s="12" t="s">
        <v>1277</v>
      </c>
      <c r="B464" s="7" t="s">
        <v>1278</v>
      </c>
      <c r="C464" s="7" t="s">
        <v>1279</v>
      </c>
      <c r="D464" s="8">
        <v>2600.0</v>
      </c>
      <c r="E464" s="9">
        <v>125.0</v>
      </c>
      <c r="F464" s="10" t="str">
        <f>IFERROR(__xludf.DUMMYFUNCTION("LOWER(REGEXREPLACE(B464&amp;"" ""&amp;C464,""[^а-яa-z0-9 ]"","" ""))"),"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f>
        <v>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v>
      </c>
      <c r="G464" s="10" t="str">
        <f>IFERROR(__xludf.DUMMYFUNCTION("TEXTJOIN(""|"",TRUE,UNIQUE(FILTER(SPLIT(F464,"" ""),LEN(SPLIT(F464,"" ""))&gt;2)))"),"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f>
        <v>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v>
      </c>
      <c r="I464" s="6"/>
      <c r="J464" s="6"/>
    </row>
    <row r="465">
      <c r="A465" s="12" t="s">
        <v>1280</v>
      </c>
      <c r="B465" s="7" t="s">
        <v>1281</v>
      </c>
      <c r="C465" s="7" t="s">
        <v>1282</v>
      </c>
      <c r="D465" s="8">
        <v>11400.0</v>
      </c>
      <c r="E465" s="9">
        <v>125.0</v>
      </c>
      <c r="F465" s="10" t="str">
        <f>IFERROR(__xludf.DUMMYFUNCTION("LOWER(REGEXREPLACE(B465&amp;"" ""&amp;C465,""[^а-яa-z0-9 ]"","" ""))"),"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разв"&amp;"итию   пособствует развитию мелкой моторики  воображения  сенсорного восприятия и творческого мышления ")</f>
        <v>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развитию   пособствует развитию мелкой моторики  воображения  сенсорного восприятия и творческого мышления </v>
      </c>
      <c r="G465" s="10" t="str">
        <f>IFERROR(__xludf.DUMMYFUNCTION("TEXTJOIN(""|"",TRUE,UNIQUE(FILTER(SPLIT(F465,"" ""),LEN(SPLIT(F465,"" ""))&gt;2)))"),"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amp;"азвитию|мелкой|моторики|воображения|сенсорного|восприятия|творческого|мышления")</f>
        <v>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азвитию|мелкой|моторики|воображения|сенсорного|восприятия|творческого|мышления</v>
      </c>
      <c r="I465" s="6"/>
      <c r="J465" s="6"/>
    </row>
    <row r="466">
      <c r="A466" s="12" t="s">
        <v>1283</v>
      </c>
      <c r="B466" s="7" t="s">
        <v>1284</v>
      </c>
      <c r="C466" s="7" t="s">
        <v>1285</v>
      </c>
      <c r="D466" s="8">
        <v>9800.0</v>
      </c>
      <c r="E466" s="9">
        <v>3.0</v>
      </c>
      <c r="F466" s="10" t="str">
        <f>IFERROR(__xludf.DUMMYFUNCTION("LOWER(REGEXREPLACE(B466&amp;"" ""&amp;C466,""[^а-яa-z0-9 ]"","" ""))"),"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f>
        <v>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v>
      </c>
      <c r="G466" s="10" t="str">
        <f>IFERROR(__xludf.DUMMYFUNCTION("TEXTJOIN(""|"",TRUE,UNIQUE(FILTER(SPLIT(F466,"" ""),LEN(SPLIT(F466,"" ""))&gt;2)))"),"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f>
        <v>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v>
      </c>
      <c r="I466" s="6"/>
      <c r="J466" s="6"/>
    </row>
    <row r="467">
      <c r="A467" s="12" t="s">
        <v>1286</v>
      </c>
      <c r="B467" s="7" t="s">
        <v>1287</v>
      </c>
      <c r="C467" s="7" t="s">
        <v>1288</v>
      </c>
      <c r="D467" s="8">
        <v>81700.0</v>
      </c>
      <c r="E467" s="9">
        <v>5.0</v>
      </c>
      <c r="F467" s="10" t="str">
        <f>IFERROR(__xludf.DUMMYFUNCTION("LOWER(REGEXREPLACE(B467&amp;"" ""&amp;C467,""[^а-яa-z0-9 ]"","" ""))"),"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f>
        <v>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v>
      </c>
      <c r="G467" s="10" t="str">
        <f>IFERROR(__xludf.DUMMYFUNCTION("TEXTJOIN(""|"",TRUE,UNIQUE(FILTER(SPLIT(F467,"" ""),LEN(SPLIT(F467,"" ""))&gt;2)))"),"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f>
        <v>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v>
      </c>
      <c r="I467" s="6"/>
      <c r="J467" s="6"/>
    </row>
    <row r="468">
      <c r="A468" s="12" t="s">
        <v>1289</v>
      </c>
      <c r="B468" s="7" t="s">
        <v>1290</v>
      </c>
      <c r="C468" s="7" t="s">
        <v>1291</v>
      </c>
      <c r="D468" s="8">
        <v>81700.0</v>
      </c>
      <c r="E468" s="9">
        <v>10.0</v>
      </c>
      <c r="F468" s="10" t="str">
        <f>IFERROR(__xludf.DUMMYFUNCTION("LOWER(REGEXREPLACE(B468&amp;"" ""&amp;C468,""[^а-яa-z0-9 ]"","" ""))"),"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а"&amp;"териалы обеспечивают защиту от ударов и предотвращают скольжение ")</f>
        <v>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атериалы обеспечивают защиту от ударов и предотвращают скольжение </v>
      </c>
      <c r="G468" s="10" t="str">
        <f>IFERROR(__xludf.DUMMYFUNCTION("TEXTJOIN(""|"",TRUE,UNIQUE(FILTER(SPLIT(F468,"" ""),LEN(SPLIT(F468,"" ""))&gt;2)))"),"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amp;"иту|ударов|предотвращают|скольжение")</f>
        <v>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иту|ударов|предотвращают|скольжение</v>
      </c>
      <c r="I468" s="6"/>
      <c r="J468" s="6"/>
    </row>
    <row r="469">
      <c r="A469" s="12" t="s">
        <v>1292</v>
      </c>
      <c r="B469" s="7" t="s">
        <v>1293</v>
      </c>
      <c r="C469" s="7" t="s">
        <v>1294</v>
      </c>
      <c r="D469" s="8">
        <v>8200.0</v>
      </c>
      <c r="E469" s="9">
        <v>5.0</v>
      </c>
      <c r="F469" s="10" t="str">
        <f>IFERROR(__xludf.DUMMYFUNCTION("LOWER(REGEXREPLACE(B469&amp;"" ""&amp;C469,""[^а-яa-z0-9 ]"","" ""))"),"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двигатель"&amp;"ной активности и физических упражнениях   азмер каждой полусферы   не менее 16 16 см    комплект входит 2 изделия ")</f>
        <v>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двигательной активности и физических упражнениях   азмер каждой полусферы   не менее 16 16 см    комплект входит 2 изделия </v>
      </c>
      <c r="G469" s="10" t="str">
        <f>IFERROR(__xludf.DUMMYFUNCTION("TEXTJOIN(""|"",TRUE,UNIQUE(FILTER(SPLIT(F469,"" ""),LEN(SPLIT(F469,"" ""))&gt;2)))"),"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amp;"зических|упражнениях|азмер|каждой|полусферы|менее|комплект|входит|изделия")</f>
        <v>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зических|упражнениях|азмер|каждой|полусферы|менее|комплект|входит|изделия</v>
      </c>
      <c r="I469" s="6"/>
      <c r="J469" s="6"/>
    </row>
    <row r="470">
      <c r="A470" s="12" t="s">
        <v>1295</v>
      </c>
      <c r="B470" s="7" t="s">
        <v>1296</v>
      </c>
      <c r="C470" s="7" t="s">
        <v>1297</v>
      </c>
      <c r="D470" s="8">
        <v>81700.0</v>
      </c>
      <c r="E470" s="9">
        <v>8.0</v>
      </c>
      <c r="F470" s="10" t="str">
        <f>IFERROR(__xludf.DUMMYFUNCTION("LOWER(REGEXREPLACE(B470&amp;"" ""&amp;C470,""[^а-яa-z0-9 ]"","" ""))"),"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f>
        <v>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v>
      </c>
      <c r="G470" s="10" t="str">
        <f>IFERROR(__xludf.DUMMYFUNCTION("TEXTJOIN(""|"",TRUE,UNIQUE(FILTER(SPLIT(F470,"" ""),LEN(SPLIT(F470,"" ""))&gt;2)))"),"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f>
        <v>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v>
      </c>
      <c r="I470" s="6"/>
      <c r="J470" s="6"/>
    </row>
    <row r="471">
      <c r="A471" s="12" t="s">
        <v>1298</v>
      </c>
      <c r="B471" s="7" t="s">
        <v>1299</v>
      </c>
      <c r="C471" s="7" t="s">
        <v>1300</v>
      </c>
      <c r="D471" s="8">
        <v>45400.0</v>
      </c>
      <c r="E471" s="9">
        <v>42.0</v>
      </c>
      <c r="F471" s="10" t="str">
        <f>IFERROR(__xludf.DUMMYFUNCTION("LOWER(REGEXREPLACE(B471&amp;"" ""&amp;C471,""[^а-яa-z0-9 ]"","" ""))"),"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f>
        <v>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v>
      </c>
      <c r="G471" s="10" t="str">
        <f>IFERROR(__xludf.DUMMYFUNCTION("TEXTJOIN(""|"",TRUE,UNIQUE(FILTER(SPLIT(F471,"" ""),LEN(SPLIT(F471,"" ""))&gt;2)))"),"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f>
        <v>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v>
      </c>
      <c r="I471" s="6"/>
      <c r="J471" s="6"/>
    </row>
    <row r="472">
      <c r="A472" s="12" t="s">
        <v>1301</v>
      </c>
      <c r="B472" s="7" t="s">
        <v>1302</v>
      </c>
      <c r="C472" s="7" t="s">
        <v>1303</v>
      </c>
      <c r="D472" s="8">
        <v>72200.0</v>
      </c>
      <c r="E472" s="9">
        <v>5.0</v>
      </c>
      <c r="F472" s="10" t="str">
        <f>IFERROR(__xludf.DUMMYFUNCTION("LOWER(REGEXREPLACE(B472&amp;"" ""&amp;C472,""[^а-яa-z0-9 ]"","" ""))"),"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f>
        <v>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v>
      </c>
      <c r="G472" s="10" t="str">
        <f>IFERROR(__xludf.DUMMYFUNCTION("TEXTJOIN(""|"",TRUE,UNIQUE(FILTER(SPLIT(F472,"" ""),LEN(SPLIT(F472,"" ""))&gt;2)))"),"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f>
        <v>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v>
      </c>
      <c r="I472" s="6"/>
      <c r="J472" s="6"/>
    </row>
    <row r="473">
      <c r="A473" s="12" t="s">
        <v>1304</v>
      </c>
      <c r="B473" s="7" t="s">
        <v>1305</v>
      </c>
      <c r="C473" s="7" t="s">
        <v>1306</v>
      </c>
      <c r="D473" s="8">
        <v>28500.0</v>
      </c>
      <c r="E473" s="9">
        <v>5.0</v>
      </c>
      <c r="F473" s="10" t="str">
        <f>IFERROR(__xludf.DUMMYFUNCTION("LOWER(REGEXREPLACE(B473&amp;"" ""&amp;C473,""[^а-яa-z0-9 ]"","" ""))")," ашинка  етская машинка толокар  предназначенная для активных игр   спользуется для развития общей моторики  координации и ориентации в пространстве ")</f>
        <v> ашинка  етская машинка толокар  предназначенная для активных игр   спользуется для развития общей моторики  координации и ориентации в пространстве </v>
      </c>
      <c r="G473" s="10" t="str">
        <f>IFERROR(__xludf.DUMMYFUNCTION("TEXTJOIN(""|"",TRUE,UNIQUE(FILTER(SPLIT(F473,"" ""),LEN(SPLIT(F473,"" ""))&gt;2)))"),"ашинка|етская|машинка|толокар|предназначенная|для|активных|игр|спользуется|для|развития|общей|моторики|координации|ориентации|пространстве")</f>
        <v>ашинка|етская|машинка|толокар|предназначенная|для|активных|игр|спользуется|для|развития|общей|моторики|координации|ориентации|пространстве</v>
      </c>
      <c r="I473" s="6"/>
      <c r="J473" s="6"/>
    </row>
    <row r="474">
      <c r="A474" s="12" t="s">
        <v>1307</v>
      </c>
      <c r="B474" s="7" t="s">
        <v>1308</v>
      </c>
      <c r="C474" s="7" t="s">
        <v>1309</v>
      </c>
      <c r="D474" s="8">
        <v>11200.0</v>
      </c>
      <c r="E474" s="9">
        <v>7.0</v>
      </c>
      <c r="F474" s="10" t="str">
        <f>IFERROR(__xludf.DUMMYFUNCTION("LOWER(REGEXREPLACE(B474&amp;"" ""&amp;C474,""[^а-яa-z0-9 ]"","" ""))"),"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f>
        <v>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v>
      </c>
      <c r="G474" s="10" t="str">
        <f>IFERROR(__xludf.DUMMYFUNCTION("TEXTJOIN(""|"",TRUE,UNIQUE(FILTER(SPLIT(F474,"" ""),LEN(SPLIT(F474,"" ""))&gt;2)))"),"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f>
        <v>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v>
      </c>
      <c r="I474" s="6"/>
      <c r="J474" s="6"/>
    </row>
    <row r="475">
      <c r="A475" s="12" t="s">
        <v>1310</v>
      </c>
      <c r="B475" s="7" t="s">
        <v>1311</v>
      </c>
      <c r="C475" s="7" t="s">
        <v>1312</v>
      </c>
      <c r="D475" s="8">
        <v>13900.0</v>
      </c>
      <c r="E475" s="9">
        <v>7.0</v>
      </c>
      <c r="F475" s="10" t="str">
        <f>IFERROR(__xludf.DUMMYFUNCTION("LOWER(REGEXREPLACE(B475&amp;"" ""&amp;C475,""[^а-яa-z0-9 ]"","" ""))"),"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f>
        <v>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v>
      </c>
      <c r="G475" s="10" t="str">
        <f>IFERROR(__xludf.DUMMYFUNCTION("TEXTJOIN(""|"",TRUE,UNIQUE(FILTER(SPLIT(F475,"" ""),LEN(SPLIT(F475,"" ""))&gt;2)))"),"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f>
        <v>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v>
      </c>
      <c r="I475" s="6"/>
      <c r="J475" s="6"/>
    </row>
    <row r="476">
      <c r="A476" s="12" t="s">
        <v>1313</v>
      </c>
      <c r="B476" s="7" t="s">
        <v>1314</v>
      </c>
      <c r="C476" s="7" t="s">
        <v>1315</v>
      </c>
      <c r="D476" s="8">
        <v>20500.0</v>
      </c>
      <c r="E476" s="9">
        <v>7.0</v>
      </c>
      <c r="F476" s="10" t="str">
        <f>IFERROR(__xludf.DUMMYFUNCTION("LOWER(REGEXREPLACE(B476&amp;"" ""&amp;C476,""[^а-яa-z0-9 ]"","" ""))"),"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f>
        <v>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v>
      </c>
      <c r="G476" s="10" t="str">
        <f>IFERROR(__xludf.DUMMYFUNCTION("TEXTJOIN(""|"",TRUE,UNIQUE(FILTER(SPLIT(F476,"" ""),LEN(SPLIT(F476,"" ""))&gt;2)))"),"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f>
        <v>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v>
      </c>
      <c r="I476" s="6"/>
      <c r="J476" s="6"/>
    </row>
    <row r="477">
      <c r="A477" s="12" t="s">
        <v>1316</v>
      </c>
      <c r="B477" s="7" t="s">
        <v>1317</v>
      </c>
      <c r="C477" s="7" t="s">
        <v>1318</v>
      </c>
      <c r="D477" s="8">
        <v>71800.0</v>
      </c>
      <c r="E477" s="9">
        <v>7.0</v>
      </c>
      <c r="F477" s="10" t="str">
        <f>IFERROR(__xludf.DUMMYFUNCTION("LOWER(REGEXREPLACE(B477&amp;"" ""&amp;C477,""[^а-яa-z0-9 ]"","" ""))"),"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f>
        <v>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v>
      </c>
      <c r="G477" s="10" t="str">
        <f>IFERROR(__xludf.DUMMYFUNCTION("TEXTJOIN(""|"",TRUE,UNIQUE(FILTER(SPLIT(F477,"" ""),LEN(SPLIT(F477,"" ""))&gt;2)))"),"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f>
        <v>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v>
      </c>
      <c r="I477" s="6"/>
      <c r="J477" s="6"/>
    </row>
    <row r="478">
      <c r="A478" s="12" t="s">
        <v>1319</v>
      </c>
      <c r="B478" s="7" t="s">
        <v>1320</v>
      </c>
      <c r="C478" s="7" t="s">
        <v>1321</v>
      </c>
      <c r="D478" s="8">
        <v>13700.0</v>
      </c>
      <c r="E478" s="9">
        <v>9.0</v>
      </c>
      <c r="F478" s="10" t="str">
        <f>IFERROR(__xludf.DUMMYFUNCTION("LOWER(REGEXREPLACE(B478&amp;"" ""&amp;C478,""[^а-яa-z0-9 ]"","" ""))")," ашинка самосвал  нерционная игрушечная машина  используемая в сюжетных играх   азвивает воображение  мелкую моторику и интерес к техническим объектам ")</f>
        <v> ашинка самосвал  нерционная игрушечная машина  используемая в сюжетных играх   азвивает воображение  мелкую моторику и интерес к техническим объектам </v>
      </c>
      <c r="G478" s="10" t="str">
        <f>IFERROR(__xludf.DUMMYFUNCTION("TEXTJOIN(""|"",TRUE,UNIQUE(FILTER(SPLIT(F478,"" ""),LEN(SPLIT(F478,"" ""))&gt;2)))"),"ашинка|самосвал|нерционная|игрушечная|машина|используемая|сюжетных|играх|азвивает|воображение|мелкую|моторику|интерес|техническим|объектам")</f>
        <v>ашинка|самосвал|нерционная|игрушечная|машина|используемая|сюжетных|играх|азвивает|воображение|мелкую|моторику|интерес|техническим|объектам</v>
      </c>
      <c r="I478" s="6"/>
      <c r="J478" s="6"/>
    </row>
    <row r="479">
      <c r="A479" s="12" t="s">
        <v>1322</v>
      </c>
      <c r="B479" s="7" t="s">
        <v>1323</v>
      </c>
      <c r="C479" s="7" t="s">
        <v>1324</v>
      </c>
      <c r="D479" s="8">
        <v>37600.0</v>
      </c>
      <c r="E479" s="9">
        <v>7.0</v>
      </c>
      <c r="F479" s="10" t="str">
        <f>IFERROR(__xludf.DUMMYFUNCTION("LOWER(REGEXREPLACE(B479&amp;"" ""&amp;C479,""[^а-яa-z0-9 ]"","" ""))"),"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f>
        <v>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v>
      </c>
      <c r="G479" s="10" t="str">
        <f>IFERROR(__xludf.DUMMYFUNCTION("TEXTJOIN(""|"",TRUE,UNIQUE(FILTER(SPLIT(F479,"" ""),LEN(SPLIT(F479,"" ""))&gt;2)))"),"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f>
        <v>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v>
      </c>
      <c r="I479" s="6"/>
      <c r="J479" s="6"/>
    </row>
    <row r="480">
      <c r="A480" s="12" t="s">
        <v>1325</v>
      </c>
      <c r="B480" s="7" t="s">
        <v>1326</v>
      </c>
      <c r="C480" s="7" t="s">
        <v>1008</v>
      </c>
      <c r="D480" s="8">
        <v>6600.0</v>
      </c>
      <c r="E480" s="9">
        <v>1.0</v>
      </c>
      <c r="F480" s="10" t="str">
        <f>IFERROR(__xludf.DUMMYFUNCTION("LOWER(REGEXREPLACE(B480&amp;"" ""&amp;C480,""[^а-яa-z0-9 ]"","" ""))")," аластан  тет леу лы   ")</f>
        <v> аластан  тет леу лы   </v>
      </c>
      <c r="G480" s="10" t="str">
        <f>IFERROR(__xludf.DUMMYFUNCTION("TEXTJOIN(""|"",TRUE,UNIQUE(FILTER(SPLIT(F480,"" ""),LEN(SPLIT(F480,"" ""))&gt;2)))"),"аластан|тет|леу")</f>
        <v>аластан|тет|леу</v>
      </c>
      <c r="I480" s="6"/>
      <c r="J480" s="6"/>
    </row>
    <row r="481">
      <c r="A481" s="12" t="s">
        <v>1327</v>
      </c>
      <c r="B481" s="7" t="s">
        <v>1328</v>
      </c>
      <c r="C481" s="7" t="s">
        <v>1329</v>
      </c>
      <c r="D481" s="8">
        <v>22800.0</v>
      </c>
      <c r="E481" s="9">
        <v>7.0</v>
      </c>
      <c r="F481" s="10" t="str">
        <f>IFERROR(__xludf.DUMMYFUNCTION("LOWER(REGEXREPLACE(B481&amp;"" ""&amp;C481,""[^а-яa-z0-9 ]"","" ""))"),"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f>
        <v>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v>
      </c>
      <c r="G481" s="10" t="str">
        <f>IFERROR(__xludf.DUMMYFUNCTION("TEXTJOIN(""|"",TRUE,UNIQUE(FILTER(SPLIT(F481,"" ""),LEN(SPLIT(F481,"" ""))&gt;2)))"),"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f>
        <v>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v>
      </c>
      <c r="I481" s="6"/>
      <c r="J481" s="6"/>
    </row>
    <row r="482">
      <c r="A482" s="12" t="s">
        <v>1330</v>
      </c>
      <c r="B482" s="7" t="s">
        <v>1331</v>
      </c>
      <c r="C482" s="7" t="s">
        <v>1332</v>
      </c>
      <c r="D482" s="8">
        <v>9500.0</v>
      </c>
      <c r="E482" s="9">
        <v>1.0</v>
      </c>
      <c r="F482" s="10" t="str">
        <f>IFERROR(__xludf.DUMMYFUNCTION("LOWER(REGEXREPLACE(B482&amp;"" ""&amp;C482,""[^а-яa-z0-9 ]"","" ""))"),"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f>
        <v>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v>
      </c>
      <c r="G482" s="10" t="str">
        <f>IFERROR(__xludf.DUMMYFUNCTION("TEXTJOIN(""|"",TRUE,UNIQUE(FILTER(SPLIT(F482,"" ""),LEN(SPLIT(F482,"" ""))&gt;2)))"),"ашинки|деревянные|абор|деревянных|машинок|без|механизма|спользуется|для|сюжетно|ролевых|игр|развития|тактильных|ощущений|воображения|мелкой|моторики")</f>
        <v>ашинки|деревянные|абор|деревянных|машинок|без|механизма|спользуется|для|сюжетно|ролевых|игр|развития|тактильных|ощущений|воображения|мелкой|моторики</v>
      </c>
      <c r="I482" s="6"/>
      <c r="J482" s="6"/>
    </row>
    <row r="483">
      <c r="A483" s="12" t="s">
        <v>1333</v>
      </c>
      <c r="B483" s="7" t="s">
        <v>1334</v>
      </c>
      <c r="C483" s="7" t="s">
        <v>1335</v>
      </c>
      <c r="D483" s="8">
        <v>20900.0</v>
      </c>
      <c r="E483" s="9">
        <v>1.0</v>
      </c>
      <c r="F483" s="10" t="str">
        <f>IFERROR(__xludf.DUMMYFUNCTION("LOWER(REGEXREPLACE(B483&amp;"" ""&amp;C483,""[^а-яa-z0-9 ]"","" ""))"),"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f>
        <v>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v>
      </c>
      <c r="G483" s="10" t="str">
        <f>IFERROR(__xludf.DUMMYFUNCTION("TEXTJOIN(""|"",TRUE,UNIQUE(FILTER(SPLIT(F483,"" ""),LEN(SPLIT(F483,"" ""))&gt;2)))"),"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f>
        <v>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v>
      </c>
      <c r="I483" s="6"/>
      <c r="J483" s="6"/>
    </row>
    <row r="484">
      <c r="A484" s="12" t="s">
        <v>1336</v>
      </c>
      <c r="B484" s="7" t="s">
        <v>1337</v>
      </c>
      <c r="C484" s="7" t="s">
        <v>1338</v>
      </c>
      <c r="D484" s="8">
        <v>18000.0</v>
      </c>
      <c r="E484" s="9">
        <v>1.0</v>
      </c>
      <c r="F484" s="10" t="str">
        <f>IFERROR(__xludf.DUMMYFUNCTION("LOWER(REGEXREPLACE(B484&amp;"" ""&amp;C484,""[^а-яa-z0-9 ]"","" ""))"),"  нг л к т л а    лы  бай  книга альбом   буб к р      ужикова      айрамбаева   ")</f>
        <v>  нг л к т л а    лы  бай  книга альбом   буб к р      ужикова      айрамбаева   </v>
      </c>
      <c r="G484" s="10" t="str">
        <f>IFERROR(__xludf.DUMMYFUNCTION("TEXTJOIN(""|"",TRUE,UNIQUE(FILTER(SPLIT(F484,"" ""),LEN(SPLIT(F484,"" ""))&gt;2)))"),"бай|книга|альбом|буб|ужикова|айрамбаева")</f>
        <v>бай|книга|альбом|буб|ужикова|айрамбаева</v>
      </c>
      <c r="I484" s="6"/>
      <c r="J484" s="6"/>
    </row>
    <row r="485">
      <c r="A485" s="12" t="s">
        <v>1339</v>
      </c>
      <c r="B485" s="7" t="s">
        <v>1340</v>
      </c>
      <c r="C485" s="7" t="s">
        <v>425</v>
      </c>
      <c r="D485" s="8">
        <v>13600.0</v>
      </c>
      <c r="E485" s="9">
        <v>1.0</v>
      </c>
      <c r="F485" s="10" t="str">
        <f>IFERROR(__xludf.DUMMYFUNCTION("LOWER(REGEXREPLACE(B485&amp;"" ""&amp;C485,""[^а-яa-z0-9 ]"","" ""))")," ен баламды б лем н бе   ала психологиясы туралы ата ана а к мек  эри   ")</f>
        <v> ен баламды б лем н бе   ала психологиясы туралы ата ана а к мек  эри   </v>
      </c>
      <c r="G485" s="10" t="str">
        <f>IFERROR(__xludf.DUMMYFUNCTION("TEXTJOIN(""|"",TRUE,UNIQUE(FILTER(SPLIT(F485,"" ""),LEN(SPLIT(F485,"" ""))&gt;2)))"),"баламды|лем|ала|психологиясы|туралы|ата|ана|мек|эри")</f>
        <v>баламды|лем|ала|психологиясы|туралы|ата|ана|мек|эри</v>
      </c>
      <c r="I485" s="6"/>
      <c r="J485" s="6"/>
    </row>
    <row r="486">
      <c r="A486" s="12" t="s">
        <v>1341</v>
      </c>
      <c r="B486" s="7" t="s">
        <v>1342</v>
      </c>
      <c r="C486" s="7" t="s">
        <v>1343</v>
      </c>
      <c r="D486" s="8">
        <v>6600.0</v>
      </c>
      <c r="E486" s="9">
        <v>1.0</v>
      </c>
      <c r="F486" s="10" t="str">
        <f>IFERROR(__xludf.DUMMYFUNCTION("LOWER(REGEXREPLACE(B486&amp;"" ""&amp;C486,""[^а-яa-z0-9 ]"","" ""))")," ен б р ж мба    даммын оны да ойла      бай  унанбаев")</f>
        <v> ен б р ж мба    даммын оны да ойла      бай  унанбаев</v>
      </c>
      <c r="G486" s="10" t="str">
        <f>IFERROR(__xludf.DUMMYFUNCTION("TEXTJOIN(""|"",TRUE,UNIQUE(FILTER(SPLIT(F486,"" ""),LEN(SPLIT(F486,"" ""))&gt;2)))"),"мба|даммын|оны|ойла|бай|унанбаев")</f>
        <v>мба|даммын|оны|ойла|бай|унанбаев</v>
      </c>
      <c r="I486" s="6"/>
      <c r="J486" s="6"/>
    </row>
    <row r="487">
      <c r="A487" s="12" t="s">
        <v>1344</v>
      </c>
      <c r="B487" s="7" t="s">
        <v>1345</v>
      </c>
      <c r="C487" s="7" t="s">
        <v>1346</v>
      </c>
      <c r="D487" s="8">
        <v>30700.0</v>
      </c>
      <c r="E487" s="9">
        <v>1.0</v>
      </c>
      <c r="F487" s="10" t="str">
        <f>IFERROR(__xludf.DUMMYFUNCTION("LOWER(REGEXREPLACE(B487&amp;"" ""&amp;C487,""[^а-яa-z0-9 ]"","" ""))")," ен    таным    аза стан  юрта      ужикова")</f>
        <v> ен    таным    аза стан  юрта      ужикова</v>
      </c>
      <c r="G487" s="10" t="str">
        <f>IFERROR(__xludf.DUMMYFUNCTION("TEXTJOIN(""|"",TRUE,UNIQUE(FILTER(SPLIT(F487,"" ""),LEN(SPLIT(F487,"" ""))&gt;2)))"),"таным|аза|стан|юрта|ужикова")</f>
        <v>таным|аза|стан|юрта|ужикова</v>
      </c>
      <c r="I487" s="6"/>
      <c r="J487" s="6"/>
    </row>
    <row r="488">
      <c r="A488" s="12" t="s">
        <v>1347</v>
      </c>
      <c r="B488" s="7" t="s">
        <v>1348</v>
      </c>
      <c r="C488" s="7"/>
      <c r="D488" s="8">
        <v>1700.0</v>
      </c>
      <c r="E488" s="9">
        <v>1.0</v>
      </c>
      <c r="F488" s="10" t="str">
        <f>IFERROR(__xludf.DUMMYFUNCTION("LOWER(REGEXREPLACE(B488&amp;"" ""&amp;C488,""[^а-яa-z0-9 ]"","" ""))")," енменд кт   алай же уге болады   ак преодолеть гордыню   ow to overcome pride ")</f>
        <v> енменд кт   алай же уге болады   ак преодолеть гордыню   ow to overcome pride </v>
      </c>
      <c r="G488" s="10" t="str">
        <f>IFERROR(__xludf.DUMMYFUNCTION("TEXTJOIN(""|"",TRUE,UNIQUE(FILTER(SPLIT(F488,"" ""),LEN(SPLIT(F488,"" ""))&gt;2)))"),"енменд|алай|уге|болады|преодолеть|гордыню|overcome|pride")</f>
        <v>енменд|алай|уге|болады|преодолеть|гордыню|overcome|pride</v>
      </c>
      <c r="I488" s="6"/>
      <c r="J488" s="6"/>
    </row>
    <row r="489">
      <c r="A489" s="12" t="s">
        <v>1349</v>
      </c>
      <c r="B489" s="7" t="s">
        <v>1350</v>
      </c>
      <c r="C489" s="7" t="s">
        <v>1351</v>
      </c>
      <c r="D489" s="8">
        <v>28500.0</v>
      </c>
      <c r="E489" s="9">
        <v>5.0</v>
      </c>
      <c r="F489" s="10" t="str">
        <f>IFERROR(__xludf.DUMMYFUNCTION("LOWER(REGEXREPLACE(B489&amp;"" ""&amp;C489,""[^а-яa-z0-9 ]"","" ""))"),"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f>
        <v>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v>
      </c>
      <c r="G489" s="10" t="str">
        <f>IFERROR(__xludf.DUMMYFUNCTION("TEXTJOIN(""|"",TRUE,UNIQUE(FILTER(SPLIT(F489,"" ""),LEN(SPLIT(F489,"" ""))&gt;2)))"),"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f>
        <v>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v>
      </c>
      <c r="I489" s="6"/>
      <c r="J489" s="6"/>
    </row>
    <row r="490">
      <c r="A490" s="12" t="s">
        <v>1352</v>
      </c>
      <c r="B490" s="7" t="s">
        <v>1353</v>
      </c>
      <c r="C490" s="7" t="s">
        <v>1354</v>
      </c>
      <c r="D490" s="8">
        <v>28500.0</v>
      </c>
      <c r="E490" s="9">
        <v>1.0</v>
      </c>
      <c r="F490" s="10" t="str">
        <f>IFERROR(__xludf.DUMMYFUNCTION("LOWER(REGEXREPLACE(B490&amp;"" ""&amp;C490,""[^а-яa-z0-9 ]"","" ""))"),"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f>
        <v>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v>
      </c>
      <c r="G490" s="10" t="str">
        <f>IFERROR(__xludf.DUMMYFUNCTION("TEXTJOIN(""|"",TRUE,UNIQUE(FILTER(SPLIT(F490,"" ""),LEN(SPLIT(F490,"" ""))&gt;2)))"),"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f>
        <v>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v>
      </c>
      <c r="I490" s="6"/>
      <c r="J490" s="6"/>
    </row>
    <row r="491">
      <c r="A491" s="12" t="s">
        <v>1355</v>
      </c>
      <c r="B491" s="7" t="s">
        <v>1356</v>
      </c>
      <c r="C491" s="7" t="s">
        <v>1357</v>
      </c>
      <c r="D491" s="8">
        <v>41800.0</v>
      </c>
      <c r="E491" s="9">
        <v>2.0</v>
      </c>
      <c r="F491" s="10" t="str">
        <f>IFERROR(__xludf.DUMMYFUNCTION("LOWER(REGEXREPLACE(B491&amp;"" ""&amp;C491,""[^а-яa-z0-9 ]"","" ""))"),"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де"&amp;"йствий   онструкция выполнена из прочного пластика и предназначена для эксплуатации в помещениях ")</f>
        <v>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действий   онструкция выполнена из прочного пластика и предназначена для эксплуатации в помещениях </v>
      </c>
      <c r="G491" s="10" t="str">
        <f>IFERROR(__xludf.DUMMYFUNCTION("TEXTJOIN(""|"",TRUE,UNIQUE(FILTER(SPLIT(F491,"" ""),LEN(SPLIT(F491,"" ""))&gt;2)))"),"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amp;"|выполнена|прочного|пластика|предназначена|для|эксплуатации|помещениях")</f>
        <v>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выполнена|прочного|пластика|предназначена|для|эксплуатации|помещениях</v>
      </c>
      <c r="I491" s="6"/>
      <c r="J491" s="6"/>
    </row>
    <row r="492">
      <c r="A492" s="12" t="s">
        <v>1358</v>
      </c>
      <c r="B492" s="7" t="s">
        <v>1359</v>
      </c>
      <c r="C492" s="7" t="s">
        <v>1360</v>
      </c>
      <c r="D492" s="8">
        <v>2600.0</v>
      </c>
      <c r="E492" s="9">
        <v>10.0</v>
      </c>
      <c r="F492" s="10" t="str">
        <f>IFERROR(__xludf.DUMMYFUNCTION("LOWER(REGEXREPLACE(B492&amp;"" ""&amp;C492,""[^а-яa-z0-9 ]"","" ""))"),"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f>
        <v>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v>
      </c>
      <c r="G492" s="10" t="str">
        <f>IFERROR(__xludf.DUMMYFUNCTION("TEXTJOIN(""|"",TRUE,UNIQUE(FILTER(SPLIT(F492,"" ""),LEN(SPLIT(F492,"" ""))&gt;2)))"),"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f>
        <v>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v>
      </c>
      <c r="I492" s="6"/>
      <c r="J492" s="6"/>
    </row>
    <row r="493">
      <c r="A493" s="12" t="s">
        <v>1361</v>
      </c>
      <c r="B493" s="7" t="s">
        <v>1362</v>
      </c>
      <c r="C493" s="7" t="s">
        <v>1363</v>
      </c>
      <c r="D493" s="8">
        <v>2900.0</v>
      </c>
      <c r="E493" s="9">
        <v>10.0</v>
      </c>
      <c r="F493" s="10" t="str">
        <f>IFERROR(__xludf.DUMMYFUNCTION("LOWER(REGEXREPLACE(B493&amp;"" ""&amp;C493,""[^а-яa-z0-9 ]"","" ""))")," ешочки с песком  тяжел нные мешочки для упражнений и сенсорных игр   спользуются для развития координации  тактильных ощущений и мышечного контроля ")</f>
        <v> ешочки с песком  тяжел нные мешочки для упражнений и сенсорных игр   спользуются для развития координации  тактильных ощущений и мышечного контроля </v>
      </c>
      <c r="G493" s="10" t="str">
        <f>IFERROR(__xludf.DUMMYFUNCTION("TEXTJOIN(""|"",TRUE,UNIQUE(FILTER(SPLIT(F493,"" ""),LEN(SPLIT(F493,"" ""))&gt;2)))"),"ешочки|песком|тяжел|нные|мешочки|для|упражнений|сенсорных|игр|спользуются|для|развития|координации|тактильных|ощущений|мышечного|контроля")</f>
        <v>ешочки|песком|тяжел|нные|мешочки|для|упражнений|сенсорных|игр|спользуются|для|развития|координации|тактильных|ощущений|мышечного|контроля</v>
      </c>
      <c r="I493" s="6"/>
      <c r="J493" s="6"/>
    </row>
    <row r="494">
      <c r="A494" s="12" t="s">
        <v>1364</v>
      </c>
      <c r="B494" s="7" t="s">
        <v>1365</v>
      </c>
      <c r="C494" s="7" t="s">
        <v>1366</v>
      </c>
      <c r="D494" s="8">
        <v>4800.0</v>
      </c>
      <c r="E494" s="9">
        <v>5.0</v>
      </c>
      <c r="F494" s="10" t="str">
        <f>IFERROR(__xludf.DUMMYFUNCTION("LOWER(REGEXREPLACE(B494&amp;"" ""&amp;C494,""[^а-яa-z0-9 ]"","" ""))"),"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отверстиях"&amp;" и продеванию шнурка   акая деятельность развивает мелкую моторику  внимание и навыки соотнесения   онструкция выполнена из дерева ")</f>
        <v>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 и продеванию шнурка   акая деятельность развивает мелкую моторику  внимание и навыки соотнесения   онструкция выполнена из дерева </v>
      </c>
      <c r="G494" s="10" t="str">
        <f>IFERROR(__xludf.DUMMYFUNCTION("TEXTJOIN(""|"",TRUE,UNIQUE(FILTER(SPLIT(F494,"" ""),LEN(SPLIT(F494,"" ""))&gt;2)))"),"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amp;"тельность|развивает|мелкую|моторику|внимание|навыки|соотнесения|онструкция|выполнена|дерева")</f>
        <v>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тельность|развивает|мелкую|моторику|внимание|навыки|соотнесения|онструкция|выполнена|дерева</v>
      </c>
      <c r="I494" s="6"/>
      <c r="J494" s="6"/>
    </row>
    <row r="495">
      <c r="A495" s="12" t="s">
        <v>1367</v>
      </c>
      <c r="B495" s="7" t="s">
        <v>1368</v>
      </c>
      <c r="C495" s="7" t="s">
        <v>1369</v>
      </c>
      <c r="D495" s="8">
        <v>20900.0</v>
      </c>
      <c r="E495" s="9">
        <v>13.0</v>
      </c>
      <c r="F495" s="10" t="str">
        <f>IFERROR(__xludf.DUMMYFUNCTION("LOWER(REGEXREPLACE(B495&amp;"" ""&amp;C495,""[^а-яa-z0-9 ]"","" ""))"),"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мотор"&amp;"ики  зрительного восприятия и навыков составления простых композиций    комплект входит не менее 240 элементов и 2 поля   оличество цветов   не менее 6 ")</f>
        <v>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моторики  зрительного восприятия и навыков составления простых композиций    комплект входит не менее 240 элементов и 2 поля   оличество цветов   не менее 6 </v>
      </c>
      <c r="G495" s="10" t="str">
        <f>IFERROR(__xludf.DUMMYFUNCTION("TEXTJOIN(""|"",TRUE,UNIQUE(FILTER(SPLIT(F495,"" ""),LEN(SPLIT(F495,"" ""))&gt;2)))"),"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amp;"тия|навыков|составления|простых|композиций|комплект|входит|менее|240|элементов|поля|оличество|цветов|менее")</f>
        <v>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тия|навыков|составления|простых|композиций|комплект|входит|менее|240|элементов|поля|оличество|цветов|менее</v>
      </c>
      <c r="I495" s="6"/>
      <c r="J495" s="6"/>
    </row>
    <row r="496">
      <c r="A496" s="12" t="s">
        <v>1370</v>
      </c>
      <c r="B496" s="7" t="s">
        <v>1371</v>
      </c>
      <c r="C496" s="7" t="s">
        <v>1372</v>
      </c>
      <c r="D496" s="8">
        <v>7800.0</v>
      </c>
      <c r="E496" s="9">
        <v>1.0</v>
      </c>
      <c r="F496" s="10" t="str">
        <f>IFERROR(__xludf.DUMMYFUNCTION("LOWER(REGEXREPLACE(B496&amp;"" ""&amp;C496,""[^а-яa-z0-9 ]"","" ""))")," атпырауы       хетов")</f>
        <v> атпырауы       хетов</v>
      </c>
      <c r="G496" s="10" t="str">
        <f>IFERROR(__xludf.DUMMYFUNCTION("TEXTJOIN(""|"",TRUE,UNIQUE(FILTER(SPLIT(F496,"" ""),LEN(SPLIT(F496,"" ""))&gt;2)))"),"атпырауы|хетов")</f>
        <v>атпырауы|хетов</v>
      </c>
      <c r="I496" s="6"/>
      <c r="J496" s="6"/>
    </row>
    <row r="497">
      <c r="A497" s="12" t="s">
        <v>1373</v>
      </c>
      <c r="B497" s="7" t="s">
        <v>1374</v>
      </c>
      <c r="C497" s="7" t="s">
        <v>1375</v>
      </c>
      <c r="D497" s="8">
        <v>9100.0</v>
      </c>
      <c r="E497" s="9">
        <v>10.0</v>
      </c>
      <c r="F497" s="10" t="str">
        <f>IFERROR(__xludf.DUMMYFUNCTION("LOWER(REGEXREPLACE(B497&amp;"" ""&amp;C497,""[^а-яa-z0-9 ]"","" ""))"),"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движе"&amp;"ний и устойчивость внимания   омплект включает не менее 240 элементов и 2 игровых поля ")</f>
        <v>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движений и устойчивость внимания   омплект включает не менее 240 элементов и 2 игровых поля </v>
      </c>
      <c r="G497" s="10" t="str">
        <f>IFERROR(__xludf.DUMMYFUNCTION("TEXTJOIN(""|"",TRUE,UNIQUE(FILTER(SPLIT(F497,"" ""),LEN(SPLIT(F497,"" ""))&gt;2)))"),"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amp;"я|омплект|включает|менее|240|элементов|игровых|поля")</f>
        <v>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я|омплект|включает|менее|240|элементов|игровых|поля</v>
      </c>
      <c r="I497" s="6"/>
      <c r="J497" s="6"/>
    </row>
    <row r="498">
      <c r="A498" s="12" t="s">
        <v>1376</v>
      </c>
      <c r="B498" s="7" t="s">
        <v>1377</v>
      </c>
      <c r="C498" s="7" t="s">
        <v>1378</v>
      </c>
      <c r="D498" s="8">
        <v>32300.0</v>
      </c>
      <c r="E498" s="9">
        <v>14.0</v>
      </c>
      <c r="F498" s="10" t="str">
        <f>IFERROR(__xludf.DUMMYFUNCTION("LOWER(REGEXREPLACE(B498&amp;"" ""&amp;C498,""[^а-яa-z0-9 ]"","" ""))"),"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"&amp;"снова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озаика"&amp;" используется в индивидуальной и подгрупповой деятельности  подходит для спокойной игры за столом ")</f>
        <v>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 используется в индивидуальной и подгрупповой деятельности  подходит для спокойной игры за столом </v>
      </c>
      <c r="G498" s="10" t="str">
        <f>IFERROR(__xludf.DUMMYFUNCTION("TEXTJOIN(""|"",TRUE,UNIQUE(FILTER(SPLIT(F498,"" ""),LEN(SPLIT(F498,"" ""))&gt;2)))"),"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amp;"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amp;"и|подходит|для|спокойной|игры|столом")</f>
        <v>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и|подходит|для|спокойной|игры|столом</v>
      </c>
      <c r="I498" s="6"/>
      <c r="J498" s="6"/>
    </row>
    <row r="499">
      <c r="A499" s="12" t="s">
        <v>1379</v>
      </c>
      <c r="B499" s="7" t="s">
        <v>1380</v>
      </c>
      <c r="C499" s="7" t="s">
        <v>1381</v>
      </c>
      <c r="D499" s="8">
        <v>26600.0</v>
      </c>
      <c r="E499" s="9">
        <v>16.0</v>
      </c>
      <c r="F499" s="10" t="str">
        <f>IFERROR(__xludf.DUMMYFUNCTION("LOWER(REGEXREPLACE(B499&amp;"" ""&amp;C499,""[^а-яa-z0-9 ]"","" ""))"),"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выполнят"&amp;"ь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"&amp;"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f>
        <v>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v>
      </c>
      <c r="G499" s="10" t="str">
        <f>IFERROR(__xludf.DUMMYFUNCTION("TEXTJOIN(""|"",TRUE,UNIQUE(FILTER(SPLIT(F499,"" ""),LEN(SPLIT(F499,"" ""))&gt;2)))"),"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amp;"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amp;"отку|кромки|безопасно|обработаны|спользуется|для|развития|графомоторики|зрительного|контроля|аккуратности|самостоятельности")</f>
        <v>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отку|кромки|безопасно|обработаны|спользуется|для|развития|графомоторики|зрительного|контроля|аккуратности|самостоятельности</v>
      </c>
      <c r="I499" s="6"/>
      <c r="J499" s="6"/>
    </row>
    <row r="500">
      <c r="A500" s="12" t="s">
        <v>1382</v>
      </c>
      <c r="B500" s="7" t="s">
        <v>1383</v>
      </c>
      <c r="C500" s="7" t="s">
        <v>1384</v>
      </c>
      <c r="D500" s="8">
        <v>31400.0</v>
      </c>
      <c r="E500" s="9">
        <v>5.0</v>
      </c>
      <c r="F500" s="10" t="str">
        <f>IFERROR(__xludf.DUMMYFUNCTION("LOWER(REGEXREPLACE(B500&amp;"" ""&amp;C500,""[^а-яa-z0-9 ]"","" ""))"),"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"&amp;"без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принадлежностей"&amp;"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чере"&amp;"з рисунок и схему ")</f>
        <v>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через рисунок и схему </v>
      </c>
      <c r="G500" s="10" t="str">
        <f>IFERROR(__xludf.DUMMYFUNCTION("TEXTJOIN(""|"",TRUE,UNIQUE(FILTER(SPLIT(F500,"" ""),LEN(SPLIT(F500,"" ""))&gt;2)))"),"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amp;"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amp;"|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f>
        <v>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v>
      </c>
      <c r="I500" s="6"/>
      <c r="J500" s="6"/>
    </row>
    <row r="501">
      <c r="A501" s="12" t="s">
        <v>1385</v>
      </c>
      <c r="B501" s="7" t="s">
        <v>1386</v>
      </c>
      <c r="C501" s="7" t="s">
        <v>1387</v>
      </c>
      <c r="D501" s="8">
        <v>5700.0</v>
      </c>
      <c r="E501" s="9">
        <v>10.0</v>
      </c>
      <c r="F501" s="10" t="str">
        <f>IFERROR(__xludf.DUMMYFUNCTION("LOWER(REGEXREPLACE(B501&amp;"" ""&amp;C501,""[^а-яa-z0-9 ]"","" ""))"),"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письма"&amp;"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"&amp;"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f>
        <v>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v>
      </c>
      <c r="G501" s="10" t="str">
        <f>IFERROR(__xludf.DUMMYFUNCTION("TEXTJOIN(""|"",TRUE,UNIQUE(FILTER(SPLIT(F501,"" ""),LEN(SPLIT(F501,"" ""))&gt;2)))"),"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amp;"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amp;"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f>
        <v>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v>
      </c>
      <c r="I501" s="6"/>
      <c r="J501" s="6"/>
    </row>
    <row r="502">
      <c r="A502" s="12" t="s">
        <v>1388</v>
      </c>
      <c r="B502" s="7" t="s">
        <v>1389</v>
      </c>
      <c r="C502" s="7" t="s">
        <v>1390</v>
      </c>
      <c r="D502" s="8">
        <v>68400.0</v>
      </c>
      <c r="E502" s="9">
        <v>10.0</v>
      </c>
      <c r="F502" s="10" t="str">
        <f>IFERROR(__xludf.DUMMYFUNCTION("LOWER(REGEXREPLACE(B502&amp;"" ""&amp;C502,""[^а-яa-z0-9 ]"","" ""))"),"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бл"&amp;"агоприятного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f>
        <v>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v>
      </c>
      <c r="G502" s="10" t="str">
        <f>IFERROR(__xludf.DUMMYFUNCTION("TEXTJOIN(""|"",TRUE,UNIQUE(FILTER(SPLIT(F502,"" ""),LEN(SPLIT(F502,"" ""))&gt;2)))"),"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amp;"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f>
        <v>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v>
      </c>
      <c r="I502" s="6"/>
      <c r="J502" s="6"/>
    </row>
    <row r="503">
      <c r="A503" s="12" t="s">
        <v>1391</v>
      </c>
      <c r="B503" s="7" t="s">
        <v>1392</v>
      </c>
      <c r="C503" s="7" t="s">
        <v>1393</v>
      </c>
      <c r="D503" s="8">
        <v>7300.0</v>
      </c>
      <c r="E503" s="9">
        <v>14.0</v>
      </c>
      <c r="F503" s="10" t="str">
        <f>IFERROR(__xludf.DUMMYFUNCTION("LOWER(REGEXREPLACE(B503&amp;"" ""&amp;C503,""[^а-яa-z0-9 ]"","" ""))"),"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з"&amp;"аданному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f>
        <v>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v>
      </c>
      <c r="G503" s="10" t="str">
        <f>IFERROR(__xludf.DUMMYFUNCTION("TEXTJOIN(""|"",TRUE,UNIQUE(FILTER(SPLIT(F503,"" ""),LEN(SPLIT(F503,"" ""))&gt;2)))"),"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amp;"|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f>
        <v>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v>
      </c>
      <c r="I503" s="6"/>
      <c r="J503" s="6"/>
    </row>
    <row r="504">
      <c r="A504" s="12" t="s">
        <v>1394</v>
      </c>
      <c r="B504" s="7" t="s">
        <v>1395</v>
      </c>
      <c r="C504" s="7" t="s">
        <v>1396</v>
      </c>
      <c r="D504" s="8">
        <v>8600.0</v>
      </c>
      <c r="E504" s="9">
        <v>7.0</v>
      </c>
      <c r="F504" s="10" t="str">
        <f>IFERROR(__xludf.DUMMYFUNCTION("LOWER(REGEXREPLACE(B504&amp;"" ""&amp;C504,""[^а-яa-z0-9 ]"","" ""))"),"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развити"&amp;"е         сам        нига для родителей  ")</f>
        <v>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развитие         сам        нига для родителей  </v>
      </c>
      <c r="G504" s="10" t="str">
        <f>IFERROR(__xludf.DUMMYFUNCTION("TEXTJOIN(""|"",TRUE,UNIQUE(FILTER(SPLIT(F504,"" ""),LEN(SPLIT(F504,"" ""))&gt;2)))"),"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f>
        <v>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v>
      </c>
      <c r="I504" s="6"/>
      <c r="J504" s="6"/>
    </row>
    <row r="505">
      <c r="A505" s="12" t="s">
        <v>1397</v>
      </c>
      <c r="B505" s="7" t="s">
        <v>1398</v>
      </c>
      <c r="C505" s="7" t="s">
        <v>1346</v>
      </c>
      <c r="D505" s="8">
        <v>30700.0</v>
      </c>
      <c r="E505" s="9">
        <v>1.0</v>
      </c>
      <c r="F505" s="10" t="str">
        <f>IFERROR(__xludf.DUMMYFUNCTION("LOWER(REGEXREPLACE(B505&amp;"" ""&amp;C505,""[^а-яa-z0-9 ]"","" ""))")," оя  одина    азахстан  юрта      ужикова")</f>
        <v> оя  одина    азахстан  юрта      ужикова</v>
      </c>
      <c r="G505" s="10" t="str">
        <f>IFERROR(__xludf.DUMMYFUNCTION("TEXTJOIN(""|"",TRUE,UNIQUE(FILTER(SPLIT(F505,"" ""),LEN(SPLIT(F505,"" ""))&gt;2)))"),"одина|азахстан|юрта|ужикова")</f>
        <v>одина|азахстан|юрта|ужикова</v>
      </c>
      <c r="I505" s="6"/>
      <c r="J505" s="6"/>
    </row>
    <row r="506">
      <c r="A506" s="12" t="s">
        <v>1399</v>
      </c>
      <c r="B506" s="7" t="s">
        <v>1400</v>
      </c>
      <c r="C506" s="7" t="s">
        <v>1401</v>
      </c>
      <c r="D506" s="8">
        <v>6400.0</v>
      </c>
      <c r="E506" s="9">
        <v>1.0</v>
      </c>
      <c r="F506" s="10" t="str">
        <f>IFERROR(__xludf.DUMMYFUNCTION("LOWER(REGEXREPLACE(B506&amp;"" ""&amp;C506,""[^а-яa-z0-9 ]"","" ""))"),"  ел  балалар  о ылы    лендер жина ы    лтынсарин")</f>
        <v>  ел  балалар  о ылы    лендер жина ы    лтынсарин</v>
      </c>
      <c r="G506" s="10" t="str">
        <f>IFERROR(__xludf.DUMMYFUNCTION("TEXTJOIN(""|"",TRUE,UNIQUE(FILTER(SPLIT(F506,"" ""),LEN(SPLIT(F506,"" ""))&gt;2)))"),"балалар|ылы|лендер|жина|лтынсарин")</f>
        <v>балалар|ылы|лендер|жина|лтынсарин</v>
      </c>
      <c r="I506" s="6"/>
      <c r="J506" s="6"/>
    </row>
    <row r="507">
      <c r="A507" s="12" t="s">
        <v>1402</v>
      </c>
      <c r="B507" s="7" t="s">
        <v>1403</v>
      </c>
      <c r="C507" s="7" t="s">
        <v>1404</v>
      </c>
      <c r="D507" s="8">
        <v>22800.0</v>
      </c>
      <c r="E507" s="9">
        <v>1.0</v>
      </c>
      <c r="F507" s="10" t="str">
        <f>IFERROR(__xludf.DUMMYFUNCTION("LOWER(REGEXREPLACE(B507&amp;"" ""&amp;C507,""[^а-яa-z0-9 ]"","" ""))"),"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перемещени"&amp;"ю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f>
        <v>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v>
      </c>
      <c r="G507" s="10" t="str">
        <f>IFERROR(__xludf.DUMMYFUNCTION("TEXTJOIN(""|"",TRUE,UNIQUE(FILTER(SPLIT(F507,"" ""),LEN(SPLIT(F507,"" ""))&gt;2)))"),"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amp;"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f>
        <v>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v>
      </c>
      <c r="I507" s="6"/>
      <c r="J507" s="6"/>
    </row>
    <row r="508">
      <c r="A508" s="12" t="s">
        <v>1405</v>
      </c>
      <c r="B508" s="7" t="s">
        <v>1406</v>
      </c>
      <c r="C508" s="7" t="s">
        <v>1407</v>
      </c>
      <c r="D508" s="8">
        <v>19000.0</v>
      </c>
      <c r="E508" s="9">
        <v>5.0</v>
      </c>
      <c r="F508" s="10" t="str">
        <f>IFERROR(__xludf.DUMMYFUNCTION("LOWER(REGEXREPLACE(B508&amp;"" ""&amp;C508,""[^а-яa-z0-9 ]"","" ""))"),"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f>
        <v>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v>
      </c>
      <c r="G508" s="10" t="str">
        <f>IFERROR(__xludf.DUMMYFUNCTION("TEXTJOIN(""|"",TRUE,UNIQUE(FILTER(SPLIT(F508,"" ""),LEN(SPLIT(F508,"" ""))&gt;2)))"),"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f>
        <v>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v>
      </c>
      <c r="I508" s="6"/>
      <c r="J508" s="6"/>
    </row>
    <row r="509">
      <c r="A509" s="12" t="s">
        <v>1408</v>
      </c>
      <c r="B509" s="7" t="s">
        <v>1409</v>
      </c>
      <c r="C509" s="7" t="s">
        <v>1410</v>
      </c>
      <c r="D509" s="8">
        <v>6700.0</v>
      </c>
      <c r="E509" s="9">
        <v>7.0</v>
      </c>
      <c r="F509" s="10" t="str">
        <f>IFERROR(__xludf.DUMMYFUNCTION("LOWER(REGEXREPLACE(B509&amp;"" ""&amp;C509,""[^а-яa-z0-9 ]"","" ""))"),"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"&amp;"для развития слухового восприятия  внимания  памяти и словарного запаса   рименяется под контролем взрослого в индивидуальной работе и совместном чтении ")</f>
        <v>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для развития слухового восприятия  внимания  памяти и словарного запаса   рименяется под контролем взрослого в индивидуальной работе и совместном чтении </v>
      </c>
      <c r="G509" s="10" t="str">
        <f>IFERROR(__xludf.DUMMYFUNCTION("TEXTJOIN(""|"",TRUE,UNIQUE(FILTER(SPLIT(F509,"" ""),LEN(SPLIT(F509,"" ""))&gt;2)))"),"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amp;"ятия|внимания|памяти|словарного|запаса|рименяется|под|контролем|взрослого|индивидуальной|работе|совместном|чтении")</f>
        <v>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ятия|внимания|памяти|словарного|запаса|рименяется|под|контролем|взрослого|индивидуальной|работе|совместном|чтении</v>
      </c>
      <c r="I509" s="6"/>
      <c r="J509" s="6"/>
    </row>
    <row r="510">
      <c r="A510" s="12" t="s">
        <v>1411</v>
      </c>
      <c r="B510" s="7" t="s">
        <v>1412</v>
      </c>
      <c r="C510" s="7" t="s">
        <v>1413</v>
      </c>
      <c r="D510" s="8">
        <v>159200.0</v>
      </c>
      <c r="E510" s="9">
        <v>7.0</v>
      </c>
      <c r="F510" s="10" t="str">
        <f>IFERROR(__xludf.DUMMYFUNCTION("LOWER(REGEXREPLACE(B510&amp;"" ""&amp;C510,""[^а-яa-z0-9 ]"","" ""))"),"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и"&amp;"гр   агазин     ухня     итание   способствует развитию словарного запаса и воображения ")</f>
        <v>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игр   агазин     ухня     итание   способствует развитию словарного запаса и воображения </v>
      </c>
      <c r="G510" s="10" t="str">
        <f>IFERROR(__xludf.DUMMYFUNCTION("TEXTJOIN(""|"",TRUE,UNIQUE(FILTER(SPLIT(F510,"" ""),LEN(SPLIT(F510,"" ""))&gt;2)))"),"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amp;"вует|развитию|словарного|запаса|воображения")</f>
        <v>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вует|развитию|словарного|запаса|воображения</v>
      </c>
      <c r="I510" s="6"/>
      <c r="J510" s="6"/>
    </row>
    <row r="511">
      <c r="A511" s="12" t="s">
        <v>1414</v>
      </c>
      <c r="B511" s="7" t="s">
        <v>1415</v>
      </c>
      <c r="C511" s="7" t="s">
        <v>1416</v>
      </c>
      <c r="D511" s="8">
        <v>2000.0</v>
      </c>
      <c r="E511" s="9">
        <v>3.0</v>
      </c>
      <c r="F511" s="10" t="str">
        <f>IFERROR(__xludf.DUMMYFUNCTION("LOWER(REGEXREPLACE(B511&amp;"" ""&amp;C511,""[^а-яa-z0-9 ]"","" ""))")," усорная корзина  редназначена для сбора отходов  используется в медицинском кабинете и вспомогательных помещениях ")</f>
        <v> усорная корзина  редназначена для сбора отходов  используется в медицинском кабинете и вспомогательных помещениях </v>
      </c>
      <c r="G511" s="10" t="str">
        <f>IFERROR(__xludf.DUMMYFUNCTION("TEXTJOIN(""|"",TRUE,UNIQUE(FILTER(SPLIT(F511,"" ""),LEN(SPLIT(F511,"" ""))&gt;2)))"),"усорная|корзина|редназначена|для|сбора|отходов|используется|медицинском|кабинете|вспомогательных|помещениях")</f>
        <v>усорная|корзина|редназначена|для|сбора|отходов|используется|медицинском|кабинете|вспомогательных|помещениях</v>
      </c>
      <c r="I511" s="6"/>
      <c r="J511" s="6"/>
    </row>
    <row r="512">
      <c r="A512" s="12" t="s">
        <v>1417</v>
      </c>
      <c r="B512" s="7" t="s">
        <v>1418</v>
      </c>
      <c r="C512" s="7" t="s">
        <v>1419</v>
      </c>
      <c r="D512" s="8">
        <v>17100.0</v>
      </c>
      <c r="E512" s="9">
        <v>2.0</v>
      </c>
      <c r="F512" s="10" t="str">
        <f>IFERROR(__xludf.DUMMYFUNCTION("LOWER(REGEXREPLACE(B512&amp;"" ""&amp;C512,""[^а-яa-z0-9 ]"","" ""))"),"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f>
        <v>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v>
      </c>
      <c r="G512" s="10" t="str">
        <f>IFERROR(__xludf.DUMMYFUNCTION("TEXTJOIN(""|"",TRUE,UNIQUE(FILTER(SPLIT(F512,"" ""),LEN(SPLIT(F512,"" ""))&gt;2)))"),"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f>
        <v>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v>
      </c>
      <c r="I512" s="6"/>
      <c r="J512" s="6"/>
    </row>
    <row r="513">
      <c r="A513" s="12" t="s">
        <v>1420</v>
      </c>
      <c r="B513" s="7" t="s">
        <v>1421</v>
      </c>
      <c r="C513" s="7" t="s">
        <v>1422</v>
      </c>
      <c r="D513" s="8">
        <v>9000.0</v>
      </c>
      <c r="E513" s="9">
        <v>1.0</v>
      </c>
      <c r="F513" s="10" t="str">
        <f>IFERROR(__xludf.DUMMYFUNCTION("LOWER(REGEXREPLACE(B513&amp;"" ""&amp;C513,""[^а-яa-z0-9 ]"","" ""))"),"  рагер м  балай айым   оим юным наследникам     аянбай")</f>
        <v>  рагер м  балай айым   оим юным наследникам     аянбай</v>
      </c>
      <c r="G513" s="10" t="str">
        <f>IFERROR(__xludf.DUMMYFUNCTION("TEXTJOIN(""|"",TRUE,UNIQUE(FILTER(SPLIT(F513,"" ""),LEN(SPLIT(F513,"" ""))&gt;2)))"),"рагер|балай|айым|оим|юным|наследникам|аянбай")</f>
        <v>рагер|балай|айым|оим|юным|наследникам|аянбай</v>
      </c>
      <c r="I513" s="6"/>
      <c r="J513" s="6"/>
    </row>
    <row r="514">
      <c r="A514" s="12" t="s">
        <v>1423</v>
      </c>
      <c r="B514" s="7" t="s">
        <v>1424</v>
      </c>
      <c r="C514" s="7" t="s">
        <v>1425</v>
      </c>
      <c r="D514" s="8">
        <v>7400.0</v>
      </c>
      <c r="E514" s="9">
        <v>1.0</v>
      </c>
      <c r="F514" s="10" t="str">
        <f>IFERROR(__xludf.DUMMYFUNCTION("LOWER(REGEXREPLACE(B514&amp;"" ""&amp;C514,""[^а-яa-z0-9 ]"","" ""))")," ысалдар    рылов  перевод    сылбек ")</f>
        <v> ысалдар    рылов  перевод    сылбек </v>
      </c>
      <c r="G514" s="10" t="str">
        <f>IFERROR(__xludf.DUMMYFUNCTION("TEXTJOIN(""|"",TRUE,UNIQUE(FILTER(SPLIT(F514,"" ""),LEN(SPLIT(F514,"" ""))&gt;2)))"),"ысалдар|рылов|перевод|сылбек")</f>
        <v>ысалдар|рылов|перевод|сылбек</v>
      </c>
      <c r="I514" s="6"/>
      <c r="J514" s="6"/>
    </row>
    <row r="515">
      <c r="A515" s="12" t="s">
        <v>1426</v>
      </c>
      <c r="B515" s="7" t="s">
        <v>1427</v>
      </c>
      <c r="C515" s="7" t="s">
        <v>1428</v>
      </c>
      <c r="D515" s="8">
        <v>66500.0</v>
      </c>
      <c r="E515" s="9">
        <v>6.0</v>
      </c>
      <c r="F515" s="10" t="str">
        <f>IFERROR(__xludf.DUMMYFUNCTION("LOWER(REGEXREPLACE(B515&amp;"" ""&amp;C515,""[^а-яa-z0-9 ]"","" ""))")," ягкие дизайнерские пуфики  ягкие пуфики для комфортного чтения и отдыха    гкие  безопасные  без острых углов   орма   фигурная   азмер   400 500 мм  высота 300 350 мм ")</f>
        <v> ягкие дизайнерские пуфики  ягкие пуфики для комфортного чтения и отдыха    гкие  безопасные  без острых углов   орма   фигурная   азмер   400 500 мм  высота 300 350 мм </v>
      </c>
      <c r="G515" s="10" t="str">
        <f>IFERROR(__xludf.DUMMYFUNCTION("TEXTJOIN(""|"",TRUE,UNIQUE(FILTER(SPLIT(F515,"" ""),LEN(SPLIT(F515,"" ""))&gt;2)))"),"ягкие|дизайнерские|пуфики|ягкие|пуфики|для|комфортного|чтения|отдыха|гкие|безопасные|без|острых|углов|орма|фигурная|азмер|400|500|высота|300|350")</f>
        <v>ягкие|дизайнерские|пуфики|ягкие|пуфики|для|комфортного|чтения|отдыха|гкие|безопасные|без|острых|углов|орма|фигурная|азмер|400|500|высота|300|350</v>
      </c>
      <c r="I515" s="6"/>
      <c r="J515" s="6"/>
    </row>
    <row r="516">
      <c r="A516" s="12" t="s">
        <v>1429</v>
      </c>
      <c r="B516" s="7" t="s">
        <v>1430</v>
      </c>
      <c r="C516" s="7" t="s">
        <v>1431</v>
      </c>
      <c r="D516" s="8">
        <v>15000.0</v>
      </c>
      <c r="E516" s="9">
        <v>5.0</v>
      </c>
      <c r="F516" s="10" t="str">
        <f>IFERROR(__xludf.DUMMYFUNCTION("LOWER(REGEXREPLACE(B516&amp;"" ""&amp;C516,""[^а-яa-z0-9 ]"","" ""))"),"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безопасны"&amp;"х материалов  не имеют острых элементов  подходят для ежедневного использования в условиях     ")</f>
        <v>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безопасных материалов  не имеют острых элементов  подходят для ежедневного использования в условиях     </v>
      </c>
      <c r="G516" s="10" t="str">
        <f>IFERROR(__xludf.DUMMYFUNCTION("TEXTJOIN(""|"",TRUE,UNIQUE(FILTER(SPLIT(F516,"" ""),LEN(SPLIT(F516,"" ""))&gt;2)))"),"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amp;"острых|элементов|подходят|для|ежедневного|использования|условиях")</f>
        <v>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острых|элементов|подходят|для|ежедневного|использования|условиях</v>
      </c>
      <c r="I516" s="6"/>
      <c r="J516" s="6"/>
    </row>
    <row r="517">
      <c r="A517" s="12" t="s">
        <v>1432</v>
      </c>
      <c r="B517" s="7" t="s">
        <v>1433</v>
      </c>
      <c r="C517" s="7" t="s">
        <v>1434</v>
      </c>
      <c r="D517" s="8">
        <v>66500.0</v>
      </c>
      <c r="E517" s="9">
        <v>7.0</v>
      </c>
      <c r="F517" s="10" t="str">
        <f>IFERROR(__xludf.DUMMYFUNCTION("LOWER(REGEXREPLACE(B517&amp;"" ""&amp;C517,""[^а-яa-z0-9 ]"","" ""))"),"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коорди"&amp;"нации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f>
        <v>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v>
      </c>
      <c r="G517" s="10" t="str">
        <f>IFERROR(__xludf.DUMMYFUNCTION("TEXTJOIN(""|"",TRUE,UNIQUE(FILTER(SPLIT(F517,"" ""),LEN(SPLIT(F517,"" ""))&gt;2)))"),"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amp;"актического|мышления|онструкция|выполнена|дерева|элементы|закреплены|стационарно|одходит|для|индивидуальной|игровой|деятельности")</f>
        <v>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актического|мышления|онструкция|выполнена|дерева|элементы|закреплены|стационарно|одходит|для|индивидуальной|игровой|деятельности</v>
      </c>
      <c r="I517" s="6"/>
      <c r="J517" s="6"/>
    </row>
    <row r="518">
      <c r="A518" s="12" t="s">
        <v>1435</v>
      </c>
      <c r="B518" s="7" t="s">
        <v>1436</v>
      </c>
      <c r="C518" s="7" t="s">
        <v>1437</v>
      </c>
      <c r="D518" s="8">
        <v>9500.0</v>
      </c>
      <c r="E518" s="9">
        <v>2.0</v>
      </c>
      <c r="F518" s="10" t="str">
        <f>IFERROR(__xludf.DUMMYFUNCTION("LOWER(REGEXREPLACE(B518&amp;"" ""&amp;C518,""[^а-яa-z0-9 ]"","" ""))"),"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"&amp;"активной игре и падениях ")</f>
        <v>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активной игре и падениях </v>
      </c>
      <c r="G518" s="10" t="str">
        <f>IFERROR(__xludf.DUMMYFUNCTION("TEXTJOIN(""|"",TRUE,UNIQUE(FILTER(SPLIT(F518,"" ""),LEN(SPLIT(F518,"" ""))&gt;2)))"),"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f>
        <v>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v>
      </c>
      <c r="I518" s="6"/>
      <c r="J518" s="6"/>
    </row>
    <row r="519">
      <c r="A519" s="12" t="s">
        <v>1438</v>
      </c>
      <c r="B519" s="7" t="s">
        <v>1439</v>
      </c>
      <c r="C519" s="7" t="s">
        <v>1440</v>
      </c>
      <c r="D519" s="8">
        <v>585200.0</v>
      </c>
      <c r="E519" s="9">
        <v>2.0</v>
      </c>
      <c r="F519" s="10" t="str">
        <f>IFERROR(__xludf.DUMMYFUNCTION("LOWER(REGEXREPLACE(B519&amp;"" ""&amp;C519,""[^а-яa-z0-9 ]"","" ""))"),"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сюж"&amp;"етных игр   аполнитель мягкий и упругий  поверхность износостойкая и пригодна для регулярной очистки ")</f>
        <v>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сюжетных игр   аполнитель мягкий и упругий  поверхность износостойкая и пригодна для регулярной очистки </v>
      </c>
      <c r="G519" s="10" t="str">
        <f>IFERROR(__xludf.DUMMYFUNCTION("TEXTJOIN(""|"",TRUE,UNIQUE(FILTER(SPLIT(F519,"" ""),LEN(SPLIT(F519,"" ""))&gt;2)))"),"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amp;"|мягкий|упругий|поверхность|износостойкая|пригодна|для|регулярной|очистки")</f>
        <v>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мягкий|упругий|поверхность|износостойкая|пригодна|для|регулярной|очистки</v>
      </c>
      <c r="I519" s="6"/>
      <c r="J519" s="6"/>
    </row>
    <row r="520">
      <c r="A520" s="12" t="s">
        <v>1441</v>
      </c>
      <c r="B520" s="7" t="s">
        <v>1442</v>
      </c>
      <c r="C520" s="7" t="s">
        <v>1443</v>
      </c>
      <c r="D520" s="8">
        <v>109200.0</v>
      </c>
      <c r="E520" s="9">
        <v>1.0</v>
      </c>
      <c r="F520" s="10" t="str">
        <f>IFERROR(__xludf.DUMMYFUNCTION("LOWER(REGEXREPLACE(B520&amp;"" ""&amp;C520,""[^а-яa-z0-9 ]"","" ""))")," ягкий диван для реб нка в кабинете психолога  иван divan   азмеры 500x1200x600 мм")</f>
        <v> ягкий диван для реб нка в кабинете психолога  иван divan   азмеры 500x1200x600 мм</v>
      </c>
      <c r="G520" s="10" t="str">
        <f>IFERROR(__xludf.DUMMYFUNCTION("TEXTJOIN(""|"",TRUE,UNIQUE(FILTER(SPLIT(F520,"" ""),LEN(SPLIT(F520,"" ""))&gt;2)))"),"ягкий|диван|для|реб|нка|кабинете|психолога|иван|divan|азмеры|500x1200x600")</f>
        <v>ягкий|диван|для|реб|нка|кабинете|психолога|иван|divan|азмеры|500x1200x600</v>
      </c>
      <c r="I520" s="6"/>
      <c r="J520" s="6"/>
    </row>
    <row r="521">
      <c r="A521" s="12" t="s">
        <v>1444</v>
      </c>
      <c r="B521" s="7" t="s">
        <v>1445</v>
      </c>
      <c r="C521" s="7" t="s">
        <v>1446</v>
      </c>
      <c r="D521" s="8">
        <v>756000.0</v>
      </c>
      <c r="E521" s="9">
        <v>1.0</v>
      </c>
      <c r="F521" s="10" t="str">
        <f>IFERROR(__xludf.DUMMYFUNCTION("LOWER(REGEXREPLACE(B521&amp;"" ""&amp;C521,""[^а-яa-z0-9 ]"","" ""))")," ягкий классический диван для индивидуального при ма у психолога  иван 2 местный   азмеры  129x70x71   х х   ")</f>
        <v> ягкий классический диван для индивидуального при ма у психолога  иван 2 местный   азмеры  129x70x71   х х   </v>
      </c>
      <c r="G521" s="10" t="str">
        <f>IFERROR(__xludf.DUMMYFUNCTION("TEXTJOIN(""|"",TRUE,UNIQUE(FILTER(SPLIT(F521,"" ""),LEN(SPLIT(F521,"" ""))&gt;2)))"),"ягкий|классический|диван|для|индивидуального|при|психолога|иван|местный|азмеры|129x70x71")</f>
        <v>ягкий|классический|диван|для|индивидуального|при|психолога|иван|местный|азмеры|129x70x71</v>
      </c>
      <c r="I521" s="6"/>
      <c r="J521" s="6"/>
    </row>
    <row r="522">
      <c r="A522" s="12" t="s">
        <v>1447</v>
      </c>
      <c r="B522" s="7" t="s">
        <v>1448</v>
      </c>
      <c r="C522" s="7" t="s">
        <v>1449</v>
      </c>
      <c r="D522" s="8">
        <v>9500.0</v>
      </c>
      <c r="E522" s="9">
        <v>1.0</v>
      </c>
      <c r="F522" s="10" t="str">
        <f>IFERROR(__xludf.DUMMYFUNCTION("LOWER(REGEXREPLACE(B522&amp;"" ""&amp;C522,""[^а-яa-z0-9 ]"","" ""))"),"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f>
        <v>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v>
      </c>
      <c r="G522" s="10" t="str">
        <f>IFERROR(__xludf.DUMMYFUNCTION("TEXTJOIN(""|"",TRUE,UNIQUE(FILTER(SPLIT(F522,"" ""),LEN(SPLIT(F522,"" ""))&gt;2)))"),"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f>
        <v>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v>
      </c>
      <c r="I522" s="6"/>
      <c r="J522" s="6"/>
    </row>
    <row r="523">
      <c r="A523" s="12" t="s">
        <v>1450</v>
      </c>
      <c r="B523" s="7" t="s">
        <v>1451</v>
      </c>
      <c r="C523" s="7" t="s">
        <v>1452</v>
      </c>
      <c r="D523" s="8">
        <v>45000.0</v>
      </c>
      <c r="E523" s="9">
        <v>4.0</v>
      </c>
      <c r="F523" s="10" t="str">
        <f>IFERROR(__xludf.DUMMYFUNCTION("LOWER(REGEXREPLACE(B523&amp;"" ""&amp;C523,""[^а-яa-z0-9 ]"","" ""))"),"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нескользящая"&amp;"  легко очищается и устойчива к ежедневному использованию в детских учреждениях   атериал не впитывает влагу  сохраняет форму и цвет  безопасен для детей ")</f>
        <v>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  легко очищается и устойчива к ежедневному использованию в детских учреждениях   атериал не впитывает влагу  сохраняет форму и цвет  безопасен для детей </v>
      </c>
      <c r="G523" s="10" t="str">
        <f>IFERROR(__xludf.DUMMYFUNCTION("TEXTJOIN(""|"",TRUE,UNIQUE(FILTER(SPLIT(F523,"" ""),LEN(SPLIT(F523,"" ""))&gt;2)))"),"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amp;"чива|ежедневному|использованию|детских|учреждениях|атериал|впитывает|влагу|сохраняет|форму|цвет|безопасен|для|детей")</f>
        <v>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чива|ежедневному|использованию|детских|учреждениях|атериал|впитывает|влагу|сохраняет|форму|цвет|безопасен|для|детей</v>
      </c>
      <c r="I523" s="6"/>
      <c r="J523" s="6"/>
    </row>
    <row r="524">
      <c r="A524" s="7"/>
      <c r="B524" s="7"/>
      <c r="C524" s="7" t="s">
        <v>1453</v>
      </c>
      <c r="D524" s="8">
        <v>45000.0</v>
      </c>
      <c r="E524" s="9">
        <v>100.0</v>
      </c>
      <c r="F524" s="10" t="str">
        <f>IFERROR(__xludf.DUMMYFUNCTION("LOWER(REGEXREPLACE(B524&amp;"" ""&amp;C524,""[^а-яa-z0-9 ]"","" ""))"),"  редназначен для организации игровой  развивающей и двигательной деятельности   атериал гипоаллергенный  устойчивый к износу и прост в уходе   азмер 2 5x2м")</f>
        <v>  редназначен для организации игровой  развивающей и двигательной деятельности   атериал гипоаллергенный  устойчивый к износу и прост в уходе   азмер 2 5x2м</v>
      </c>
      <c r="G524" s="10" t="str">
        <f>IFERROR(__xludf.DUMMYFUNCTION("TEXTJOIN(""|"",TRUE,UNIQUE(FILTER(SPLIT(F524,"" ""),LEN(SPLIT(F524,"" ""))&gt;2)))"),"редназначен|для|организации|игровой|развивающей|двигательной|деятельности|атериал|гипоаллергенный|устойчивый|износу|прост|уходе|азмер|5x2м")</f>
        <v>редназначен|для|организации|игровой|развивающей|двигательной|деятельности|атериал|гипоаллергенный|устойчивый|износу|прост|уходе|азмер|5x2м</v>
      </c>
      <c r="I524" s="6"/>
      <c r="J524" s="6"/>
    </row>
    <row r="525">
      <c r="A525" s="12" t="s">
        <v>1454</v>
      </c>
      <c r="B525" s="7" t="s">
        <v>1455</v>
      </c>
      <c r="C525" s="7" t="s">
        <v>1456</v>
      </c>
      <c r="D525" s="8">
        <v>20900.0</v>
      </c>
      <c r="E525" s="9">
        <v>3.0</v>
      </c>
      <c r="F525" s="10" t="str">
        <f>IFERROR(__xludf.DUMMYFUNCTION("LOWER(REGEXREPLACE(B525&amp;"" ""&amp;C525,""[^а-яa-z0-9 ]"","" ""))"),"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f>
        <v>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v>
      </c>
      <c r="G525" s="10" t="str">
        <f>IFERROR(__xludf.DUMMYFUNCTION("TEXTJOIN(""|"",TRUE,UNIQUE(FILTER(SPLIT(F525,"" ""),LEN(SPLIT(F525,"" ""))&gt;2)))"),"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f>
        <v>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v>
      </c>
      <c r="I525" s="6"/>
      <c r="J525" s="6"/>
    </row>
    <row r="526">
      <c r="A526" s="12" t="s">
        <v>1457</v>
      </c>
      <c r="B526" s="7" t="s">
        <v>1458</v>
      </c>
      <c r="C526" s="7" t="s">
        <v>1459</v>
      </c>
      <c r="D526" s="8">
        <v>20900.0</v>
      </c>
      <c r="E526" s="9">
        <v>3.0</v>
      </c>
      <c r="F526" s="10" t="str">
        <f>IFERROR(__xludf.DUMMYFUNCTION("LOWER(REGEXREPLACE(B526&amp;"" ""&amp;C526,""[^а-яa-z0-9 ]"","" ""))"),"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f>
        <v>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v>
      </c>
      <c r="G526" s="10" t="str">
        <f>IFERROR(__xludf.DUMMYFUNCTION("TEXTJOIN(""|"",TRUE,UNIQUE(FILTER(SPLIT(F526,"" ""),LEN(SPLIT(F526,"" ""))&gt;2)))"),"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f>
        <v>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v>
      </c>
      <c r="I526" s="6"/>
      <c r="J526" s="6"/>
    </row>
    <row r="527">
      <c r="A527" s="12" t="s">
        <v>1460</v>
      </c>
      <c r="B527" s="7" t="s">
        <v>1461</v>
      </c>
      <c r="C527" s="7" t="s">
        <v>1462</v>
      </c>
      <c r="D527" s="8">
        <v>2400.0</v>
      </c>
      <c r="E527" s="9">
        <v>10.0</v>
      </c>
      <c r="F527" s="10" t="str">
        <f>IFERROR(__xludf.DUMMYFUNCTION("LOWER(REGEXREPLACE(B527&amp;"" ""&amp;C527,""[^а-яa-z0-9 ]"","" ""))"),"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f>
        <v>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v>
      </c>
      <c r="G527" s="10" t="str">
        <f>IFERROR(__xludf.DUMMYFUNCTION("TEXTJOIN(""|"",TRUE,UNIQUE(FILTER(SPLIT(F527,"" ""),LEN(SPLIT(F527,"" ""))&gt;2)))"),"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f>
        <v>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v>
      </c>
      <c r="I527" s="6"/>
      <c r="J527" s="6"/>
    </row>
    <row r="528">
      <c r="A528" s="12" t="s">
        <v>1463</v>
      </c>
      <c r="B528" s="7" t="s">
        <v>1464</v>
      </c>
      <c r="C528" s="7" t="s">
        <v>1465</v>
      </c>
      <c r="D528" s="8">
        <v>342000.0</v>
      </c>
      <c r="E528" s="9">
        <v>1.0</v>
      </c>
      <c r="F528" s="10" t="str">
        <f>IFERROR(__xludf.DUMMYFUNCTION("LOWER(REGEXREPLACE(B528&amp;"" ""&amp;C528,""[^а-яa-z0-9 ]"","" ""))"),"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сп"&amp;"особствует развитию мелкой моторики  сенсомоторной координации и концентрации внимания   орпус выполнен из фанеры ")</f>
        <v>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способствует развитию мелкой моторики  сенсомоторной координации и концентрации внимания   орпус выполнен из фанеры </v>
      </c>
      <c r="G528" s="10" t="str">
        <f>IFERROR(__xludf.DUMMYFUNCTION("TEXTJOIN(""|"",TRUE,UNIQUE(FILTER(SPLIT(F528,"" ""),LEN(SPLIT(F528,"" ""))&gt;2)))"),"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amp;"мелкой|моторики|сенсомоторной|координации|концентрации|внимания|орпус|выполнен|фанеры")</f>
        <v>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мелкой|моторики|сенсомоторной|координации|концентрации|внимания|орпус|выполнен|фанеры</v>
      </c>
      <c r="I528" s="6"/>
      <c r="J528" s="6"/>
    </row>
    <row r="529">
      <c r="A529" s="12" t="s">
        <v>1466</v>
      </c>
      <c r="B529" s="7" t="s">
        <v>1467</v>
      </c>
      <c r="C529" s="7" t="s">
        <v>1468</v>
      </c>
      <c r="D529" s="8">
        <v>3200.0</v>
      </c>
      <c r="E529" s="9">
        <v>15.0</v>
      </c>
      <c r="F529" s="10" t="str">
        <f>IFERROR(__xludf.DUMMYFUNCTION("LOWER(REGEXREPLACE(B529&amp;"" ""&amp;C529,""[^а-яa-z0-9 ]"","" ""))"),"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f>
        <v>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v>
      </c>
      <c r="G529" s="10" t="str">
        <f>IFERROR(__xludf.DUMMYFUNCTION("TEXTJOIN(""|"",TRUE,UNIQUE(FILTER(SPLIT(F529,"" ""),LEN(SPLIT(F529,"" ""))&gt;2)))"),"для|метания|редназначен|для|метательных|упражнений|развития|силы|координации|моторного|контроля|спользуется|спортивных|коррекционных|занятиях")</f>
        <v>для|метания|редназначен|для|метательных|упражнений|развития|силы|координации|моторного|контроля|спользуется|спортивных|коррекционных|занятиях</v>
      </c>
      <c r="I529" s="6"/>
      <c r="J529" s="6"/>
    </row>
    <row r="530">
      <c r="A530" s="12" t="s">
        <v>1469</v>
      </c>
      <c r="B530" s="7" t="s">
        <v>1470</v>
      </c>
      <c r="C530" s="7" t="s">
        <v>1471</v>
      </c>
      <c r="D530" s="8">
        <v>3000.0</v>
      </c>
      <c r="E530" s="9">
        <v>2.0</v>
      </c>
      <c r="F530" s="10" t="str">
        <f>IFERROR(__xludf.DUMMYFUNCTION("LOWER(REGEXREPLACE(B530&amp;"" ""&amp;C530,""[^а-яa-z0-9 ]"","" ""))"),"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f>
        <v>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v>
      </c>
      <c r="G530" s="10" t="str">
        <f>IFERROR(__xludf.DUMMYFUNCTION("TEXTJOIN(""|"",TRUE,UNIQUE(FILTER(SPLIT(F530,"" ""),LEN(SPLIT(F530,"" ""))&gt;2)))"),"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f>
        <v>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v>
      </c>
      <c r="I530" s="6"/>
      <c r="J530" s="6"/>
    </row>
    <row r="531">
      <c r="A531" s="12" t="s">
        <v>1472</v>
      </c>
      <c r="B531" s="7" t="s">
        <v>1473</v>
      </c>
      <c r="C531" s="7" t="s">
        <v>1474</v>
      </c>
      <c r="D531" s="8">
        <v>3200.0</v>
      </c>
      <c r="E531" s="9">
        <v>15.0</v>
      </c>
      <c r="F531" s="10" t="str">
        <f>IFERROR(__xludf.DUMMYFUNCTION("LOWER(REGEXREPLACE(B531&amp;"" ""&amp;C531,""[^а-яa-z0-9 ]"","" ""))"),"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f>
        <v>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v>
      </c>
      <c r="G531" s="10" t="str">
        <f>IFERROR(__xludf.DUMMYFUNCTION("TEXTJOIN(""|"",TRUE,UNIQUE(FILTER(SPLIT(F531,"" ""),LEN(SPLIT(F531,"" ""))&gt;2)))"),"резиновый|ниверсальный|мяч|для|свободных|игр|физических|упражнений|спользуется|помещении|улице|сохраняет|форму|упругость|при|активной|эксплуатации")</f>
        <v>резиновый|ниверсальный|мяч|для|свободных|игр|физических|упражнений|спользуется|помещении|улице|сохраняет|форму|упругость|при|активной|эксплуатации</v>
      </c>
      <c r="I531" s="6"/>
      <c r="J531" s="6"/>
    </row>
    <row r="532">
      <c r="A532" s="12" t="s">
        <v>1475</v>
      </c>
      <c r="B532" s="7" t="s">
        <v>1476</v>
      </c>
      <c r="C532" s="7" t="s">
        <v>1477</v>
      </c>
      <c r="D532" s="8">
        <v>4800.0</v>
      </c>
      <c r="E532" s="9">
        <v>10.0</v>
      </c>
      <c r="F532" s="10" t="str">
        <f>IFERROR(__xludf.DUMMYFUNCTION("LOWER(REGEXREPLACE(B532&amp;"" ""&amp;C532,""[^а-яa-z0-9 ]"","" ""))")," яч резиновый 100 мм  яч малого диаметра для игр и упражнений на координацию и метание   добен для детской руки  хорошо отскакивает от поверхности ")</f>
        <v> яч резиновый 100 мм  яч малого диаметра для игр и упражнений на координацию и метание   добен для детской руки  хорошо отскакивает от поверхности </v>
      </c>
      <c r="G532" s="10" t="str">
        <f>IFERROR(__xludf.DUMMYFUNCTION("TEXTJOIN(""|"",TRUE,UNIQUE(FILTER(SPLIT(F532,"" ""),LEN(SPLIT(F532,"" ""))&gt;2)))"),"резиновый|100|малого|диаметра|для|игр|упражнений|координацию|метание|добен|для|детской|руки|хорошо|отскакивает|поверхности")</f>
        <v>резиновый|100|малого|диаметра|для|игр|упражнений|координацию|метание|добен|для|детской|руки|хорошо|отскакивает|поверхности</v>
      </c>
      <c r="I532" s="6"/>
      <c r="J532" s="6"/>
    </row>
    <row r="533">
      <c r="A533" s="12" t="s">
        <v>1478</v>
      </c>
      <c r="B533" s="7" t="s">
        <v>1479</v>
      </c>
      <c r="C533" s="7" t="s">
        <v>1480</v>
      </c>
      <c r="D533" s="8">
        <v>8400.0</v>
      </c>
      <c r="E533" s="9">
        <v>15.0</v>
      </c>
      <c r="F533" s="10" t="str">
        <f>IFERROR(__xludf.DUMMYFUNCTION("LOWER(REGEXREPLACE(B533&amp;"" ""&amp;C533,""[^а-яa-z0-9 ]"","" ""))"),"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f>
        <v>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v>
      </c>
      <c r="G533" s="10" t="str">
        <f>IFERROR(__xludf.DUMMYFUNCTION("TEXTJOIN(""|"",TRUE,UNIQUE(FILTER(SPLIT(F533,"" ""),LEN(SPLIT(F533,"" ""))&gt;2)))"),"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f>
        <v>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v>
      </c>
      <c r="I533" s="6"/>
      <c r="J533" s="6"/>
    </row>
    <row r="534">
      <c r="A534" s="12" t="s">
        <v>1481</v>
      </c>
      <c r="B534" s="7" t="s">
        <v>1482</v>
      </c>
      <c r="C534" s="7" t="s">
        <v>1483</v>
      </c>
      <c r="D534" s="8">
        <v>8600.0</v>
      </c>
      <c r="E534" s="9">
        <v>10.0</v>
      </c>
      <c r="F534" s="10" t="str">
        <f>IFERROR(__xludf.DUMMYFUNCTION("LOWER(REGEXREPLACE(B534&amp;"" ""&amp;C534,""[^а-яa-z0-9 ]"","" ""))"),"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f>
        <v>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v>
      </c>
      <c r="G534" s="10" t="str">
        <f>IFERROR(__xludf.DUMMYFUNCTION("TEXTJOIN(""|"",TRUE,UNIQUE(FILTER(SPLIT(F534,"" ""),LEN(SPLIT(F534,"" ""))&gt;2)))"),"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f>
        <v>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v>
      </c>
      <c r="I534" s="6"/>
      <c r="J534" s="6"/>
    </row>
    <row r="535">
      <c r="A535" s="12" t="s">
        <v>1484</v>
      </c>
      <c r="B535" s="7" t="s">
        <v>1485</v>
      </c>
      <c r="C535" s="7" t="s">
        <v>1486</v>
      </c>
      <c r="D535" s="8">
        <v>2100.0</v>
      </c>
      <c r="E535" s="9">
        <v>25.0</v>
      </c>
      <c r="F535" s="10" t="str">
        <f>IFERROR(__xludf.DUMMYFUNCTION("LOWER(REGEXREPLACE(B535&amp;"" ""&amp;C535,""[^а-яa-z0-9 ]"","" ""))"),"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f>
        <v>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v>
      </c>
      <c r="G535" s="10" t="str">
        <f>IFERROR(__xludf.DUMMYFUNCTION("TEXTJOIN(""|"",TRUE,UNIQUE(FILTER(SPLIT(F535,"" ""),LEN(SPLIT(F535,"" ""))&gt;2)))"),"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f>
        <v>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v>
      </c>
      <c r="I535" s="6"/>
      <c r="J535" s="6"/>
    </row>
    <row r="536">
      <c r="A536" s="12" t="s">
        <v>1487</v>
      </c>
      <c r="B536" s="7" t="s">
        <v>1488</v>
      </c>
      <c r="C536" s="7" t="s">
        <v>1489</v>
      </c>
      <c r="D536" s="8">
        <v>50900.0</v>
      </c>
      <c r="E536" s="9">
        <v>5.0</v>
      </c>
      <c r="F536" s="10" t="str">
        <f>IFERROR(__xludf.DUMMYFUNCTION("LOWER(REGEXREPLACE(B536&amp;"" ""&amp;C536,""[^а-яa-z0-9 ]"","" ""))"),"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f>
        <v>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v>
      </c>
      <c r="G536" s="10" t="str">
        <f>IFERROR(__xludf.DUMMYFUNCTION("TEXTJOIN(""|"",TRUE,UNIQUE(FILTER(SPLIT(F536,"" ""),LEN(SPLIT(F536,"" ""))&gt;2)))"),"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f>
        <v>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v>
      </c>
      <c r="I536" s="6"/>
      <c r="J536" s="6"/>
    </row>
    <row r="537">
      <c r="A537" s="12" t="s">
        <v>1490</v>
      </c>
      <c r="B537" s="7" t="s">
        <v>1491</v>
      </c>
      <c r="C537" s="7" t="s">
        <v>1492</v>
      </c>
      <c r="D537" s="8">
        <v>12400.0</v>
      </c>
      <c r="E537" s="9">
        <v>7.0</v>
      </c>
      <c r="F537" s="10" t="str">
        <f>IFERROR(__xludf.DUMMYFUNCTION("LOWER(REGEXREPLACE(B537&amp;"" ""&amp;C537,""[^а-яa-z0-9 ]"","" ""))"),"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цветны"&amp;"е рыбки и дополнительные игровые детали   одходит для индивидуальной и совместной деятельности детей ")</f>
        <v>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цветные рыбки и дополнительные игровые детали   одходит для индивидуальной и совместной деятельности детей </v>
      </c>
      <c r="G537" s="10" t="str">
        <f>IFERROR(__xludf.DUMMYFUNCTION("TEXTJOIN(""|"",TRUE,UNIQUE(FILTER(SPLIT(F537,"" ""),LEN(SPLIT(F537,"" ""))&gt;2)))"),"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amp;"льные|игровые|детали|одходит|для|индивидуальной|совместной|деятельности|детей")</f>
        <v>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льные|игровые|детали|одходит|для|индивидуальной|совместной|деятельности|детей</v>
      </c>
      <c r="I537" s="6"/>
      <c r="J537" s="6"/>
    </row>
    <row r="538">
      <c r="A538" s="12" t="s">
        <v>1493</v>
      </c>
      <c r="B538" s="7" t="s">
        <v>1494</v>
      </c>
      <c r="C538" s="7" t="s">
        <v>1495</v>
      </c>
      <c r="D538" s="8">
        <v>305900.0</v>
      </c>
      <c r="E538" s="9">
        <v>8.0</v>
      </c>
      <c r="F538" s="10" t="str">
        <f>IFERROR(__xludf.DUMMYFUNCTION("LOWER(REGEXREPLACE(B538&amp;"" ""&amp;C538,""[^а-яa-z0-9 ]"","" ""))"),"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f>
        <v>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v>
      </c>
      <c r="G538" s="10" t="str">
        <f>IFERROR(__xludf.DUMMYFUNCTION("TEXTJOIN(""|"",TRUE,UNIQUE(FILTER(SPLIT(F538,"" ""),LEN(SPLIT(F538,"" ""))&gt;2)))"),"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f>
        <v>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v>
      </c>
      <c r="I538" s="6"/>
      <c r="J538" s="6"/>
    </row>
    <row r="539">
      <c r="A539" s="12" t="s">
        <v>1496</v>
      </c>
      <c r="B539" s="7" t="s">
        <v>1497</v>
      </c>
      <c r="C539" s="7" t="s">
        <v>1498</v>
      </c>
      <c r="D539" s="8">
        <v>15000.0</v>
      </c>
      <c r="E539" s="9">
        <v>1.0</v>
      </c>
      <c r="F539" s="10" t="str">
        <f>IFERROR(__xludf.DUMMYFUNCTION("LOWER(REGEXREPLACE(B539&amp;"" ""&amp;C539,""[^а-яa-z0-9 ]"","" ""))")," иология    ай  р  же  л под ред      анеш  перевод  арт      ")</f>
        <v> иология    ай  р  же  л под ред      анеш  перевод  арт      </v>
      </c>
      <c r="G539" s="10" t="str">
        <f>IFERROR(__xludf.DUMMYFUNCTION("TEXTJOIN(""|"",TRUE,UNIQUE(FILTER(SPLIT(F539,"" ""),LEN(SPLIT(F539,"" ""))&gt;2)))"),"иология|под|ред|анеш|перевод|арт")</f>
        <v>иология|под|ред|анеш|перевод|арт</v>
      </c>
      <c r="I539" s="6"/>
      <c r="J539" s="6"/>
    </row>
    <row r="540">
      <c r="A540" s="12" t="s">
        <v>1499</v>
      </c>
      <c r="B540" s="7" t="s">
        <v>1500</v>
      </c>
      <c r="C540" s="7" t="s">
        <v>1501</v>
      </c>
      <c r="D540" s="8">
        <v>25700.0</v>
      </c>
      <c r="E540" s="9">
        <v>2.0</v>
      </c>
      <c r="F540" s="10" t="str">
        <f>IFERROR(__xludf.DUMMYFUNCTION("LOWER(REGEXREPLACE(B540&amp;"" ""&amp;C540,""[^а-яa-z0-9 ]"","" ""))"),"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моделей"&amp;"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"&amp;"точек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обязательн"&amp;"ым контролем специалиста ")</f>
        <v>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обязательным контролем специалиста </v>
      </c>
      <c r="G540" s="10" t="str">
        <f>IFERROR(__xludf.DUMMYFUNCTION("TEXTJOIN(""|"",TRUE,UNIQUE(FILTER(SPLIT(F540,"" ""),LEN(SPLIT(F540,"" ""))&gt;2)))"),"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amp;"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amp;"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f>
        <v>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v>
      </c>
      <c r="I540" s="6"/>
      <c r="J540" s="6"/>
    </row>
    <row r="541">
      <c r="A541" s="12" t="s">
        <v>1502</v>
      </c>
      <c r="B541" s="7" t="s">
        <v>1503</v>
      </c>
      <c r="C541" s="7" t="s">
        <v>1504</v>
      </c>
      <c r="D541" s="8">
        <v>38200.0</v>
      </c>
      <c r="E541" s="9">
        <v>7.0</v>
      </c>
      <c r="F541" s="10" t="str">
        <f>IFERROR(__xludf.DUMMYFUNCTION("LOWER(REGEXREPLACE(B541&amp;"" ""&amp;C541,""[^а-яa-z0-9 ]"","" ""))"),"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f>
        <v>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v>
      </c>
      <c r="G541" s="10" t="str">
        <f>IFERROR(__xludf.DUMMYFUNCTION("TEXTJOIN(""|"",TRUE,UNIQUE(FILTER(SPLIT(F541,"" ""),LEN(SPLIT(F541,"" ""))&gt;2)))"),"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f>
        <v>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v>
      </c>
      <c r="I541" s="6"/>
      <c r="J541" s="6"/>
    </row>
    <row r="542">
      <c r="A542" s="12" t="s">
        <v>1505</v>
      </c>
      <c r="B542" s="7" t="s">
        <v>1506</v>
      </c>
      <c r="C542" s="7" t="s">
        <v>1507</v>
      </c>
      <c r="D542" s="8">
        <v>4200.0</v>
      </c>
      <c r="E542" s="9">
        <v>5.0</v>
      </c>
      <c r="F542" s="10" t="str">
        <f>IFERROR(__xludf.DUMMYFUNCTION("LOWER(REGEXREPLACE(B542&amp;"" ""&amp;C542,""[^а-яa-z0-9 ]"","" ""))"),"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в"&amp;"озраста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f>
        <v>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v>
      </c>
      <c r="G542" s="10" t="str">
        <f>IFERROR(__xludf.DUMMYFUNCTION("TEXTJOIN(""|"",TRUE,UNIQUE(FILTER(SPLIT(F542,"" ""),LEN(SPLIT(F542,"" ""))&gt;2)))"),"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amp;"я|развития|мелкой|моторики|координации|глаз|рука|навыков|штриховки|атериал|восковая|основа|пигментами|бумажная|ртка|при|наличии|омплектация")</f>
        <v>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я|развития|мелкой|моторики|координации|глаз|рука|навыков|штриховки|атериал|восковая|основа|пигментами|бумажная|ртка|при|наличии|омплектация</v>
      </c>
      <c r="I542" s="6"/>
      <c r="J542" s="6"/>
    </row>
    <row r="543">
      <c r="A543" s="12" t="s">
        <v>1508</v>
      </c>
      <c r="B543" s="7" t="s">
        <v>1509</v>
      </c>
      <c r="C543" s="7" t="s">
        <v>1510</v>
      </c>
      <c r="D543" s="8">
        <v>15200.0</v>
      </c>
      <c r="E543" s="9">
        <v>1.0</v>
      </c>
      <c r="F543" s="10" t="str">
        <f>IFERROR(__xludf.DUMMYFUNCTION("LOWER(REGEXREPLACE(B543&amp;"" ""&amp;C543,""[^а-яa-z0-9 ]"","" ""))"),"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развивать"&amp;"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f>
        <v>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v>
      </c>
      <c r="G543" s="10" t="str">
        <f>IFERROR(__xludf.DUMMYFUNCTION("TEXTJOIN(""|"",TRUE,UNIQUE(FILTER(SPLIT(F543,"" ""),LEN(SPLIT(F543,"" ""))&gt;2)))"),"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amp;"навыки|сортировки|добный|контейнер|обеспечивает|хранение|профилактику|потери|деталей|атериал|пластик|омплектация|гайки|болты|контейнер|набору")</f>
        <v>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навыки|сортировки|добный|контейнер|обеспечивает|хранение|профилактику|потери|деталей|атериал|пластик|омплектация|гайки|болты|контейнер|набору</v>
      </c>
      <c r="I543" s="6"/>
      <c r="J543" s="6"/>
    </row>
    <row r="544">
      <c r="A544" s="12" t="s">
        <v>1511</v>
      </c>
      <c r="B544" s="7" t="s">
        <v>1512</v>
      </c>
      <c r="C544" s="7" t="s">
        <v>1513</v>
      </c>
      <c r="D544" s="8">
        <v>45800.0</v>
      </c>
      <c r="E544" s="9">
        <v>5.0</v>
      </c>
      <c r="F544" s="10" t="str">
        <f>IFERROR(__xludf.DUMMYFUNCTION("LOWER(REGEXREPLACE(B544&amp;"" ""&amp;C544,""[^а-яa-z0-9 ]"","" ""))"),"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спользуется"&amp;"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f>
        <v>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v>
      </c>
      <c r="G544" s="10" t="str">
        <f>IFERROR(__xludf.DUMMYFUNCTION("TEXTJOIN(""|"",TRUE,UNIQUE(FILTER(SPLIT(F544,"" ""),LEN(SPLIT(F544,"" ""))&gt;2)))"),"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amp;"|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f>
        <v>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v>
      </c>
      <c r="I544" s="6"/>
      <c r="J544" s="6"/>
    </row>
    <row r="545">
      <c r="A545" s="12" t="s">
        <v>1514</v>
      </c>
      <c r="B545" s="7" t="s">
        <v>1515</v>
      </c>
      <c r="C545" s="7" t="s">
        <v>1516</v>
      </c>
      <c r="D545" s="8">
        <v>6700.0</v>
      </c>
      <c r="E545" s="9">
        <v>8.0</v>
      </c>
      <c r="F545" s="10" t="str">
        <f>IFERROR(__xludf.DUMMYFUNCTION("LOWER(REGEXREPLACE(B545&amp;"" ""&amp;C545,""[^а-яa-z0-9 ]"","" ""))"),"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пок"&amp;"рытосеменные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f>
        <v>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v>
      </c>
      <c r="G545" s="10" t="str">
        <f>IFERROR(__xludf.DUMMYFUNCTION("TEXTJOIN(""|"",TRUE,UNIQUE(FILTER(SPLIT(F545,"" ""),LEN(SPLIT(F545,"" ""))&gt;2)))"),"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amp;"ь|строение|признаки|формировать|навыки|наблюдения|описания|атериал|высушенные|образцы|бумажной|основе|папках|комплекту")</f>
        <v>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ь|строение|признаки|формировать|навыки|наблюдения|описания|атериал|высушенные|образцы|бумажной|основе|папках|комплекту</v>
      </c>
      <c r="I545" s="6"/>
      <c r="J545" s="6"/>
    </row>
    <row r="546">
      <c r="A546" s="12" t="s">
        <v>1517</v>
      </c>
      <c r="B546" s="7" t="s">
        <v>1518</v>
      </c>
      <c r="C546" s="7" t="s">
        <v>1519</v>
      </c>
      <c r="D546" s="8">
        <v>8600.0</v>
      </c>
      <c r="E546" s="9">
        <v>7.0</v>
      </c>
      <c r="F546" s="10" t="str">
        <f>IFERROR(__xludf.DUMMYFUNCTION("LOWER(REGEXREPLACE(B546&amp;"" ""&amp;C546,""[^а-яa-z0-9 ]"","" ""))"),"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их"&amp;"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пом"&amp;"ещении ")</f>
        <v>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помещении </v>
      </c>
      <c r="G546" s="10" t="str">
        <f>IFERROR(__xludf.DUMMYFUNCTION("TEXTJOIN(""|"",TRUE,UNIQUE(FILTER(SPLIT(F546,"" ""),LEN(SPLIT(F546,"" ""))&gt;2)))"),"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amp;"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f>
        <v>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v>
      </c>
      <c r="I546" s="6"/>
      <c r="J546" s="6"/>
    </row>
    <row r="547">
      <c r="A547" s="12" t="s">
        <v>1520</v>
      </c>
      <c r="B547" s="7" t="s">
        <v>1521</v>
      </c>
      <c r="C547" s="7" t="s">
        <v>1522</v>
      </c>
      <c r="D547" s="8">
        <v>9900.0</v>
      </c>
      <c r="E547" s="9">
        <v>15.0</v>
      </c>
      <c r="F547" s="10" t="str">
        <f>IFERROR(__xludf.DUMMYFUNCTION("LOWER(REGEXREPLACE(B547&amp;"" ""&amp;C547,""[^а-яa-z0-9 ]"","" ""))"),"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зад"&amp;"аний по образцу  сравнения и простых операций   одходит для индивидуальной и подгрупповой работы   атериал  дерево  основа и элементы   картон  карточки  ")</f>
        <v>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заданий по образцу  сравнения и простых операций   одходит для индивидуальной и подгрупповой работы   атериал  дерево  основа и элементы   картон  карточки  </v>
      </c>
      <c r="G547" s="10" t="str">
        <f>IFERROR(__xludf.DUMMYFUNCTION("TEXTJOIN(""|"",TRUE,UNIQUE(FILTER(SPLIT(F547,"" ""),LEN(SPLIT(F547,"" ""))&gt;2)))"),"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amp;"простых|операций|одходит|для|индивидуальной|подгрупповой|работы|атериал|дерево|основа|элементы|картон|карточки")</f>
        <v>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простых|операций|одходит|для|индивидуальной|подгрупповой|работы|атериал|дерево|основа|элементы|картон|карточки</v>
      </c>
      <c r="I547" s="6"/>
      <c r="J547" s="6"/>
    </row>
    <row r="548">
      <c r="A548" s="12" t="s">
        <v>1523</v>
      </c>
      <c r="B548" s="7" t="s">
        <v>1524</v>
      </c>
      <c r="C548" s="7" t="s">
        <v>1525</v>
      </c>
      <c r="D548" s="8">
        <v>13100.0</v>
      </c>
      <c r="E548" s="9">
        <v>14.0</v>
      </c>
      <c r="F548" s="10" t="str">
        <f>IFERROR(__xludf.DUMMYFUNCTION("LOWER(REGEXREPLACE(B548&amp;"" ""&amp;C548,""[^а-яa-z0-9 ]"","" ""))"),"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за"&amp;"нятиях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f>
        <v>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v>
      </c>
      <c r="G548" s="10" t="str">
        <f>IFERROR(__xludf.DUMMYFUNCTION("TEXTJOIN(""|"",TRUE,UNIQUE(FILTER(SPLIT(F548,"" ""),LEN(SPLIT(F548,"" ""))&gt;2)))"),"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amp;"е|помогает|тренировать|аккуратность|концентрацию|атериал|дерево|омплектация|набор|предметов|черпаки|лопатки|ложки|комплекту")</f>
        <v>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е|помогает|тренировать|аккуратность|концентрацию|атериал|дерево|омплектация|набор|предметов|черпаки|лопатки|ложки|комплекту</v>
      </c>
      <c r="I548" s="6"/>
      <c r="J548" s="6"/>
    </row>
    <row r="549">
      <c r="A549" s="12" t="s">
        <v>1526</v>
      </c>
      <c r="B549" s="7" t="s">
        <v>1527</v>
      </c>
      <c r="C549" s="7" t="s">
        <v>1528</v>
      </c>
      <c r="D549" s="8">
        <v>273600.0</v>
      </c>
      <c r="E549" s="9">
        <v>7.0</v>
      </c>
      <c r="F549" s="10" t="str">
        <f>IFERROR(__xludf.DUMMYFUNCTION("LOWER(REGEXREPLACE(B549&amp;"" ""&amp;C549,""[^а-яa-z0-9 ]"","" ""))"),"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"&amp;"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f>
        <v>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v>
      </c>
      <c r="G549" s="10" t="str">
        <f>IFERROR(__xludf.DUMMYFUNCTION("TEXTJOIN(""|"",TRUE,UNIQUE(FILTER(SPLIT(F549,"" ""),LEN(SPLIT(F549,"" ""))&gt;2)))"),"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amp;"езопасны|при|использовании|детьми|атериал|дерево|защитное|покрытие|лак|или|аналогичное|безопасное|омплектация|элемента|описанию|набора")</f>
        <v>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езопасны|при|использовании|детьми|атериал|дерево|защитное|покрытие|лак|или|аналогичное|безопасное|омплектация|элемента|описанию|набора</v>
      </c>
      <c r="I549" s="6"/>
      <c r="J549" s="6"/>
    </row>
    <row r="550">
      <c r="A550" s="12" t="s">
        <v>1529</v>
      </c>
      <c r="B550" s="7" t="s">
        <v>1530</v>
      </c>
      <c r="C550" s="7" t="s">
        <v>1498</v>
      </c>
      <c r="D550" s="8">
        <v>15000.0</v>
      </c>
      <c r="E550" s="9">
        <v>1.0</v>
      </c>
      <c r="F550" s="10" t="str">
        <f>IFERROR(__xludf.DUMMYFUNCTION("LOWER(REGEXREPLACE(B550&amp;"" ""&amp;C550,""[^а-яa-z0-9 ]"","" ""))")," иология   росто и легко под ред      анеш  перевод  арт      ")</f>
        <v> иология   росто и легко под ред      анеш  перевод  арт      </v>
      </c>
      <c r="G550" s="10" t="str">
        <f>IFERROR(__xludf.DUMMYFUNCTION("TEXTJOIN(""|"",TRUE,UNIQUE(FILTER(SPLIT(F550,"" ""),LEN(SPLIT(F550,"" ""))&gt;2)))"),"иология|росто|легко|под|ред|анеш|перевод|арт")</f>
        <v>иология|росто|легко|под|ред|анеш|перевод|арт</v>
      </c>
      <c r="I550" s="6"/>
      <c r="J550" s="6"/>
    </row>
    <row r="551">
      <c r="A551" s="12" t="s">
        <v>1531</v>
      </c>
      <c r="B551" s="7" t="s">
        <v>1532</v>
      </c>
      <c r="C551" s="7" t="s">
        <v>1533</v>
      </c>
      <c r="D551" s="8">
        <v>19000.0</v>
      </c>
      <c r="E551" s="9">
        <v>1.0</v>
      </c>
      <c r="F551" s="10" t="str">
        <f>IFERROR(__xludf.DUMMYFUNCTION("LOWER(REGEXREPLACE(B551&amp;"" ""&amp;C551,""[^а-яa-z0-9 ]"","" ""))"),"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мероприятиях"&amp;"   гра на инструментах способствует развитию координации движений  слухового восприятия и эмоциональной выразительности ")</f>
        <v>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   гра на инструментах способствует развитию координации движений  слухового восприятия и эмоциональной выразительности </v>
      </c>
      <c r="G551" s="10" t="str">
        <f>IFERROR(__xludf.DUMMYFUNCTION("TEXTJOIN(""|"",TRUE,UNIQUE(FILTER(SPLIT(F551,"" ""),LEN(SPLIT(F551,"" ""))&gt;2)))"),"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amp;"ах|способствует|развитию|координации|движений|слухового|восприятия|эмоциональной|выразительности")</f>
        <v>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ах|способствует|развитию|координации|движений|слухового|восприятия|эмоциональной|выразительности</v>
      </c>
      <c r="I551" s="6"/>
      <c r="J551" s="6"/>
    </row>
    <row r="552">
      <c r="A552" s="12" t="s">
        <v>1534</v>
      </c>
      <c r="B552" s="7" t="s">
        <v>1535</v>
      </c>
      <c r="C552" s="7" t="s">
        <v>1536</v>
      </c>
      <c r="D552" s="8">
        <v>114000.0</v>
      </c>
      <c r="E552" s="9">
        <v>5.0</v>
      </c>
      <c r="F552" s="10" t="str">
        <f>IFERROR(__xludf.DUMMYFUNCTION("LOWER(REGEXREPLACE(B552&amp;"" ""&amp;C552,""[^а-яa-z0-9 ]"","" ""))"),"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деяте"&amp;"льность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f>
        <v>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v>
      </c>
      <c r="G552" s="10" t="str">
        <f>IFERROR(__xludf.DUMMYFUNCTION("TEXTJOIN(""|"",TRUE,UNIQUE(FILTER(SPLIT(F552,"" ""),LEN(SPLIT(F552,"" ""))&gt;2)))"),"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amp;"ует|развитию|слухового|восприятия|чувства|ритма|атериалы|дерево|металл|кожа|оличество|предметов|менее|предусмотрена|сумка|для|хранения")</f>
        <v>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ует|развитию|слухового|восприятия|чувства|ритма|атериалы|дерево|металл|кожа|оличество|предметов|менее|предусмотрена|сумка|для|хранения</v>
      </c>
      <c r="I552" s="6"/>
      <c r="J552" s="6"/>
    </row>
    <row r="553">
      <c r="A553" s="12" t="s">
        <v>1537</v>
      </c>
      <c r="B553" s="7" t="s">
        <v>1538</v>
      </c>
      <c r="C553" s="7" t="s">
        <v>1539</v>
      </c>
      <c r="D553" s="8">
        <v>34200.0</v>
      </c>
      <c r="E553" s="9">
        <v>14.0</v>
      </c>
      <c r="F553" s="10" t="str">
        <f>IFERROR(__xludf.DUMMYFUNCTION("LOWER(REGEXREPLACE(B553&amp;"" ""&amp;C553,""[^а-яa-z0-9 ]"","" ""))"),"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способс"&amp;"твует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f>
        <v>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v>
      </c>
      <c r="G553" s="10" t="str">
        <f>IFERROR(__xludf.DUMMYFUNCTION("TEXTJOIN(""|"",TRUE,UNIQUE(FILTER(SPLIT(F553,"" ""),LEN(SPLIT(F553,"" ""))&gt;2)))"),"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amp;"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f>
        <v>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v>
      </c>
      <c r="I553" s="6"/>
      <c r="J553" s="6"/>
    </row>
    <row r="554">
      <c r="A554" s="12" t="s">
        <v>1540</v>
      </c>
      <c r="B554" s="7" t="s">
        <v>1541</v>
      </c>
      <c r="C554" s="7" t="s">
        <v>1542</v>
      </c>
      <c r="D554" s="8">
        <v>14100.0</v>
      </c>
      <c r="E554" s="9">
        <v>5.0</v>
      </c>
      <c r="F554" s="10" t="str">
        <f>IFERROR(__xludf.DUMMYFUNCTION("LOWER(REGEXREPLACE(B554&amp;"" ""&amp;C554,""[^а-яa-z0-9 ]"","" ""))"),"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иг"&amp;"ру   добен для работы в малых группах   атериал  металл пластик  корпус ручки   по набору    омплектация  8 колокольчиков  8 тонов  ")</f>
        <v>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игру   добен для работы в малых группах   атериал  металл пластик  корпус ручки   по набору    омплектация  8 колокольчиков  8 тонов  </v>
      </c>
      <c r="G554" s="10" t="str">
        <f>IFERROR(__xludf.DUMMYFUNCTION("TEXTJOIN(""|"",TRUE,UNIQUE(FILTER(SPLIT(F554,"" ""),LEN(SPLIT(F554,"" ""))&gt;2)))"),"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amp;"алых|группах|атериал|металл|пластик|корпус|ручки|набору|омплектация|колокольчиков|тонов")</f>
        <v>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алых|группах|атериал|металл|пластик|корпус|ручки|набору|омплектация|колокольчиков|тонов</v>
      </c>
      <c r="I554" s="6"/>
      <c r="J554" s="6"/>
    </row>
    <row r="555">
      <c r="A555" s="12" t="s">
        <v>1543</v>
      </c>
      <c r="B555" s="7" t="s">
        <v>1544</v>
      </c>
      <c r="C555" s="7" t="s">
        <v>1545</v>
      </c>
      <c r="D555" s="8">
        <v>8500.0</v>
      </c>
      <c r="E555" s="9">
        <v>5.0</v>
      </c>
      <c r="F555" s="10" t="str">
        <f>IFERROR(__xludf.DUMMYFUNCTION("LOWER(REGEXREPLACE(B555&amp;"" ""&amp;C555,""[^а-яa-z0-9 ]"","" ""))"),"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д"&amp;"етей  безопасные формы  без острых кромок   атериал  пластик  основные элементы   текстиль  сумка чехол   при наличии    омплектация  15 предметов  по списку набора  ")</f>
        <v>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детей  безопасные формы  без острых кромок   атериал  пластик  основные элементы   текстиль  сумка чехол   при наличии    омплектация  15 предметов  по списку набора  </v>
      </c>
      <c r="G555" s="10" t="str">
        <f>IFERROR(__xludf.DUMMYFUNCTION("TEXTJOIN(""|"",TRUE,UNIQUE(FILTER(SPLIT(F555,"" ""),LEN(SPLIT(F555,"" ""))&gt;2)))"),"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amp;"рмы|без|острых|кромок|атериал|пластик|основные|элементы|текстиль|сумка|чехол|при|наличии|омплектация|предметов|списку|набора")</f>
        <v>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рмы|без|острых|кромок|атериал|пластик|основные|элементы|текстиль|сумка|чехол|при|наличии|омплектация|предметов|списку|набора</v>
      </c>
      <c r="I555" s="6"/>
      <c r="J555" s="6"/>
    </row>
    <row r="556">
      <c r="A556" s="12" t="s">
        <v>1546</v>
      </c>
      <c r="B556" s="7" t="s">
        <v>1547</v>
      </c>
      <c r="C556" s="7" t="s">
        <v>1548</v>
      </c>
      <c r="D556" s="8">
        <v>8600.0</v>
      </c>
      <c r="E556" s="9">
        <v>7.0</v>
      </c>
      <c r="F556" s="10" t="str">
        <f>IFERROR(__xludf.DUMMYFUNCTION("LOWER(REGEXREPLACE(B556&amp;"" ""&amp;C556,""[^а-яa-z0-9 ]"","" ""))"),"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регул"&amp;"ярной санитарной обработкой   атериал  пластик  или дерево   по комплекту  ")</f>
        <v>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регулярной санитарной обработкой   атериал  пластик  или дерево   по комплекту  </v>
      </c>
      <c r="G556" s="10" t="str">
        <f>IFERROR(__xludf.DUMMYFUNCTION("TEXTJOIN(""|"",TRUE,UNIQUE(FILTER(SPLIT(F556,"" ""),LEN(SPLIT(F556,"" ""))&gt;2)))"),"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amp;"|атериал|пластик|или|дерево|комплекту")</f>
        <v>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атериал|пластик|или|дерево|комплекту</v>
      </c>
      <c r="I556" s="6"/>
      <c r="J556" s="6"/>
    </row>
    <row r="557">
      <c r="A557" s="12" t="s">
        <v>1549</v>
      </c>
      <c r="B557" s="7" t="s">
        <v>1550</v>
      </c>
      <c r="C557" s="7" t="s">
        <v>1551</v>
      </c>
      <c r="D557" s="8">
        <v>79800.0</v>
      </c>
      <c r="E557" s="9">
        <v>15.0</v>
      </c>
      <c r="F557" s="10" t="str">
        <f>IFERROR(__xludf.DUMMYFUNCTION("LOWER(REGEXREPLACE(B557&amp;"" ""&amp;C557,""[^а-яa-z0-9 ]"","" ""))"),"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осваива"&amp;"ют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р"&amp;"азвивает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на"&amp;"личии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f>
        <v>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v>
      </c>
      <c r="G557" s="10" t="str">
        <f>IFERROR(__xludf.DUMMYFUNCTION("TEXTJOIN(""|"",TRUE,UNIQUE(FILTER(SPLIT(F557,"" ""),LEN(SPLIT(F557,"" ""))&gt;2)))"),"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amp;"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amp;"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amp;"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f>
        <v>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v>
      </c>
      <c r="I557" s="6"/>
      <c r="J557" s="6"/>
    </row>
    <row r="558">
      <c r="A558" s="12" t="s">
        <v>1552</v>
      </c>
      <c r="B558" s="7" t="s">
        <v>1553</v>
      </c>
      <c r="C558" s="7" t="s">
        <v>1554</v>
      </c>
      <c r="D558" s="8">
        <v>14700.0</v>
      </c>
      <c r="E558" s="9">
        <v>5.0</v>
      </c>
      <c r="F558" s="10" t="str">
        <f>IFERROR(__xludf.DUMMYFUNCTION("LOWER(REGEXREPLACE(B558&amp;"" ""&amp;C558,""[^а-яa-z0-9 ]"","" ""))"),"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инстру"&amp;"кции   атериал  пластик картон  элементы модели и материалы набора   по комплекту  ")</f>
        <v>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атериал  пластик картон  элементы модели и материалы набора   по комплекту  </v>
      </c>
      <c r="G558" s="10" t="str">
        <f>IFERROR(__xludf.DUMMYFUNCTION("TEXTJOIN(""|"",TRUE,UNIQUE(FILTER(SPLIT(F558,"" ""),LEN(SPLIT(F558,"" ""))&gt;2)))"),"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amp;"тик|картон|элементы|модели|материалы|набора|комплекту")</f>
        <v>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тик|картон|элементы|модели|материалы|набора|комплекту</v>
      </c>
      <c r="I558" s="6"/>
      <c r="J558" s="6"/>
    </row>
    <row r="559">
      <c r="A559" s="12" t="s">
        <v>1555</v>
      </c>
      <c r="B559" s="7" t="s">
        <v>1556</v>
      </c>
      <c r="C559" s="7" t="s">
        <v>1557</v>
      </c>
      <c r="D559" s="8">
        <v>12700.0</v>
      </c>
      <c r="E559" s="9">
        <v>14.0</v>
      </c>
      <c r="F559" s="10" t="str">
        <f>IFERROR(__xludf.DUMMYFUNCTION("LOWER(REGEXREPLACE(B559&amp;"" ""&amp;C559,""[^а-яa-z0-9 ]"","" ""))"),"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во"&amp;"ображение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обраб"&amp;"откой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f>
        <v>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v>
      </c>
      <c r="G559" s="10" t="str">
        <f>IFERROR(__xludf.DUMMYFUNCTION("TEXTJOIN(""|"",TRUE,UNIQUE(FILTER(SPLIT(F559,"" ""),LEN(SPLIT(F559,"" ""))&gt;2)))"),"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amp;"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amp;"стойчивое|активному|использованию|абор|удобен|для|хранения|транспортировки|подходит|для|индивидуальных|групповых|игр")</f>
        <v>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стойчивое|активному|использованию|абор|удобен|для|хранения|транспортировки|подходит|для|индивидуальных|групповых|игр</v>
      </c>
      <c r="I559" s="6"/>
      <c r="J559" s="6"/>
    </row>
    <row r="560">
      <c r="A560" s="12" t="s">
        <v>1558</v>
      </c>
      <c r="B560" s="7" t="s">
        <v>1559</v>
      </c>
      <c r="C560" s="7" t="s">
        <v>1560</v>
      </c>
      <c r="D560" s="8">
        <v>18200.0</v>
      </c>
      <c r="E560" s="9">
        <v>35.0</v>
      </c>
      <c r="F560" s="10" t="str">
        <f>IFERROR(__xludf.DUMMYFUNCTION("LOWER(REGEXREPLACE(B560&amp;"" ""&amp;C560,""[^а-яa-z0-9 ]"","" ""))"),"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"&amp;"формой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"&amp;"для регулярного использования в условиях     ")</f>
        <v>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для регулярного использования в условиях     </v>
      </c>
      <c r="G560" s="10" t="str">
        <f>IFERROR(__xludf.DUMMYFUNCTION("TEXTJOIN(""|"",TRUE,UNIQUE(FILTER(SPLIT(F560,"" ""),LEN(SPLIT(F560,"" ""))&gt;2)))"),"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amp;"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f>
        <v>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v>
      </c>
      <c r="I560" s="6"/>
      <c r="J560" s="6"/>
    </row>
    <row r="561">
      <c r="A561" s="12" t="s">
        <v>1561</v>
      </c>
      <c r="B561" s="7" t="s">
        <v>1562</v>
      </c>
      <c r="C561" s="7" t="s">
        <v>1563</v>
      </c>
      <c r="D561" s="8">
        <v>5200.0</v>
      </c>
      <c r="E561" s="9">
        <v>1.0</v>
      </c>
      <c r="F561" s="10" t="str">
        <f>IFERROR(__xludf.DUMMYFUNCTION("LOWER(REGEXREPLACE(B561&amp;"" ""&amp;C561,""[^а-яa-z0-9 ]"","" ""))"),"  зд   с й кт   аламыз  лматы  дерект  повесть  уреханова   ")</f>
        <v>  зд   с й кт   аламыз  лматы  дерект  повесть  уреханова   </v>
      </c>
      <c r="G561" s="10" t="str">
        <f>IFERROR(__xludf.DUMMYFUNCTION("TEXTJOIN(""|"",TRUE,UNIQUE(FILTER(SPLIT(F561,"" ""),LEN(SPLIT(F561,"" ""))&gt;2)))"),"аламыз|лматы|дерект|повесть|уреханова")</f>
        <v>аламыз|лматы|дерект|повесть|уреханова</v>
      </c>
      <c r="I561" s="6"/>
      <c r="J561" s="6"/>
    </row>
    <row r="562">
      <c r="A562" s="12" t="s">
        <v>1564</v>
      </c>
      <c r="B562" s="7" t="s">
        <v>1565</v>
      </c>
      <c r="C562" s="7" t="s">
        <v>1566</v>
      </c>
      <c r="D562" s="8">
        <v>4900.0</v>
      </c>
      <c r="E562" s="9">
        <v>5.0</v>
      </c>
      <c r="F562" s="10" t="str">
        <f>IFERROR(__xludf.DUMMYFUNCTION("LOWER(REGEXREPLACE(B562&amp;"" ""&amp;C562,""[^а-яa-z0-9 ]"","" ""))"),"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орган"&amp;"изации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f>
        <v>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v>
      </c>
      <c r="G562" s="10" t="str">
        <f>IFERROR(__xludf.DUMMYFUNCTION("TEXTJOIN(""|"",TRUE,UNIQUE(FILTER(SPLIT(F562,"" ""),LEN(SPLIT(F562,"" ""))&gt;2)))"),"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amp;"иал|изготовления|пластик|устойчивый|регулярному|применению|омплект|включает|основание|набор|колец|менее|типовой|комплектации")</f>
        <v>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иал|изготовления|пластик|устойчивый|регулярному|применению|омплект|включает|основание|набор|колец|менее|типовой|комплектации</v>
      </c>
      <c r="I562" s="6"/>
      <c r="J562" s="6"/>
    </row>
    <row r="563">
      <c r="A563" s="12" t="s">
        <v>1567</v>
      </c>
      <c r="B563" s="7" t="s">
        <v>1568</v>
      </c>
      <c r="C563" s="7" t="s">
        <v>1569</v>
      </c>
      <c r="D563" s="8">
        <v>15300.0</v>
      </c>
      <c r="E563" s="9">
        <v>5.0</v>
      </c>
      <c r="F563" s="10" t="str">
        <f>IFERROR(__xludf.DUMMYFUNCTION("LOWER(REGEXREPLACE(B563&amp;"" ""&amp;C563,""[^а-яa-z0-9 ]"","" ""))"),"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перв"&amp;"ичных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из"&amp;" прочного безопасного пластика  не имеют острых кра в и адаптированы для детских игр ")</f>
        <v>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 прочного безопасного пластика  не имеют острых кра в и адаптированы для детских игр </v>
      </c>
      <c r="G563" s="10" t="str">
        <f>IFERROR(__xludf.DUMMYFUNCTION("TEXTJOIN(""|"",TRUE,UNIQUE(FILTER(SPLIT(F563,"" ""),LEN(SPLIT(F563,"" ""))&gt;2)))"),"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amp;"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amp;"ра|адаптированы|для|детских|игр")</f>
        <v>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ра|адаптированы|для|детских|игр</v>
      </c>
      <c r="I563" s="6"/>
      <c r="J563" s="6"/>
    </row>
    <row r="564">
      <c r="A564" s="12" t="s">
        <v>1570</v>
      </c>
      <c r="B564" s="7" t="s">
        <v>1571</v>
      </c>
      <c r="C564" s="7" t="s">
        <v>1572</v>
      </c>
      <c r="D564" s="8">
        <v>9500.0</v>
      </c>
      <c r="E564" s="9">
        <v>1.0</v>
      </c>
      <c r="F564" s="10" t="str">
        <f>IFERROR(__xludf.DUMMYFUNCTION("LOWER(REGEXREPLACE(B564&amp;"" ""&amp;C564,""[^а-яa-z0-9 ]"","" ""))"),"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сре"&amp;"де   игурки выполнены из эластичного безопасного материала  удобны для детской руки и подходят для систематического использования в условиях     ")</f>
        <v>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среде   игурки выполнены из эластичного безопасного материала  удобны для детской руки и подходят для систематического использования в условиях     </v>
      </c>
      <c r="G564" s="10" t="str">
        <f>IFERROR(__xludf.DUMMYFUNCTION("TEXTJOIN(""|"",TRUE,UNIQUE(FILTER(SPLIT(F564,"" ""),LEN(SPLIT(F564,"" ""))&gt;2)))"),"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amp;"нены|эластичного|безопасного|материала|удобны|для|детской|руки|подходят|для|систематического|использования|условиях")</f>
        <v>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нены|эластичного|безопасного|материала|удобны|для|детской|руки|подходят|для|систематического|использования|условиях</v>
      </c>
      <c r="I564" s="6"/>
      <c r="J564" s="6"/>
    </row>
    <row r="565">
      <c r="A565" s="12" t="s">
        <v>1573</v>
      </c>
      <c r="B565" s="7" t="s">
        <v>1574</v>
      </c>
      <c r="C565" s="7" t="s">
        <v>1575</v>
      </c>
      <c r="D565" s="8">
        <v>5600.0</v>
      </c>
      <c r="E565" s="9">
        <v>5.0</v>
      </c>
      <c r="F565" s="10" t="str">
        <f>IFERROR(__xludf.DUMMYFUNCTION("LOWER(REGEXREPLACE(B565&amp;"" ""&amp;C565,""[^а-яa-z0-9 ]"","" ""))"),"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"&amp;"животных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f>
        <v>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v>
      </c>
      <c r="G565" s="10" t="str">
        <f>IFERROR(__xludf.DUMMYFUNCTION("TEXTJOIN(""|"",TRUE,UNIQUE(FILTER(SPLIT(F565,"" ""),LEN(SPLIT(F565,"" ""))&gt;2)))"),"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amp;"|что|делает|удобными|для|демонстрации|самостоятельной|игры|детьми|одходит|для|занятий|ознакомлению|окружающим|миром")</f>
        <v>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что|делает|удобными|для|демонстрации|самостоятельной|игры|детьми|одходит|для|занятий|ознакомлению|окружающим|миром</v>
      </c>
      <c r="I565" s="6"/>
      <c r="J565" s="6"/>
    </row>
    <row r="566">
      <c r="A566" s="12" t="s">
        <v>1576</v>
      </c>
      <c r="B566" s="7" t="s">
        <v>1577</v>
      </c>
      <c r="C566" s="7" t="s">
        <v>1578</v>
      </c>
      <c r="D566" s="8">
        <v>1900.0</v>
      </c>
      <c r="E566" s="9">
        <v>5.0</v>
      </c>
      <c r="F566" s="10" t="str">
        <f>IFERROR(__xludf.DUMMYFUNCTION("LOWER(REGEXREPLACE(B566&amp;"" ""&amp;C566,""[^а-яa-z0-9 ]"","" ""))"),"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р"&amp;"азвития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f>
        <v>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v>
      </c>
      <c r="G566" s="10" t="str">
        <f>IFERROR(__xludf.DUMMYFUNCTION("TEXTJOIN(""|"",TRUE,UNIQUE(FILTER(SPLIT(F566,"" ""),LEN(SPLIT(F566,"" ""))&gt;2)))"),"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amp;"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f>
        <v>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v>
      </c>
      <c r="I566" s="6"/>
      <c r="J566" s="6"/>
    </row>
    <row r="567">
      <c r="A567" s="12" t="s">
        <v>1579</v>
      </c>
      <c r="B567" s="7" t="s">
        <v>1580</v>
      </c>
      <c r="C567" s="7" t="s">
        <v>1581</v>
      </c>
      <c r="D567" s="8">
        <v>19800.0</v>
      </c>
      <c r="E567" s="9">
        <v>5.0</v>
      </c>
      <c r="F567" s="10" t="str">
        <f>IFERROR(__xludf.DUMMYFUNCTION("LOWER(REGEXREPLACE(B567&amp;"" ""&amp;C567,""[^а-яa-z0-9 ]"","" ""))"),"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"&amp;"индивидуально   атериал  пластик полимер  по комплекту    омплектация  6 предметов ")</f>
        <v>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индивидуально   атериал  пластик полимер  по комплекту    омплектация  6 предметов </v>
      </c>
      <c r="G567" s="10" t="str">
        <f>IFERROR(__xludf.DUMMYFUNCTION("TEXTJOIN(""|"",TRUE,UNIQUE(FILTER(SPLIT(F567,"" ""),LEN(SPLIT(F567,"" ""))&gt;2)))"),"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amp;"тик|полимер|комплекту|омплектация|предметов")</f>
        <v>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тик|полимер|комплекту|омплектация|предметов</v>
      </c>
      <c r="I567" s="6"/>
      <c r="J567" s="6"/>
    </row>
    <row r="568">
      <c r="A568" s="12" t="s">
        <v>1582</v>
      </c>
      <c r="B568" s="7" t="s">
        <v>1583</v>
      </c>
      <c r="C568" s="7" t="s">
        <v>1584</v>
      </c>
      <c r="D568" s="8">
        <v>13300.0</v>
      </c>
      <c r="E568" s="9">
        <v>6.0</v>
      </c>
      <c r="F568" s="10" t="str">
        <f>IFERROR(__xludf.DUMMYFUNCTION("LOWER(REGEXREPLACE(B568&amp;"" ""&amp;C568,""[^а-яa-z0-9 ]"","" ""))"),"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"&amp;"   атериал  дерево и пластик  по набору  ")</f>
        <v>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атериал  дерево и пластик  по набору  </v>
      </c>
      <c r="G568" s="10" t="str">
        <f>IFERROR(__xludf.DUMMYFUNCTION("TEXTJOIN(""|"",TRUE,UNIQUE(FILTER(SPLIT(F568,"" ""),LEN(SPLIT(F568,"" ""))&gt;2)))"),"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amp;"ик|набору")</f>
        <v>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ик|набору</v>
      </c>
      <c r="I568" s="6"/>
      <c r="J568" s="6"/>
    </row>
    <row r="569">
      <c r="A569" s="12" t="s">
        <v>1585</v>
      </c>
      <c r="B569" s="7" t="s">
        <v>1586</v>
      </c>
      <c r="C569" s="7" t="s">
        <v>1587</v>
      </c>
      <c r="D569" s="8">
        <v>10500.0</v>
      </c>
      <c r="E569" s="9">
        <v>7.0</v>
      </c>
      <c r="F569" s="10" t="str">
        <f>IFERROR(__xludf.DUMMYFUNCTION("LOWER(REGEXREPLACE(B569&amp;"" ""&amp;C569,""[^а-яa-z0-9 ]"","" ""))"),"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поря"&amp;"док в игровой зоне   атериал  пластик ")</f>
        <v>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порядок в игровой зоне   атериал  пластик </v>
      </c>
      <c r="G569" s="10" t="str">
        <f>IFERROR(__xludf.DUMMYFUNCTION("TEXTJOIN(""|"",TRUE,UNIQUE(FILTER(SPLIT(F569,"" ""),LEN(SPLIT(F569,"" ""))&gt;2)))"),"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amp;"ериал|пластик")</f>
        <v>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ериал|пластик</v>
      </c>
      <c r="I569" s="6"/>
      <c r="J569" s="6"/>
    </row>
    <row r="570">
      <c r="A570" s="12" t="s">
        <v>1588</v>
      </c>
      <c r="B570" s="7" t="s">
        <v>1589</v>
      </c>
      <c r="C570" s="7" t="s">
        <v>1590</v>
      </c>
      <c r="D570" s="8">
        <v>319200.0</v>
      </c>
      <c r="E570" s="9">
        <v>7.0</v>
      </c>
      <c r="F570" s="10" t="str">
        <f>IFERROR(__xludf.DUMMYFUNCTION("LOWER(REGEXREPLACE(B570&amp;"" ""&amp;C570,""[^а-яa-z0-9 ]"","" ""))"),"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устой"&amp;"чивая  элементы адаптированы для детской игры   атериал  дерево   омплектация  юрта и элементы убранства  по набору  ")</f>
        <v>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устойчивая  элементы адаптированы для детской игры   атериал  дерево   омплектация  юрта и элементы убранства  по набору  </v>
      </c>
      <c r="G570" s="10" t="str">
        <f>IFERROR(__xludf.DUMMYFUNCTION("TEXTJOIN(""|"",TRUE,UNIQUE(FILTER(SPLIT(F570,"" ""),LEN(SPLIT(F570,"" ""))&gt;2)))"),"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amp;"ованы|для|детской|игры|атериал|дерево|омплектация|юрта|элементы|убранства|набору")</f>
        <v>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ованы|для|детской|игры|атериал|дерево|омплектация|юрта|элементы|убранства|набору</v>
      </c>
      <c r="I570" s="6"/>
      <c r="J570" s="6"/>
    </row>
    <row r="571">
      <c r="A571" s="12" t="s">
        <v>1591</v>
      </c>
      <c r="B571" s="7" t="s">
        <v>1592</v>
      </c>
      <c r="C571" s="7" t="s">
        <v>1593</v>
      </c>
      <c r="D571" s="8">
        <v>23400.0</v>
      </c>
      <c r="E571" s="9">
        <v>15.0</v>
      </c>
      <c r="F571" s="10" t="str">
        <f>IFERROR(__xludf.DUMMYFUNCTION("LOWER(REGEXREPLACE(B571&amp;"" ""&amp;C571,""[^а-яa-z0-9 ]"","" ""))"),"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такж"&amp;"е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f>
        <v>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v>
      </c>
      <c r="G571" s="10" t="str">
        <f>IFERROR(__xludf.DUMMYFUNCTION("TEXTJOIN(""|"",TRUE,UNIQUE(FILTER(SPLIT(F571,"" ""),LEN(SPLIT(F571,"" ""))&gt;2)))"),"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amp;"|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f>
        <v>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v>
      </c>
      <c r="I571" s="6"/>
      <c r="J571" s="6"/>
    </row>
    <row r="572">
      <c r="A572" s="12" t="s">
        <v>1594</v>
      </c>
      <c r="B572" s="7" t="s">
        <v>1595</v>
      </c>
      <c r="C572" s="7" t="s">
        <v>1596</v>
      </c>
      <c r="D572" s="8">
        <v>89300.0</v>
      </c>
      <c r="E572" s="9">
        <v>4.0</v>
      </c>
      <c r="F572" s="10" t="str">
        <f>IFERROR(__xludf.DUMMYFUNCTION("LOWER(REGEXREPLACE(B572&amp;"" ""&amp;C572,""[^а-яa-z0-9 ]"","" ""))"),"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ам"&amp;"ортизирующим слоем и винилискожей   лина изделия составляет не менее 5 м   онструкция рассчитана на использование в помещениях ")</f>
        <v>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амортизирующим слоем и винилискожей   лина изделия составляет не менее 5 м   онструкция рассчитана на использование в помещениях </v>
      </c>
      <c r="G572" s="10" t="str">
        <f>IFERROR(__xludf.DUMMYFUNCTION("TEXTJOIN(""|"",TRUE,UNIQUE(FILTER(SPLIT(F572,"" ""),LEN(SPLIT(F572,"" ""))&gt;2)))"),"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amp;"|винилискожей|лина|изделия|составляет|менее|онструкция|рассчитана|использование|помещениях")</f>
        <v>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винилискожей|лина|изделия|составляет|менее|онструкция|рассчитана|использование|помещениях</v>
      </c>
      <c r="I572" s="6"/>
      <c r="J572" s="6"/>
    </row>
    <row r="573">
      <c r="A573" s="12" t="s">
        <v>1597</v>
      </c>
      <c r="B573" s="7" t="s">
        <v>1598</v>
      </c>
      <c r="C573" s="7" t="s">
        <v>1599</v>
      </c>
      <c r="D573" s="8">
        <v>91200.0</v>
      </c>
      <c r="E573" s="9">
        <v>7.0</v>
      </c>
      <c r="F573" s="10" t="str">
        <f>IFERROR(__xludf.DUMMYFUNCTION("LOWER(REGEXREPLACE(B573&amp;"" ""&amp;C573,""[^а-яa-z0-9 ]"","" ""))"),"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"&amp;"познавательных занятий  сюжетно ролевых игр и изучения окружающего мира ")</f>
        <v>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познавательных занятий  сюжетно ролевых игр и изучения окружающего мира </v>
      </c>
      <c r="G573" s="10" t="str">
        <f>IFERROR(__xludf.DUMMYFUNCTION("TEXTJOIN(""|"",TRUE,UNIQUE(FILTER(SPLIT(F573,"" ""),LEN(SPLIT(F573,"" ""))&gt;2)))"),"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amp;"но|ролевых|игр|изучения|окружающего|мира")</f>
        <v>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но|ролевых|игр|изучения|окружающего|мира</v>
      </c>
      <c r="I573" s="6"/>
      <c r="J573" s="6"/>
    </row>
    <row r="574">
      <c r="A574" s="12" t="s">
        <v>1600</v>
      </c>
      <c r="B574" s="7" t="s">
        <v>1601</v>
      </c>
      <c r="C574" s="7" t="s">
        <v>1602</v>
      </c>
      <c r="D574" s="8">
        <v>9500.0</v>
      </c>
      <c r="E574" s="9">
        <v>1.0</v>
      </c>
      <c r="F574" s="10" t="str">
        <f>IFERROR(__xludf.DUMMYFUNCTION("LOWER(REGEXREPLACE(B574&amp;"" ""&amp;C574,""[^а-яa-z0-9 ]"","" ""))"),"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объ"&amp;"ектов   игурки выполнены в реалистичной форме  удобны для детской руки  подходят для индивидуальной и групповой работы ")</f>
        <v>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объектов   игурки выполнены в реалистичной форме  удобны для детской руки  подходят для индивидуальной и групповой работы </v>
      </c>
      <c r="G574" s="10" t="str">
        <f>IFERROR(__xludf.DUMMYFUNCTION("TEXTJOIN(""|"",TRUE,UNIQUE(FILTER(SPLIT(F574,"" ""),LEN(SPLIT(F574,"" ""))&gt;2)))"),"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amp;"реалистичной|форме|удобны|для|детской|руки|подходят|для|индивидуальной|групповой|работы")</f>
        <v>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реалистичной|форме|удобны|для|детской|руки|подходят|для|индивидуальной|групповой|работы</v>
      </c>
      <c r="I574" s="6"/>
      <c r="J574" s="6"/>
    </row>
    <row r="575">
      <c r="A575" s="12" t="s">
        <v>1603</v>
      </c>
      <c r="B575" s="7" t="s">
        <v>1604</v>
      </c>
      <c r="C575" s="7" t="s">
        <v>1605</v>
      </c>
      <c r="D575" s="8">
        <v>23200.0</v>
      </c>
      <c r="E575" s="9">
        <v>1.0</v>
      </c>
      <c r="F575" s="10" t="str">
        <f>IFERROR(__xludf.DUMMYFUNCTION("LOWER(REGEXREPLACE(B575&amp;"" ""&amp;C575,""[^а-яa-z0-9 ]"","" ""))"),"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основ"&amp;"ные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f>
        <v>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v>
      </c>
      <c r="G575" s="10" t="str">
        <f>IFERROR(__xludf.DUMMYFUNCTION("TEXTJOIN(""|"",TRUE,UNIQUE(FILTER(SPLIT(F575,"" ""),LEN(SPLIT(F575,"" ""))&gt;2)))"),"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amp;"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f>
        <v>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v>
      </c>
      <c r="I575" s="6"/>
      <c r="J575" s="6"/>
    </row>
    <row r="576">
      <c r="A576" s="12" t="s">
        <v>1606</v>
      </c>
      <c r="B576" s="7" t="s">
        <v>1607</v>
      </c>
      <c r="C576" s="7" t="s">
        <v>1608</v>
      </c>
      <c r="D576" s="8">
        <v>7200.0</v>
      </c>
      <c r="E576" s="9">
        <v>35.0</v>
      </c>
      <c r="F576" s="10" t="str">
        <f>IFERROR(__xludf.DUMMYFUNCTION("LOWER(REGEXREPLACE(B576&amp;"" ""&amp;C576,""[^а-яa-z0-9 ]"","" ""))"),"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познавател"&amp;"ьного интереса   одходит для организации сюжетных и исследовательских игр   атериалы устойчивы к воздействию воды  легко очищаются и безопасны для детей ")</f>
        <v>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познавательного интереса   одходит для организации сюжетных и исследовательских игр   атериалы устойчивы к воздействию воды  легко очищаются и безопасны для детей </v>
      </c>
      <c r="G576" s="10" t="str">
        <f>IFERROR(__xludf.DUMMYFUNCTION("TEXTJOIN(""|"",TRUE,UNIQUE(FILTER(SPLIT(F576,"" ""),LEN(SPLIT(F576,"" ""))&gt;2)))"),"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amp;"одит|для|организации|сюжетных|исследовательских|игр|атериалы|устойчивы|воздействию|воды|легко|очищаются|безопасны|для|детей")</f>
        <v>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одит|для|организации|сюжетных|исследовательских|игр|атериалы|устойчивы|воздействию|воды|легко|очищаются|безопасны|для|детей</v>
      </c>
      <c r="I576" s="6"/>
      <c r="J576" s="6"/>
    </row>
    <row r="577">
      <c r="A577" s="12" t="s">
        <v>1609</v>
      </c>
      <c r="B577" s="7" t="s">
        <v>1610</v>
      </c>
      <c r="C577" s="7" t="s">
        <v>1611</v>
      </c>
      <c r="D577" s="8">
        <v>66500.0</v>
      </c>
      <c r="E577" s="9">
        <v>21.0</v>
      </c>
      <c r="F577" s="10" t="str">
        <f>IFERROR(__xludf.DUMMYFUNCTION("LOWER(REGEXREPLACE(B577&amp;"" ""&amp;C577,""[^а-яa-z0-9 ]"","" ""))"),"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систематическо"&amp;"го использования в предметно пространственной среде       атериалы безопасны  устойчивы к активной эксплуатации и легко поддаются санитарной обработке ")</f>
        <v>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систематического использования в предметно пространственной среде       атериалы безопасны  устойчивы к активной эксплуатации и легко поддаются санитарной обработке </v>
      </c>
      <c r="G577" s="10" t="str">
        <f>IFERROR(__xludf.DUMMYFUNCTION("TEXTJOIN(""|"",TRUE,UNIQUE(FILTER(SPLIT(F577,"" ""),LEN(SPLIT(F577,"" ""))&gt;2)))"),"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amp;"тно|пространственной|среде|атериалы|безопасны|устойчивы|активной|эксплуатации|легко|поддаются|санитарной|обработке")</f>
        <v>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тно|пространственной|среде|атериалы|безопасны|устойчивы|активной|эксплуатации|легко|поддаются|санитарной|обработке</v>
      </c>
      <c r="I577" s="6"/>
      <c r="J577" s="6"/>
    </row>
    <row r="578">
      <c r="A578" s="12" t="s">
        <v>1612</v>
      </c>
      <c r="B578" s="7" t="s">
        <v>1613</v>
      </c>
      <c r="C578" s="7" t="s">
        <v>1614</v>
      </c>
      <c r="D578" s="8">
        <v>10200.0</v>
      </c>
      <c r="E578" s="9">
        <v>5.0</v>
      </c>
      <c r="F578" s="10" t="str">
        <f>IFERROR(__xludf.DUMMYFUNCTION("LOWER(REGEXREPLACE(B578&amp;"" ""&amp;C578,""[^а-яa-z0-9 ]"","" ""))"),"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соц"&amp;"иально коммуникативных навыков   азмер изделий адаптирован для детской руки  материал эластичный и безопасный ")</f>
        <v>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социально коммуникативных навыков   азмер изделий адаптирован для детской руки  материал эластичный и безопасный </v>
      </c>
      <c r="G578" s="10" t="str">
        <f>IFERROR(__xludf.DUMMYFUNCTION("TEXTJOIN(""|"",TRUE,UNIQUE(FILTER(SPLIT(F578,"" ""),LEN(SPLIT(F578,"" ""))&gt;2)))"),"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amp;"|азмер|изделий|адаптирован|для|детской|руки|материал|эластичный|безопасный")</f>
        <v>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азмер|изделий|адаптирован|для|детской|руки|материал|эластичный|безопасный</v>
      </c>
      <c r="I578" s="6"/>
      <c r="J578" s="6"/>
    </row>
    <row r="579">
      <c r="A579" s="12" t="s">
        <v>1615</v>
      </c>
      <c r="B579" s="7" t="s">
        <v>1616</v>
      </c>
      <c r="C579" s="7" t="s">
        <v>1617</v>
      </c>
      <c r="D579" s="8">
        <v>4400.0</v>
      </c>
      <c r="E579" s="9">
        <v>5.0</v>
      </c>
      <c r="F579" s="10" t="str">
        <f>IFERROR(__xludf.DUMMYFUNCTION("LOWER(REGEXREPLACE(B579&amp;"" ""&amp;C579,""[^а-яa-z0-9 ]"","" ""))"),"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созда"&amp;"вать игровые сценарии  связанные с транспортом и городской средой   одходит для хранения в контейнере или коробе ")</f>
        <v>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создавать игровые сценарии  связанные с транспортом и городской средой   одходит для хранения в контейнере или коробе </v>
      </c>
      <c r="G579" s="10" t="str">
        <f>IFERROR(__xludf.DUMMYFUNCTION("TEXTJOIN(""|"",TRUE,UNIQUE(FILTER(SPLIT(F579,"" ""),LEN(SPLIT(F579,"" ""))&gt;2)))"),"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amp;"ии|связанные|транспортом|городской|средой|одходит|для|хранения|контейнере|или|коробе")</f>
        <v>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ии|связанные|транспортом|городской|средой|одходит|для|хранения|контейнере|или|коробе</v>
      </c>
      <c r="I579" s="6"/>
      <c r="J579" s="6"/>
    </row>
    <row r="580">
      <c r="A580" s="12" t="s">
        <v>1618</v>
      </c>
      <c r="B580" s="7" t="s">
        <v>1619</v>
      </c>
      <c r="C580" s="7" t="s">
        <v>1620</v>
      </c>
      <c r="D580" s="8">
        <v>43700.0</v>
      </c>
      <c r="E580" s="9">
        <v>1.0</v>
      </c>
      <c r="F580" s="10" t="str">
        <f>IFERROR(__xludf.DUMMYFUNCTION("LOWER(REGEXREPLACE(B580&amp;"" ""&amp;C580,""[^а-яa-z0-9 ]"","" ""))"),"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усто"&amp;"йчивую фиксацию зеркал   атериалы безопасны и подходят для использования детьми под контролем педагога ")</f>
        <v>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устойчивую фиксацию зеркал   атериалы безопасны и подходят для использования детьми под контролем педагога </v>
      </c>
      <c r="G580" s="10" t="str">
        <f>IFERROR(__xludf.DUMMYFUNCTION("TEXTJOIN(""|"",TRUE,UNIQUE(FILTER(SPLIT(F580,"" ""),LEN(SPLIT(F580,"" ""))&gt;2)))"),"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amp;"ал|атериалы|безопасны|подходят|для|использования|детьми|под|контролем|педагога")</f>
        <v>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ал|атериалы|безопасны|подходят|для|использования|детьми|под|контролем|педагога</v>
      </c>
      <c r="I580" s="6"/>
      <c r="J580" s="6"/>
    </row>
    <row r="581">
      <c r="A581" s="12" t="s">
        <v>1621</v>
      </c>
      <c r="B581" s="7" t="s">
        <v>1622</v>
      </c>
      <c r="C581" s="7" t="s">
        <v>1623</v>
      </c>
      <c r="D581" s="8">
        <v>13600.0</v>
      </c>
      <c r="E581" s="9">
        <v>5.0</v>
      </c>
      <c r="F581" s="10" t="str">
        <f>IFERROR(__xludf.DUMMYFUNCTION("LOWER(REGEXREPLACE(B581&amp;"" ""&amp;C581,""[^а-яa-z0-9 ]"","" ""))"),"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темат"&amp;"ических занятий ")</f>
        <v>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тематических занятий </v>
      </c>
      <c r="G581" s="10" t="str">
        <f>IFERROR(__xludf.DUMMYFUNCTION("TEXTJOIN(""|"",TRUE,UNIQUE(FILTER(SPLIT(F581,"" ""),LEN(SPLIT(F581,"" ""))&gt;2)))"),"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f>
        <v>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v>
      </c>
      <c r="I581" s="6"/>
      <c r="J581" s="6"/>
    </row>
    <row r="582">
      <c r="A582" s="12" t="s">
        <v>1624</v>
      </c>
      <c r="B582" s="7" t="s">
        <v>1625</v>
      </c>
      <c r="C582" s="7" t="s">
        <v>1626</v>
      </c>
      <c r="D582" s="8">
        <v>20900.0</v>
      </c>
      <c r="E582" s="9">
        <v>1.0</v>
      </c>
      <c r="F582" s="10" t="str">
        <f>IFERROR(__xludf.DUMMYFUNCTION("LOWER(REGEXREPLACE(B582&amp;"" ""&amp;C582,""[^а-яa-z0-9 ]"","" ""))"),"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испол"&amp;"ьзования в помещении ")</f>
        <v>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использования в помещении </v>
      </c>
      <c r="G582" s="10" t="str">
        <f>IFERROR(__xludf.DUMMYFUNCTION("TEXTJOIN(""|"",TRUE,UNIQUE(FILTER(SPLIT(F582,"" ""),LEN(SPLIT(F582,"" ""))&gt;2)))"),"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f>
        <v>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v>
      </c>
      <c r="I582" s="6"/>
      <c r="J582" s="6"/>
    </row>
    <row r="583">
      <c r="A583" s="12" t="s">
        <v>1627</v>
      </c>
      <c r="B583" s="7" t="s">
        <v>1628</v>
      </c>
      <c r="C583" s="7" t="s">
        <v>1629</v>
      </c>
      <c r="D583" s="8">
        <v>9500.0</v>
      </c>
      <c r="E583" s="9">
        <v>7.0</v>
      </c>
      <c r="F583" s="10" t="str">
        <f>IFERROR(__xludf.DUMMYFUNCTION("LOWER(REGEXREPLACE(B583&amp;"" ""&amp;C583,""[^а-яa-z0-9 ]"","" ""))"),"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со"&amp;"вместного чтения ")</f>
        <v>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совместного чтения </v>
      </c>
      <c r="G583" s="10" t="str">
        <f>IFERROR(__xludf.DUMMYFUNCTION("TEXTJOIN(""|"",TRUE,UNIQUE(FILTER(SPLIT(F583,"" ""),LEN(SPLIT(F583,"" ""))&gt;2)))"),"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f>
        <v>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v>
      </c>
      <c r="I583" s="6"/>
      <c r="J583" s="6"/>
    </row>
    <row r="584">
      <c r="A584" s="12" t="s">
        <v>1630</v>
      </c>
      <c r="B584" s="7" t="s">
        <v>1631</v>
      </c>
      <c r="C584" s="7" t="s">
        <v>1632</v>
      </c>
      <c r="D584" s="8">
        <v>28500.0</v>
      </c>
      <c r="E584" s="9">
        <v>1.0</v>
      </c>
      <c r="F584" s="10" t="str">
        <f>IFERROR(__xludf.DUMMYFUNCTION("LOWER(REGEXREPLACE(B584&amp;"" ""&amp;C584,""[^а-яa-z0-9 ]"","" ""))"),"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к"&amp;" износу и удобны для частого использования ")</f>
        <v>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 износу и удобны для частого использования </v>
      </c>
      <c r="G584" s="10" t="str">
        <f>IFERROR(__xludf.DUMMYFUNCTION("TEXTJOIN(""|"",TRUE,UNIQUE(FILTER(SPLIT(F584,"" ""),LEN(SPLIT(F584,"" ""))&gt;2)))"),"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amp;"ого|использования")</f>
        <v>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ого|использования</v>
      </c>
      <c r="I584" s="6"/>
      <c r="J584" s="6"/>
    </row>
    <row r="585">
      <c r="A585" s="12" t="s">
        <v>1633</v>
      </c>
      <c r="B585" s="7" t="s">
        <v>1634</v>
      </c>
      <c r="C585" s="7" t="s">
        <v>1635</v>
      </c>
      <c r="D585" s="8">
        <v>38700.0</v>
      </c>
      <c r="E585" s="9">
        <v>5.0</v>
      </c>
      <c r="F585" s="10" t="str">
        <f>IFERROR(__xludf.DUMMYFUNCTION("LOWER(REGEXREPLACE(B585&amp;"" ""&amp;C585,""[^а-яa-z0-9 ]"","" ""))"),"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f>
        <v>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v>
      </c>
      <c r="G585" s="10" t="str">
        <f>IFERROR(__xludf.DUMMYFUNCTION("TEXTJOIN(""|"",TRUE,UNIQUE(FILTER(SPLIT(F585,"" ""),LEN(SPLIT(F585,"" ""))&gt;2)))"),"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f>
        <v>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v>
      </c>
      <c r="I585" s="6"/>
      <c r="J585" s="6"/>
    </row>
    <row r="586">
      <c r="A586" s="12" t="s">
        <v>1636</v>
      </c>
      <c r="B586" s="7" t="s">
        <v>1637</v>
      </c>
      <c r="C586" s="7" t="s">
        <v>1638</v>
      </c>
      <c r="D586" s="8">
        <v>13700.0</v>
      </c>
      <c r="E586" s="9">
        <v>5.0</v>
      </c>
      <c r="F586" s="10" t="str">
        <f>IFERROR(__xludf.DUMMYFUNCTION("LOWER(REGEXREPLACE(B586&amp;"" ""&amp;C586,""[^а-яa-z0-9 ]"","" ""))"),"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правильный"&amp;" уход за растениями   орма изделий способствует формированию интереса к природе и эстетического вкуса ")</f>
        <v>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 уход за растениями   орма изделий способствует формированию интереса к природе и эстетического вкуса </v>
      </c>
      <c r="G586" s="10" t="str">
        <f>IFERROR(__xludf.DUMMYFUNCTION("TEXTJOIN(""|"",TRUE,UNIQUE(FILTER(SPLIT(F586,"" ""),LEN(SPLIT(F586,"" ""))&gt;2)))"),"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amp;"|орма|изделий|способствует|формированию|интереса|природе|эстетического|вкуса")</f>
        <v>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орма|изделий|способствует|формированию|интереса|природе|эстетического|вкуса</v>
      </c>
      <c r="I586" s="6"/>
      <c r="J586" s="6"/>
    </row>
    <row r="587">
      <c r="A587" s="12" t="s">
        <v>1639</v>
      </c>
      <c r="B587" s="7" t="s">
        <v>1640</v>
      </c>
      <c r="C587" s="7" t="s">
        <v>1641</v>
      </c>
      <c r="D587" s="8">
        <v>8300.0</v>
      </c>
      <c r="E587" s="9">
        <v>7.0</v>
      </c>
      <c r="F587" s="10" t="str">
        <f>IFERROR(__xludf.DUMMYFUNCTION("LOWER(REGEXREPLACE(B587&amp;"" ""&amp;C587,""[^а-яa-z0-9 ]"","" ""))"),"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чтени"&amp;"я и спокойной деятельности   омплект рассчитан на регулярное использование ")</f>
        <v>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чтения и спокойной деятельности   омплект рассчитан на регулярное использование </v>
      </c>
      <c r="G587" s="10" t="str">
        <f>IFERROR(__xludf.DUMMYFUNCTION("TEXTJOIN(""|"",TRUE,UNIQUE(FILTER(SPLIT(F587,"" ""),LEN(SPLIT(F587,"" ""))&gt;2)))"),"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amp;"|рассчитан|регулярное|использование")</f>
        <v>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рассчитан|регулярное|использование</v>
      </c>
      <c r="I587" s="6"/>
      <c r="J587" s="6"/>
    </row>
    <row r="588">
      <c r="A588" s="12" t="s">
        <v>1642</v>
      </c>
      <c r="B588" s="7" t="s">
        <v>1643</v>
      </c>
      <c r="C588" s="7" t="s">
        <v>1644</v>
      </c>
      <c r="D588" s="8">
        <v>7800.0</v>
      </c>
      <c r="E588" s="9">
        <v>1.0</v>
      </c>
      <c r="F588" s="10" t="str">
        <f>IFERROR(__xludf.DUMMYFUNCTION("LOWER(REGEXREPLACE(B588&amp;"" ""&amp;C588,""[^а-яa-z0-9 ]"","" ""))"),"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самостоятел"&amp;"ьного рассматривания ")</f>
        <v>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самостоятельного рассматривания </v>
      </c>
      <c r="G588" s="10" t="str">
        <f>IFERROR(__xludf.DUMMYFUNCTION("TEXTJOIN(""|"",TRUE,UNIQUE(FILTER(SPLIT(F588,"" ""),LEN(SPLIT(F588,"" ""))&gt;2)))"),"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amp;"я")</f>
        <v>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я</v>
      </c>
      <c r="I588" s="6"/>
      <c r="J588" s="6"/>
    </row>
    <row r="589">
      <c r="A589" s="12" t="s">
        <v>1645</v>
      </c>
      <c r="B589" s="7" t="s">
        <v>1646</v>
      </c>
      <c r="C589" s="7" t="s">
        <v>1647</v>
      </c>
      <c r="D589" s="8">
        <v>24900.0</v>
      </c>
      <c r="E589" s="9">
        <v>5.0</v>
      </c>
      <c r="F589" s="10" t="str">
        <f>IFERROR(__xludf.DUMMYFUNCTION("LOWER(REGEXREPLACE(B589&amp;"" ""&amp;C589,""[^а-яa-z0-9 ]"","" ""))"),"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бе"&amp;"зопасные  не сковывают движения реб нка ")</f>
        <v>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безопасные  не сковывают движения реб нка </v>
      </c>
      <c r="G589" s="10" t="str">
        <f>IFERROR(__xludf.DUMMYFUNCTION("TEXTJOIN(""|"",TRUE,UNIQUE(FILTER(SPLIT(F589,"" ""),LEN(SPLIT(F589,"" ""))&gt;2)))"),"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amp;"ения|реб|нка")</f>
        <v>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ения|реб|нка</v>
      </c>
      <c r="I589" s="6"/>
      <c r="J589" s="6"/>
    </row>
    <row r="590">
      <c r="A590" s="12" t="s">
        <v>1648</v>
      </c>
      <c r="B590" s="7" t="s">
        <v>1649</v>
      </c>
      <c r="C590" s="7" t="s">
        <v>1650</v>
      </c>
      <c r="D590" s="8">
        <v>9500.0</v>
      </c>
      <c r="E590" s="9">
        <v>2.0</v>
      </c>
      <c r="F590" s="10" t="str">
        <f>IFERROR(__xludf.DUMMYFUNCTION("LOWER(REGEXREPLACE(B590&amp;"" ""&amp;C590,""[^а-яa-z0-9 ]"","" ""))"),"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возраст"&amp;"а ")</f>
        <v>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возраста </v>
      </c>
      <c r="G590" s="10" t="str">
        <f>IFERROR(__xludf.DUMMYFUNCTION("TEXTJOIN(""|"",TRUE,UNIQUE(FILTER(SPLIT(F590,"" ""),LEN(SPLIT(F590,"" ""))&gt;2)))"),"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f>
        <v>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v>
      </c>
      <c r="I590" s="6"/>
      <c r="J590" s="6"/>
    </row>
    <row r="591">
      <c r="A591" s="12" t="s">
        <v>1651</v>
      </c>
      <c r="B591" s="7" t="s">
        <v>1652</v>
      </c>
      <c r="C591" s="7" t="s">
        <v>1653</v>
      </c>
      <c r="D591" s="8">
        <v>81300.0</v>
      </c>
      <c r="E591" s="9">
        <v>7.0</v>
      </c>
      <c r="F591" s="10" t="str">
        <f>IFERROR(__xludf.DUMMYFUNCTION("LOWER(REGEXREPLACE(B591&amp;"" ""&amp;C591,""[^а-яa-z0-9 ]"","" ""))"),"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f>
        <v>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v>
      </c>
      <c r="G591" s="10" t="str">
        <f>IFERROR(__xludf.DUMMYFUNCTION("TEXTJOIN(""|"",TRUE,UNIQUE(FILTER(SPLIT(F591,"" ""),LEN(SPLIT(F591,"" ""))&gt;2)))"),"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f>
        <v>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v>
      </c>
      <c r="I591" s="6"/>
      <c r="J591" s="6"/>
    </row>
    <row r="592">
      <c r="A592" s="12" t="s">
        <v>1654</v>
      </c>
      <c r="B592" s="7" t="s">
        <v>1655</v>
      </c>
      <c r="C592" s="7" t="s">
        <v>1656</v>
      </c>
      <c r="D592" s="8">
        <v>6500.0</v>
      </c>
      <c r="E592" s="9">
        <v>7.0</v>
      </c>
      <c r="F592" s="10" t="str">
        <f>IFERROR(__xludf.DUMMYFUNCTION("LOWER(REGEXREPLACE(B592&amp;"" ""&amp;C592,""[^а-яa-z0-9 ]"","" ""))"),"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f>
        <v>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v>
      </c>
      <c r="G592" s="10" t="str">
        <f>IFERROR(__xludf.DUMMYFUNCTION("TEXTJOIN(""|"",TRUE,UNIQUE(FILTER(SPLIT(F592,"" ""),LEN(SPLIT(F592,"" ""))&gt;2)))"),"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f>
        <v>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v>
      </c>
      <c r="I592" s="6"/>
      <c r="J592" s="6"/>
    </row>
    <row r="593">
      <c r="A593" s="12" t="s">
        <v>1657</v>
      </c>
      <c r="B593" s="7" t="s">
        <v>1658</v>
      </c>
      <c r="C593" s="7" t="s">
        <v>1659</v>
      </c>
      <c r="D593" s="8">
        <v>9700.0</v>
      </c>
      <c r="E593" s="9">
        <v>20.0</v>
      </c>
      <c r="F593" s="10" t="str">
        <f>IFERROR(__xludf.DUMMYFUNCTION("LOWER(REGEXREPLACE(B593&amp;"" ""&amp;C593,""[^а-яa-z0-9 ]"","" ""))"),"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формиров"&amp;"анию аккуратности и координации движений рук    комплект входит не менее 200 листов   лотность бумаги   не менее 80 г м    вета включают ж лтый и фиолетовый ")</f>
        <v>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формированию аккуратности и координации движений рук    комплект входит не менее 200 листов   лотность бумаги   не менее 80 г м    вета включают ж лтый и фиолетовый </v>
      </c>
      <c r="G593" s="10" t="str">
        <f>IFERROR(__xludf.DUMMYFUNCTION("TEXTJOIN(""|"",TRUE,UNIQUE(FILTER(SPLIT(F593,"" ""),LEN(SPLIT(F593,"" ""))&gt;2)))"),"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amp;"и|координации|движений|рук|комплект|входит|менее|200|листов|лотность|бумаги|менее|вета|включают|лтый|фиолетовый")</f>
        <v>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и|координации|движений|рук|комплект|входит|менее|200|листов|лотность|бумаги|менее|вета|включают|лтый|фиолетовый</v>
      </c>
      <c r="I593" s="6"/>
      <c r="J593" s="6"/>
    </row>
    <row r="594">
      <c r="A594" s="12" t="s">
        <v>1660</v>
      </c>
      <c r="B594" s="7" t="s">
        <v>1661</v>
      </c>
      <c r="C594" s="7" t="s">
        <v>1662</v>
      </c>
      <c r="D594" s="8">
        <v>9900.0</v>
      </c>
      <c r="E594" s="9">
        <v>7.0</v>
      </c>
      <c r="F594" s="10" t="str">
        <f>IFERROR(__xludf.DUMMYFUNCTION("LOWER(REGEXREPLACE(B594&amp;"" ""&amp;C594,""[^а-яa-z0-9 ]"","" ""))"),"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f>
        <v>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v>
      </c>
      <c r="G594" s="10" t="str">
        <f>IFERROR(__xludf.DUMMYFUNCTION("TEXTJOIN(""|"",TRUE,UNIQUE(FILTER(SPLIT(F594,"" ""),LEN(SPLIT(F594,"" ""))&gt;2)))"),"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f>
        <v>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v>
      </c>
      <c r="I594" s="6"/>
      <c r="J594" s="6"/>
    </row>
    <row r="595">
      <c r="A595" s="12" t="s">
        <v>1663</v>
      </c>
      <c r="B595" s="7" t="s">
        <v>1664</v>
      </c>
      <c r="C595" s="7" t="s">
        <v>1665</v>
      </c>
      <c r="D595" s="8">
        <v>3800.0</v>
      </c>
      <c r="E595" s="9">
        <v>5.0</v>
      </c>
      <c r="F595" s="10" t="str">
        <f>IFERROR(__xludf.DUMMYFUNCTION("LOWER(REGEXREPLACE(B595&amp;"" ""&amp;C595,""[^а-яa-z0-9 ]"","" ""))"),"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f>
        <v>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v>
      </c>
      <c r="G595" s="10" t="str">
        <f>IFERROR(__xludf.DUMMYFUNCTION("TEXTJOIN(""|"",TRUE,UNIQUE(FILTER(SPLIT(F595,"" ""),LEN(SPLIT(F595,"" ""))&gt;2)))"),"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f>
        <v>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v>
      </c>
      <c r="I595" s="6"/>
      <c r="J595" s="6"/>
    </row>
    <row r="596">
      <c r="A596" s="12" t="s">
        <v>1666</v>
      </c>
      <c r="B596" s="7" t="s">
        <v>1667</v>
      </c>
      <c r="C596" s="7" t="s">
        <v>1668</v>
      </c>
      <c r="D596" s="8">
        <v>49400.0</v>
      </c>
      <c r="E596" s="9">
        <v>7.0</v>
      </c>
      <c r="F596" s="10" t="str">
        <f>IFERROR(__xludf.DUMMYFUNCTION("LOWER(REGEXREPLACE(B596&amp;"" ""&amp;C596,""[^а-яa-z0-9 ]"","" ""))"),"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обеспечи"&amp;"вающих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соединение"&amp;"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хранени"&amp;"я предусмотрена упаковка контейнер не менее 1 шт   позволяющая поддерживать порядок в группе ")</f>
        <v>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хранения предусмотрена упаковка контейнер не менее 1 шт   позволяющая поддерживать порядок в группе </v>
      </c>
      <c r="G596" s="10" t="str">
        <f>IFERROR(__xludf.DUMMYFUNCTION("TEXTJOIN(""|"",TRUE,UNIQUE(FILTER(SPLIT(F596,"" ""),LEN(SPLIT(F596,"" ""))&gt;2)))"),"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amp;"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amp;"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amp;"щая|поддерживать|порядок|группе")</f>
        <v>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щая|поддерживать|порядок|группе</v>
      </c>
      <c r="I596" s="6"/>
      <c r="J596" s="6"/>
    </row>
    <row r="597">
      <c r="A597" s="12" t="s">
        <v>1669</v>
      </c>
      <c r="B597" s="7" t="s">
        <v>1670</v>
      </c>
      <c r="C597" s="7" t="s">
        <v>1671</v>
      </c>
      <c r="D597" s="8">
        <v>47700.0</v>
      </c>
      <c r="E597" s="9">
        <v>1.0</v>
      </c>
      <c r="F597" s="10" t="str">
        <f>IFERROR(__xludf.DUMMYFUNCTION("LOWER(REGEXREPLACE(B597&amp;"" ""&amp;C597,""[^а-яa-z0-9 ]"","" ""))"),"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вы"&amp;"сотой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договариваютс"&amp;"я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в"&amp;" коробке контейнере  пригодном для регулярной санитарной обработки ")</f>
        <v>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 коробке контейнере  пригодном для регулярной санитарной обработки </v>
      </c>
      <c r="G597" s="10" t="str">
        <f>IFERROR(__xludf.DUMMYFUNCTION("TEXTJOIN(""|"",TRUE,UNIQUE(FILTER(SPLIT(F597,"" ""),LEN(SPLIT(F597,"" ""))&gt;2)))"),"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amp;"|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amp;"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f>
        <v>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v>
      </c>
      <c r="I597" s="6"/>
      <c r="J597" s="6"/>
    </row>
    <row r="598">
      <c r="A598" s="12" t="s">
        <v>1672</v>
      </c>
      <c r="B598" s="7" t="s">
        <v>1673</v>
      </c>
      <c r="C598" s="7" t="s">
        <v>1674</v>
      </c>
      <c r="D598" s="8">
        <v>4800.0</v>
      </c>
      <c r="E598" s="9">
        <v>5.0</v>
      </c>
      <c r="F598" s="10" t="str">
        <f>IFERROR(__xludf.DUMMYFUNCTION("LOWER(REGEXREPLACE(B598&amp;"" ""&amp;C598,""[^а-яa-z0-9 ]"","" ""))"),"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д"&amp;"ля демонстрации и самостоятельной игры детьми ")</f>
        <v>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для демонстрации и самостоятельной игры детьми </v>
      </c>
      <c r="G598" s="10" t="str">
        <f>IFERROR(__xludf.DUMMYFUNCTION("TEXTJOIN(""|"",TRUE,UNIQUE(FILTER(SPLIT(F598,"" ""),LEN(SPLIT(F598,"" ""))&gt;2)))"),"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amp;"самостоятельной|игры|детьми")</f>
        <v>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самостоятельной|игры|детьми</v>
      </c>
      <c r="I598" s="6"/>
      <c r="J598" s="6"/>
    </row>
    <row r="599">
      <c r="A599" s="12" t="s">
        <v>1675</v>
      </c>
      <c r="B599" s="7" t="s">
        <v>1676</v>
      </c>
      <c r="C599" s="7" t="s">
        <v>1677</v>
      </c>
      <c r="D599" s="8">
        <v>4500.0</v>
      </c>
      <c r="E599" s="9">
        <v>4.0</v>
      </c>
      <c r="F599" s="10" t="str">
        <f>IFERROR(__xludf.DUMMYFUNCTION("LOWER(REGEXREPLACE(B599&amp;"" ""&amp;C599,""[^а-яa-z0-9 ]"","" ""))"),"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высо"&amp;"той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пер"&amp;"сонажей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обсуждат"&amp;"ь поведение и чувства через персонажей ")</f>
        <v>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обсуждать поведение и чувства через персонажей </v>
      </c>
      <c r="G599" s="10" t="str">
        <f>IFERROR(__xludf.DUMMYFUNCTION("TEXTJOIN(""|"",TRUE,UNIQUE(FILTER(SPLIT(F599,"" ""),LEN(SPLIT(F599,"" ""))&gt;2)))"),"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amp;"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amp;"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f>
        <v>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v>
      </c>
      <c r="I599" s="6"/>
      <c r="J599" s="6"/>
    </row>
    <row r="600">
      <c r="A600" s="12" t="s">
        <v>1678</v>
      </c>
      <c r="B600" s="7" t="s">
        <v>1679</v>
      </c>
      <c r="C600" s="7" t="s">
        <v>1680</v>
      </c>
      <c r="D600" s="8">
        <v>34200.0</v>
      </c>
      <c r="E600" s="9">
        <v>1.0</v>
      </c>
      <c r="F600" s="10" t="str">
        <f>IFERROR(__xludf.DUMMYFUNCTION("LOWER(REGEXREPLACE(B600&amp;"" ""&amp;C600,""[^а-яa-z0-9 ]"","" ""))"),"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фигурок"&amp;"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хр"&amp;"анения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пам"&amp;"ять  найди пару  назови по описанию  разложи по группам  ")</f>
        <v>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память  найди пару  назови по описанию  разложи по группам  </v>
      </c>
      <c r="G600" s="10" t="str">
        <f>IFERROR(__xludf.DUMMYFUNCTION("TEXTJOIN(""|"",TRUE,UNIQUE(FILTER(SPLIT(F600,"" ""),LEN(SPLIT(F600,"" ""))&gt;2)))"),"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amp;"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amp;"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f>
        <v>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v>
      </c>
      <c r="I600" s="6"/>
      <c r="J600" s="6"/>
    </row>
    <row r="601">
      <c r="A601" s="12" t="s">
        <v>1681</v>
      </c>
      <c r="B601" s="7" t="s">
        <v>1682</v>
      </c>
      <c r="C601" s="7" t="s">
        <v>1683</v>
      </c>
      <c r="D601" s="8">
        <v>14300.0</v>
      </c>
      <c r="E601" s="9">
        <v>5.0</v>
      </c>
      <c r="F601" s="10" t="str">
        <f>IFERROR(__xludf.DUMMYFUNCTION("LOWER(REGEXREPLACE(B601&amp;"" ""&amp;C601,""[^а-яa-z0-9 ]"","" ""))"),"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п"&amp;"ожарный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ролевых"&amp;"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дл"&amp;"я дидактических заданий   кто что делает    кому что нужно    что лишнее   что развивает логическое мышление и внимание ")</f>
        <v>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для дидактических заданий   кто что делает    кому что нужно    что лишнее   что развивает логическое мышление и внимание </v>
      </c>
      <c r="G601" s="10" t="str">
        <f>IFERROR(__xludf.DUMMYFUNCTION("TEXTJOIN(""|"",TRUE,UNIQUE(FILTER(SPLIT(F601,"" ""),LEN(SPLIT(F601,"" ""))&gt;2)))"),"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amp;"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amp;"|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amp;"е|внимание")</f>
        <v>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е|внимание</v>
      </c>
      <c r="I601" s="6"/>
      <c r="J601" s="6"/>
    </row>
    <row r="602">
      <c r="A602" s="12" t="s">
        <v>1684</v>
      </c>
      <c r="B602" s="7" t="s">
        <v>1685</v>
      </c>
      <c r="C602" s="7" t="s">
        <v>1686</v>
      </c>
      <c r="D602" s="8">
        <v>4900.0</v>
      </c>
      <c r="E602" s="9">
        <v>5.0</v>
      </c>
      <c r="F602" s="10" t="str">
        <f>IFERROR(__xludf.DUMMYFUNCTION("LOWER(REGEXREPLACE(B602&amp;"" ""&amp;C602,""[^а-яa-z0-9 ]"","" ""))"),"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f>
        <v>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v>
      </c>
      <c r="G602" s="10" t="str">
        <f>IFERROR(__xludf.DUMMYFUNCTION("TEXTJOIN(""|"",TRUE,UNIQUE(FILTER(SPLIT(F602,"" ""),LEN(SPLIT(F602,"" ""))&gt;2)))"),"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f>
        <v>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v>
      </c>
      <c r="I602" s="6"/>
      <c r="J602" s="6"/>
    </row>
    <row r="603">
      <c r="A603" s="12" t="s">
        <v>1687</v>
      </c>
      <c r="B603" s="7" t="s">
        <v>1688</v>
      </c>
      <c r="C603" s="7" t="s">
        <v>1689</v>
      </c>
      <c r="D603" s="8">
        <v>63200.0</v>
      </c>
      <c r="E603" s="9">
        <v>4.0</v>
      </c>
      <c r="F603" s="10" t="str">
        <f>IFERROR(__xludf.DUMMYFUNCTION("LOWER(REGEXREPLACE(B603&amp;"" ""&amp;C603,""[^а-яa-z0-9 ]"","" ""))"),"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метате"&amp;"льных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игр"&amp;"овую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пра"&amp;"вил игры ")</f>
        <v>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правил игры </v>
      </c>
      <c r="G603" s="10" t="str">
        <f>IFERROR(__xludf.DUMMYFUNCTION("TEXTJOIN(""|"",TRUE,UNIQUE(FILTER(SPLIT(F603,"" ""),LEN(SPLIT(F603,"" ""))&gt;2)))"),"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amp;"|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amp;"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f>
        <v>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v>
      </c>
      <c r="I603" s="6"/>
      <c r="J603" s="6"/>
    </row>
    <row r="604">
      <c r="A604" s="12" t="s">
        <v>1690</v>
      </c>
      <c r="B604" s="7" t="s">
        <v>1691</v>
      </c>
      <c r="C604" s="7" t="s">
        <v>1692</v>
      </c>
      <c r="D604" s="8">
        <v>1800.0</v>
      </c>
      <c r="E604" s="9">
        <v>25.0</v>
      </c>
      <c r="F604" s="10" t="str">
        <f>IFERROR(__xludf.DUMMYFUNCTION("LOWER(REGEXREPLACE(B604&amp;"" ""&amp;C604,""[^а-яa-z0-9 ]"","" ""))"),"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оставля"&amp;"ется в формате  4 в виде набора листов ")</f>
        <v>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оставляется в формате  4 в виде набора листов </v>
      </c>
      <c r="G604" s="10" t="str">
        <f>IFERROR(__xludf.DUMMYFUNCTION("TEXTJOIN(""|"",TRUE,UNIQUE(FILTER(SPLIT(F604,"" ""),LEN(SPLIT(F604,"" ""))&gt;2)))"),"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amp;"абора|листов")</f>
        <v>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абора|листов</v>
      </c>
      <c r="I604" s="6"/>
      <c r="J604" s="6"/>
    </row>
    <row r="605">
      <c r="A605" s="12" t="s">
        <v>1693</v>
      </c>
      <c r="B605" s="7" t="s">
        <v>1694</v>
      </c>
      <c r="C605" s="7" t="s">
        <v>1695</v>
      </c>
      <c r="D605" s="8">
        <v>39900.0</v>
      </c>
      <c r="E605" s="9">
        <v>5.0</v>
      </c>
      <c r="F605" s="10" t="str">
        <f>IFERROR(__xludf.DUMMYFUNCTION("LOWER(REGEXREPLACE(B605&amp;"" ""&amp;C605,""[^а-яa-z0-9 ]"","" ""))"),"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вн"&amp;"е группы ")</f>
        <v>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вне группы </v>
      </c>
      <c r="G605" s="10" t="str">
        <f>IFERROR(__xludf.DUMMYFUNCTION("TEXTJOIN(""|"",TRUE,UNIQUE(FILTER(SPLIT(F605,"" ""),LEN(SPLIT(F605,"" ""))&gt;2)))"),"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f>
        <v>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v>
      </c>
      <c r="I605" s="6"/>
      <c r="J605" s="6"/>
    </row>
    <row r="606">
      <c r="A606" s="12" t="s">
        <v>1696</v>
      </c>
      <c r="B606" s="7" t="s">
        <v>1697</v>
      </c>
      <c r="C606" s="7" t="s">
        <v>1698</v>
      </c>
      <c r="D606" s="8">
        <v>19000.0</v>
      </c>
      <c r="E606" s="9">
        <v>5.0</v>
      </c>
      <c r="F606" s="10" t="str">
        <f>IFERROR(__xludf.DUMMYFUNCTION("LOWER(REGEXREPLACE(B606&amp;"" ""&amp;C606,""[^а-яa-z0-9 ]"","" ""))"),"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f>
        <v>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v>
      </c>
      <c r="G606" s="10" t="str">
        <f>IFERROR(__xludf.DUMMYFUNCTION("TEXTJOIN(""|"",TRUE,UNIQUE(FILTER(SPLIT(F606,"" ""),LEN(SPLIT(F606,"" ""))&gt;2)))"),"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f>
        <v>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v>
      </c>
      <c r="I606" s="6"/>
      <c r="J606" s="6"/>
    </row>
    <row r="607">
      <c r="A607" s="12" t="s">
        <v>1699</v>
      </c>
      <c r="B607" s="7" t="s">
        <v>1700</v>
      </c>
      <c r="C607" s="7" t="s">
        <v>1701</v>
      </c>
      <c r="D607" s="8">
        <v>34000.0</v>
      </c>
      <c r="E607" s="9">
        <v>10.0</v>
      </c>
      <c r="F607" s="10" t="str">
        <f>IFERROR(__xludf.DUMMYFUNCTION("LOWER(REGEXREPLACE(B607&amp;"" ""&amp;C607,""[^а-яa-z0-9 ]"","" ""))"),"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f>
        <v>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v>
      </c>
      <c r="G607" s="10" t="str">
        <f>IFERROR(__xludf.DUMMYFUNCTION("TEXTJOIN(""|"",TRUE,UNIQUE(FILTER(SPLIT(F607,"" ""),LEN(SPLIT(F607,"" ""))&gt;2)))"),"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f>
        <v>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v>
      </c>
      <c r="I607" s="6"/>
      <c r="J607" s="6"/>
    </row>
    <row r="608">
      <c r="A608" s="12" t="s">
        <v>1702</v>
      </c>
      <c r="B608" s="7" t="s">
        <v>1703</v>
      </c>
      <c r="C608" s="7" t="s">
        <v>1704</v>
      </c>
      <c r="D608" s="8">
        <v>11400.0</v>
      </c>
      <c r="E608" s="9">
        <v>1.0</v>
      </c>
      <c r="F608" s="10" t="str">
        <f>IFERROR(__xludf.DUMMYFUNCTION("LOWER(REGEXREPLACE(B608&amp;"" ""&amp;C608,""[^а-яa-z0-9 ]"","" ""))"),"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f>
        <v>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v>
      </c>
      <c r="G608" s="10" t="str">
        <f>IFERROR(__xludf.DUMMYFUNCTION("TEXTJOIN(""|"",TRUE,UNIQUE(FILTER(SPLIT(F608,"" ""),LEN(SPLIT(F608,"" ""))&gt;2)))"),"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f>
        <v>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v>
      </c>
      <c r="I608" s="6"/>
      <c r="J608" s="6"/>
    </row>
    <row r="609">
      <c r="A609" s="12" t="s">
        <v>1705</v>
      </c>
      <c r="B609" s="7" t="s">
        <v>1706</v>
      </c>
      <c r="C609" s="7" t="s">
        <v>1707</v>
      </c>
      <c r="D609" s="8">
        <v>9700.0</v>
      </c>
      <c r="E609" s="9">
        <v>5.0</v>
      </c>
      <c r="F609" s="10" t="str">
        <f>IFERROR(__xludf.DUMMYFUNCTION("LOWER(REGEXREPLACE(B609&amp;"" ""&amp;C609,""[^а-яa-z0-9 ]"","" ""))"),"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f>
        <v>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v>
      </c>
      <c r="G609" s="10" t="str">
        <f>IFERROR(__xludf.DUMMYFUNCTION("TEXTJOIN(""|"",TRUE,UNIQUE(FILTER(SPLIT(F609,"" ""),LEN(SPLIT(F609,"" ""))&gt;2)))"),"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f>
        <v>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v>
      </c>
      <c r="I609" s="6"/>
      <c r="J609" s="6"/>
    </row>
    <row r="610">
      <c r="A610" s="12" t="s">
        <v>1708</v>
      </c>
      <c r="B610" s="7" t="s">
        <v>1709</v>
      </c>
      <c r="C610" s="7" t="s">
        <v>1710</v>
      </c>
      <c r="D610" s="8">
        <v>28500.0</v>
      </c>
      <c r="E610" s="9">
        <v>7.0</v>
      </c>
      <c r="F610" s="10" t="str">
        <f>IFERROR(__xludf.DUMMYFUNCTION("LOWER(REGEXREPLACE(B610&amp;"" ""&amp;C610,""[^а-яa-z0-9 ]"","" ""))")," абор полезных ископаемых  абор из 4 38 шт  редких кристаллов  камень минерал  кристаллический кластер  отдельный кристаллический минеральный камень  ")</f>
        <v> абор полезных ископаемых  абор из 4 38 шт  редких кристаллов  камень минерал  кристаллический кластер  отдельный кристаллический минеральный камень  </v>
      </c>
      <c r="G610" s="10" t="str">
        <f>IFERROR(__xludf.DUMMYFUNCTION("TEXTJOIN(""|"",TRUE,UNIQUE(FILTER(SPLIT(F610,"" ""),LEN(SPLIT(F610,"" ""))&gt;2)))"),"абор|полезных|ископаемых|абор|редких|кристаллов|камень|минерал|кристаллический|кластер|отдельный|кристаллический|минеральный|камень")</f>
        <v>абор|полезных|ископаемых|абор|редких|кристаллов|камень|минерал|кристаллический|кластер|отдельный|кристаллический|минеральный|камень</v>
      </c>
      <c r="I610" s="6"/>
      <c r="J610" s="6"/>
    </row>
    <row r="611">
      <c r="A611" s="12" t="s">
        <v>1711</v>
      </c>
      <c r="B611" s="7" t="s">
        <v>1712</v>
      </c>
      <c r="C611" s="7" t="s">
        <v>1713</v>
      </c>
      <c r="D611" s="8">
        <v>19000.0</v>
      </c>
      <c r="E611" s="9">
        <v>2.0</v>
      </c>
      <c r="F611" s="10" t="str">
        <f>IFERROR(__xludf.DUMMYFUNCTION("LOWER(REGEXREPLACE(B611&amp;"" ""&amp;C611,""[^а-яa-z0-9 ]"","" ""))")," абор посудок  гровой набор посудки  набор чайный   атериал металл ")</f>
        <v> абор посудок  гровой набор посудки  набор чайный   атериал металл </v>
      </c>
      <c r="G611" s="10" t="str">
        <f>IFERROR(__xludf.DUMMYFUNCTION("TEXTJOIN(""|"",TRUE,UNIQUE(FILTER(SPLIT(F611,"" ""),LEN(SPLIT(F611,"" ""))&gt;2)))"),"абор|посудок|гровой|набор|посудки|набор|чайный|атериал|металл")</f>
        <v>абор|посудок|гровой|набор|посудки|набор|чайный|атериал|металл</v>
      </c>
      <c r="I611" s="6"/>
      <c r="J611" s="6"/>
    </row>
    <row r="612">
      <c r="A612" s="12" t="s">
        <v>1714</v>
      </c>
      <c r="B612" s="7" t="s">
        <v>1715</v>
      </c>
      <c r="C612" s="7" t="s">
        <v>1716</v>
      </c>
      <c r="D612" s="8">
        <v>14000.0</v>
      </c>
      <c r="E612" s="9">
        <v>12.0</v>
      </c>
      <c r="F612" s="10" t="str">
        <f>IFERROR(__xludf.DUMMYFUNCTION("LOWER(REGEXREPLACE(B612&amp;"" ""&amp;C612,""[^а-яa-z0-9 ]"","" ""))")," абор посуды в коробке  озрастное ограничение 3   материал метал  в наборе 13 предметов  размер упаковки 22 32 9 см  производство  итай ")</f>
        <v> абор посуды в коробке  озрастное ограничение 3   материал метал  в наборе 13 предметов  размер упаковки 22 32 9 см  производство  итай </v>
      </c>
      <c r="G612" s="10" t="str">
        <f>IFERROR(__xludf.DUMMYFUNCTION("TEXTJOIN(""|"",TRUE,UNIQUE(FILTER(SPLIT(F612,"" ""),LEN(SPLIT(F612,"" ""))&gt;2)))"),"абор|посуды|коробке|озрастное|ограничение|материал|метал|наборе|предметов|размер|упаковки|производство|итай")</f>
        <v>абор|посуды|коробке|озрастное|ограничение|материал|метал|наборе|предметов|размер|упаковки|производство|итай</v>
      </c>
      <c r="I612" s="6"/>
      <c r="J612" s="6"/>
    </row>
    <row r="613">
      <c r="A613" s="12" t="s">
        <v>1717</v>
      </c>
      <c r="B613" s="7" t="s">
        <v>1718</v>
      </c>
      <c r="C613" s="7" t="s">
        <v>1719</v>
      </c>
      <c r="D613" s="8">
        <v>4200.0</v>
      </c>
      <c r="E613" s="9">
        <v>14.0</v>
      </c>
      <c r="F613" s="10" t="str">
        <f>IFERROR(__xludf.DUMMYFUNCTION("LOWER(REGEXREPLACE(B613&amp;"" ""&amp;C613,""[^а-яa-z0-9 ]"","" ""))"),"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классифик"&amp;"ации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детски"&amp;"х учреждениях ")</f>
        <v>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детских учреждениях </v>
      </c>
      <c r="G613" s="10" t="str">
        <f>IFERROR(__xludf.DUMMYFUNCTION("TEXTJOIN(""|"",TRUE,UNIQUE(FILTER(SPLIT(F613,"" ""),LEN(SPLIT(F613,"" ""))&gt;2)))"),"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amp;"|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f>
        <v>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v>
      </c>
      <c r="I613" s="6"/>
      <c r="J613" s="6"/>
    </row>
    <row r="614">
      <c r="A614" s="12" t="s">
        <v>1720</v>
      </c>
      <c r="B614" s="7" t="s">
        <v>1721</v>
      </c>
      <c r="C614" s="7" t="s">
        <v>1722</v>
      </c>
      <c r="D614" s="8">
        <v>7000.0</v>
      </c>
      <c r="E614" s="9">
        <v>10.0</v>
      </c>
      <c r="F614" s="10" t="str">
        <f>IFERROR(__xludf.DUMMYFUNCTION("LOWER(REGEXREPLACE(B614&amp;"" ""&amp;C614,""[^а-яa-z0-9 ]"","" ""))"),"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познавате"&amp;"льного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по"&amp;"д контролем педагога ")</f>
        <v>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под контролем педагога </v>
      </c>
      <c r="G614" s="10" t="str">
        <f>IFERROR(__xludf.DUMMYFUNCTION("TEXTJOIN(""|"",TRUE,UNIQUE(FILTER(SPLIT(F614,"" ""),LEN(SPLIT(F614,"" ""))&gt;2)))"),"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amp;"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f>
        <v>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v>
      </c>
      <c r="I614" s="6"/>
      <c r="J614" s="6"/>
    </row>
    <row r="615">
      <c r="A615" s="12" t="s">
        <v>1723</v>
      </c>
      <c r="B615" s="7" t="s">
        <v>1724</v>
      </c>
      <c r="C615" s="7"/>
      <c r="D615" s="8">
        <v>1800.0</v>
      </c>
      <c r="E615" s="9">
        <v>1.0</v>
      </c>
      <c r="F615" s="10" t="str">
        <f>IFERROR(__xludf.DUMMYFUNCTION("LOWER(REGEXREPLACE(B615&amp;"" ""&amp;C615,""[^а-яa-z0-9 ]"","" ""))"),"  з   жаса  оптамасы   абайы а дар   ерия   делай сам    омашние животные из картона ")</f>
        <v>  з   жаса  оптамасы   абайы а дар   ерия   делай сам    омашние животные из картона </v>
      </c>
      <c r="G615" s="10" t="str">
        <f>IFERROR(__xludf.DUMMYFUNCTION("TEXTJOIN(""|"",TRUE,UNIQUE(FILTER(SPLIT(F615,"" ""),LEN(SPLIT(F615,"" ""))&gt;2)))"),"жаса|оптамасы|абайы|дар|ерия|делай|сам|омашние|животные|картона")</f>
        <v>жаса|оптамасы|абайы|дар|ерия|делай|сам|омашние|животные|картона</v>
      </c>
      <c r="I615" s="6"/>
      <c r="J615" s="6"/>
    </row>
    <row r="616">
      <c r="A616" s="12" t="s">
        <v>1725</v>
      </c>
      <c r="B616" s="7" t="s">
        <v>1726</v>
      </c>
      <c r="C616" s="7"/>
      <c r="D616" s="8">
        <v>1400.0</v>
      </c>
      <c r="E616" s="9">
        <v>1.0</v>
      </c>
      <c r="F616" s="10" t="str">
        <f>IFERROR(__xludf.DUMMYFUNCTION("LOWER(REGEXREPLACE(B616&amp;"" ""&amp;C616,""[^а-яa-z0-9 ]"","" ""))"),"  л мен к  емес    апсырма   к тапша   ерма ")</f>
        <v>  л мен к  емес    апсырма   к тапша   ерма </v>
      </c>
      <c r="G616" s="10" t="str">
        <f>IFERROR(__xludf.DUMMYFUNCTION("TEXTJOIN(""|"",TRUE,UNIQUE(FILTER(SPLIT(F616,"" ""),LEN(SPLIT(F616,"" ""))&gt;2)))"),"мен|емес|апсырма|тапша|ерма")</f>
        <v>мен|емес|апсырма|тапша|ерма</v>
      </c>
      <c r="I616" s="6"/>
      <c r="J616" s="6"/>
    </row>
    <row r="617">
      <c r="A617" s="12" t="s">
        <v>1727</v>
      </c>
      <c r="B617" s="7" t="s">
        <v>1728</v>
      </c>
      <c r="C617" s="7" t="s">
        <v>1729</v>
      </c>
      <c r="D617" s="8">
        <v>12400.0</v>
      </c>
      <c r="E617" s="9">
        <v>1.0</v>
      </c>
      <c r="F617" s="10" t="str">
        <f>IFERROR(__xludf.DUMMYFUNCTION("LOWER(REGEXREPLACE(B617&amp;"" ""&amp;C617,""[^а-яa-z0-9 ]"","" ""))"),"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с"&amp;"м   уклы выполнены из безопасного пластика  одежда изготовлена из текстильных материалов   одходит для групповых и индивидуальных игр ")</f>
        <v>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см   уклы выполнены из безопасного пластика  одежда изготовлена из текстильных материалов   одходит для групповых и индивидуальных игр </v>
      </c>
      <c r="G617" s="10" t="str">
        <f>IFERROR(__xludf.DUMMYFUNCTION("TEXTJOIN(""|"",TRUE,UNIQUE(FILTER(SPLIT(F617,"" ""),LEN(SPLIT(F617,"" ""))&gt;2)))"),"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amp;"зопасного|пластика|одежда|изготовлена|текстильных|материалов|одходит|для|групповых|индивидуальных|игр")</f>
        <v>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зопасного|пластика|одежда|изготовлена|текстильных|материалов|одходит|для|групповых|индивидуальных|игр</v>
      </c>
      <c r="I617" s="6"/>
      <c r="J617" s="6"/>
    </row>
    <row r="618">
      <c r="A618" s="12" t="s">
        <v>1730</v>
      </c>
      <c r="B618" s="7" t="s">
        <v>1731</v>
      </c>
      <c r="C618" s="7" t="s">
        <v>1732</v>
      </c>
      <c r="D618" s="8">
        <v>28500.0</v>
      </c>
      <c r="E618" s="9">
        <v>1.0</v>
      </c>
      <c r="F618" s="10" t="str">
        <f>IFERROR(__xludf.DUMMYFUNCTION("LOWER(REGEXREPLACE(B618&amp;"" ""&amp;C618,""[^а-яa-z0-9 ]"","" ""))"),"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без"&amp;"опасные   беспечивают порядок и доступность материалов для детей ")</f>
        <v>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безопасные   беспечивают порядок и доступность материалов для детей </v>
      </c>
      <c r="G618" s="10" t="str">
        <f>IFERROR(__xludf.DUMMYFUNCTION("TEXTJOIN(""|"",TRUE,UNIQUE(FILTER(SPLIT(F618,"" ""),LEN(SPLIT(F618,"" ""))&gt;2)))"),"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amp;"ок|доступность|материалов|для|детей")</f>
        <v>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ок|доступность|материалов|для|детей</v>
      </c>
      <c r="I618" s="6"/>
      <c r="J618" s="6"/>
    </row>
    <row r="619">
      <c r="A619" s="12" t="s">
        <v>1733</v>
      </c>
      <c r="B619" s="7" t="s">
        <v>1734</v>
      </c>
      <c r="C619" s="7" t="s">
        <v>1735</v>
      </c>
      <c r="D619" s="8">
        <v>11400.0</v>
      </c>
      <c r="E619" s="9">
        <v>7.0</v>
      </c>
      <c r="F619" s="10" t="str">
        <f>IFERROR(__xludf.DUMMYFUNCTION("LOWER(REGEXREPLACE(B619&amp;"" ""&amp;C619,""[^а-яa-z0-9 ]"","" ""))"),"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воображе"&amp;"ния   одходит для самостоятельной и совместной игровой деятельности ")</f>
        <v>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воображения   одходит для самостоятельной и совместной игровой деятельности </v>
      </c>
      <c r="G619" s="10" t="str">
        <f>IFERROR(__xludf.DUMMYFUNCTION("TEXTJOIN(""|"",TRUE,UNIQUE(FILTER(SPLIT(F619,"" ""),LEN(SPLIT(F619,"" ""))&gt;2)))"),"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amp;"|самостоятельной|совместной|игровой|деятельности")</f>
        <v>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самостоятельной|совместной|игровой|деятельности</v>
      </c>
      <c r="I619" s="6"/>
      <c r="J619" s="6"/>
    </row>
    <row r="620">
      <c r="A620" s="12" t="s">
        <v>1736</v>
      </c>
      <c r="B620" s="7" t="s">
        <v>1737</v>
      </c>
      <c r="C620" s="7" t="s">
        <v>1738</v>
      </c>
      <c r="D620" s="8">
        <v>32100.0</v>
      </c>
      <c r="E620" s="9">
        <v>5.0</v>
      </c>
      <c r="F620" s="10" t="str">
        <f>IFERROR(__xludf.DUMMYFUNCTION("LOWER(REGEXREPLACE(B620&amp;"" ""&amp;C620,""[^а-яa-z0-9 ]"","" ""))"),"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в"&amp;"ысотой около 12 см  выполненных в ярком цветовом оформлении   одходит для свободной игровой деятельности детей ")</f>
        <v>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высотой около 12 см  выполненных в ярком цветовом оформлении   одходит для свободной игровой деятельности детей </v>
      </c>
      <c r="G620" s="10" t="str">
        <f>IFERROR(__xludf.DUMMYFUNCTION("TEXTJOIN(""|"",TRUE,UNIQUE(FILTER(SPLIT(F620,"" ""),LEN(SPLIT(F620,"" ""))&gt;2)))"),"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amp;"енных|ярком|цветовом|оформлении|одходит|для|свободной|игровой|деятельности|детей")</f>
        <v>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енных|ярком|цветовом|оформлении|одходит|для|свободной|игровой|деятельности|детей</v>
      </c>
      <c r="I620" s="6"/>
      <c r="J620" s="6"/>
    </row>
    <row r="621">
      <c r="A621" s="12" t="s">
        <v>1739</v>
      </c>
      <c r="B621" s="7" t="s">
        <v>1740</v>
      </c>
      <c r="C621" s="7" t="s">
        <v>1741</v>
      </c>
      <c r="D621" s="8">
        <v>21900.0</v>
      </c>
      <c r="E621" s="9">
        <v>35.0</v>
      </c>
      <c r="F621" s="10" t="str">
        <f>IFERROR(__xludf.DUMMYFUNCTION("LOWER(REGEXREPLACE(B621&amp;"" ""&amp;C621,""[^а-яa-z0-9 ]"","" ""))"),"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транспо"&amp;"рта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f>
        <v>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v>
      </c>
      <c r="G621" s="10" t="str">
        <f>IFERROR(__xludf.DUMMYFUNCTION("TEXTJOIN(""|"",TRUE,UNIQUE(FILTER(SPLIT(F621,"" ""),LEN(SPLIT(F621,"" ""))&gt;2)))"),"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amp;"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f>
        <v>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v>
      </c>
      <c r="I621" s="6"/>
      <c r="J621" s="6"/>
    </row>
    <row r="622">
      <c r="A622" s="12" t="s">
        <v>1742</v>
      </c>
      <c r="B622" s="7" t="s">
        <v>1743</v>
      </c>
      <c r="C622" s="7" t="s">
        <v>1744</v>
      </c>
      <c r="D622" s="8">
        <v>38000.0</v>
      </c>
      <c r="E622" s="9">
        <v>1.0</v>
      </c>
      <c r="F622" s="10" t="str">
        <f>IFERROR(__xludf.DUMMYFUNCTION("LOWER(REGEXREPLACE(B622&amp;"" ""&amp;C622,""[^а-яa-z0-9 ]"","" ""))"),"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формиров"&amp;"ания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f>
        <v>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v>
      </c>
      <c r="G622" s="10" t="str">
        <f>IFERROR(__xludf.DUMMYFUNCTION("TEXTJOIN(""|"",TRUE,UNIQUE(FILTER(SPLIT(F622,"" ""),LEN(SPLIT(F622,"" ""))&gt;2)))"),"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amp;"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f>
        <v>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v>
      </c>
      <c r="I622" s="6"/>
      <c r="J622" s="6"/>
    </row>
    <row r="623">
      <c r="A623" s="12" t="s">
        <v>1745</v>
      </c>
      <c r="B623" s="7" t="s">
        <v>1746</v>
      </c>
      <c r="C623" s="7" t="s">
        <v>1747</v>
      </c>
      <c r="D623" s="8">
        <v>13100.0</v>
      </c>
      <c r="E623" s="9">
        <v>2.0</v>
      </c>
      <c r="F623" s="10" t="str">
        <f>IFERROR(__xludf.DUMMYFUNCTION("LOWER(REGEXREPLACE(B623&amp;"" ""&amp;C623,""[^а-яa-z0-9 ]"","" ""))"),"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позн"&amp;"авательного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f>
        <v>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v>
      </c>
      <c r="G623" s="10" t="str">
        <f>IFERROR(__xludf.DUMMYFUNCTION("TEXTJOIN(""|"",TRUE,UNIQUE(FILTER(SPLIT(F623,"" ""),LEN(SPLIT(F623,"" ""))&gt;2)))"),"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amp;"реса|комплект|входит|статичных|фигурок|насекомых|выполненных|прочного|полимерного|материала|одходит|для|индивидуальной|групповой|работы")</f>
        <v>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реса|комплект|входит|статичных|фигурок|насекомых|выполненных|прочного|полимерного|материала|одходит|для|индивидуальной|групповой|работы</v>
      </c>
      <c r="I623" s="6"/>
      <c r="J623" s="6"/>
    </row>
    <row r="624">
      <c r="A624" s="12" t="s">
        <v>1748</v>
      </c>
      <c r="B624" s="7" t="s">
        <v>1749</v>
      </c>
      <c r="C624" s="7" t="s">
        <v>1750</v>
      </c>
      <c r="D624" s="8">
        <v>9600.0</v>
      </c>
      <c r="E624" s="9">
        <v>7.0</v>
      </c>
      <c r="F624" s="10" t="str">
        <f>IFERROR(__xludf.DUMMYFUNCTION("LOWER(REGEXREPLACE(B624&amp;"" ""&amp;C624,""[^а-яa-z0-9 ]"","" ""))"),"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безопас"&amp;"ны для детей и подходят для использования в образовательной среде дошкольного учреждения ")</f>
        <v>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безопасны для детей и подходят для использования в образовательной среде дошкольного учреждения </v>
      </c>
      <c r="G624" s="10" t="str">
        <f>IFERROR(__xludf.DUMMYFUNCTION("TEXTJOIN(""|"",TRUE,UNIQUE(FILTER(SPLIT(F624,"" ""),LEN(SPLIT(F624,"" ""))&gt;2)))"),"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amp;"зования|образовательной|среде|дошкольного|учреждения")</f>
        <v>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зования|образовательной|среде|дошкольного|учреждения</v>
      </c>
      <c r="I624" s="6"/>
      <c r="J624" s="6"/>
    </row>
    <row r="625">
      <c r="A625" s="12" t="s">
        <v>1751</v>
      </c>
      <c r="B625" s="7" t="s">
        <v>1752</v>
      </c>
      <c r="C625" s="7" t="s">
        <v>1753</v>
      </c>
      <c r="D625" s="8">
        <v>66900.0</v>
      </c>
      <c r="E625" s="9">
        <v>15.0</v>
      </c>
      <c r="F625" s="10" t="str">
        <f>IFERROR(__xludf.DUMMYFUNCTION("LOWER(REGEXREPLACE(B625&amp;"" ""&amp;C625,""[^а-яa-z0-9 ]"","" ""))"),"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мышлени"&amp;"я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f>
        <v>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v>
      </c>
      <c r="G625" s="10" t="str">
        <f>IFERROR(__xludf.DUMMYFUNCTION("TEXTJOIN(""|"",TRUE,UNIQUE(FILTER(SPLIT(F625,"" ""),LEN(SPLIT(F625,"" ""))&gt;2)))"),"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amp;"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f>
        <v>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v>
      </c>
      <c r="I625" s="6"/>
      <c r="J625" s="6"/>
    </row>
    <row r="626">
      <c r="A626" s="12" t="s">
        <v>1754</v>
      </c>
      <c r="B626" s="7" t="s">
        <v>1755</v>
      </c>
      <c r="C626" s="7" t="s">
        <v>1756</v>
      </c>
      <c r="D626" s="8">
        <v>3400.0</v>
      </c>
      <c r="E626" s="9">
        <v>7.0</v>
      </c>
      <c r="F626" s="10" t="str">
        <f>IFERROR(__xludf.DUMMYFUNCTION("LOWER(REGEXREPLACE(B626&amp;"" ""&amp;C626,""[^а-яa-z0-9 ]"","" ""))"),"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дополняется"&amp;"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f>
        <v>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v>
      </c>
      <c r="G626" s="10" t="str">
        <f>IFERROR(__xludf.DUMMYFUNCTION("TEXTJOIN(""|"",TRUE,UNIQUE(FILTER(SPLIT(F626,"" ""),LEN(SPLIT(F626,"" ""))&gt;2)))"),"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amp;"позволяет|проводить|упражнения|разной|сложности|одходит|для|индивидуальной|подгрупповой|работы|спользуется|как|демонстрационный|раздаточный|материал")</f>
        <v>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позволяет|проводить|упражнения|разной|сложности|одходит|для|индивидуальной|подгрупповой|работы|спользуется|как|демонстрационный|раздаточный|материал</v>
      </c>
      <c r="I626" s="6"/>
      <c r="J626" s="6"/>
    </row>
    <row r="627">
      <c r="A627" s="12" t="s">
        <v>1757</v>
      </c>
      <c r="B627" s="7" t="s">
        <v>1758</v>
      </c>
      <c r="C627" s="7" t="s">
        <v>1759</v>
      </c>
      <c r="D627" s="8">
        <v>8000.0</v>
      </c>
      <c r="E627" s="9">
        <v>1.0</v>
      </c>
      <c r="F627" s="10" t="str">
        <f>IFERROR(__xludf.DUMMYFUNCTION("LOWER(REGEXREPLACE(B627&amp;"" ""&amp;C627,""[^а-яa-z0-9 ]"","" ""))"),"  л  те о ай   ызы ты химия    инстон")</f>
        <v>  л  те о ай   ызы ты химия    инстон</v>
      </c>
      <c r="G627" s="10" t="str">
        <f>IFERROR(__xludf.DUMMYFUNCTION("TEXTJOIN(""|"",TRUE,UNIQUE(FILTER(SPLIT(F627,"" ""),LEN(SPLIT(F627,"" ""))&gt;2)))"),"ызы|химия|инстон")</f>
        <v>ызы|химия|инстон</v>
      </c>
      <c r="I627" s="6"/>
      <c r="J627" s="6"/>
    </row>
    <row r="628">
      <c r="A628" s="12" t="s">
        <v>1760</v>
      </c>
      <c r="B628" s="7" t="s">
        <v>1761</v>
      </c>
      <c r="C628" s="7" t="s">
        <v>1762</v>
      </c>
      <c r="D628" s="8">
        <v>1300.0</v>
      </c>
      <c r="E628" s="9">
        <v>25.0</v>
      </c>
      <c r="F628" s="10" t="str">
        <f>IFERROR(__xludf.DUMMYFUNCTION("LOWER(REGEXREPLACE(B628&amp;"" ""&amp;C628,""[^а-яa-z0-9 ]"","" ""))"),"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тв"&amp;"орческой деятельности в     ")</f>
        <v>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творческой деятельности в     </v>
      </c>
      <c r="G628" s="10" t="str">
        <f>IFERROR(__xludf.DUMMYFUNCTION("TEXTJOIN(""|"",TRUE,UNIQUE(FILTER(SPLIT(F628,"" ""),LEN(SPLIT(F628,"" ""))&gt;2)))"),"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f>
        <v>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v>
      </c>
      <c r="I628" s="6"/>
      <c r="J628" s="6"/>
    </row>
    <row r="629">
      <c r="A629" s="12" t="s">
        <v>1763</v>
      </c>
      <c r="B629" s="7" t="s">
        <v>1764</v>
      </c>
      <c r="C629" s="7" t="s">
        <v>1765</v>
      </c>
      <c r="D629" s="8">
        <v>3600.0</v>
      </c>
      <c r="E629" s="9">
        <v>1.0</v>
      </c>
      <c r="F629" s="10" t="str">
        <f>IFERROR(__xludf.DUMMYFUNCTION("LOWER(REGEXREPLACE(B629&amp;"" ""&amp;C629,""[^а-яa-z0-9 ]"","" ""))")," аполеон   apoleon  каз   рус   англ яз      едбридж  перевод  ужикова      санова     ")</f>
        <v> аполеон   apoleon  каз   рус   англ яз      едбридж  перевод  ужикова      санова     </v>
      </c>
      <c r="G629" s="10" t="str">
        <f>IFERROR(__xludf.DUMMYFUNCTION("TEXTJOIN(""|"",TRUE,UNIQUE(FILTER(SPLIT(F629,"" ""),LEN(SPLIT(F629,"" ""))&gt;2)))"),"аполеон|apoleon|каз|рус|англ|едбридж|перевод|ужикова|санова")</f>
        <v>аполеон|apoleon|каз|рус|англ|едбридж|перевод|ужикова|санова</v>
      </c>
      <c r="I629" s="6"/>
      <c r="J629" s="6"/>
    </row>
    <row r="630">
      <c r="A630" s="12" t="s">
        <v>1766</v>
      </c>
      <c r="B630" s="7" t="s">
        <v>1767</v>
      </c>
      <c r="C630" s="7" t="s">
        <v>1768</v>
      </c>
      <c r="D630" s="8">
        <v>5700.0</v>
      </c>
      <c r="E630" s="9">
        <v>25.0</v>
      </c>
      <c r="F630" s="10" t="str">
        <f>IFERROR(__xludf.DUMMYFUNCTION("LOWER(REGEXREPLACE(B630&amp;"" ""&amp;C630,""[^а-яa-z0-9 ]"","" ""))"),"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компле"&amp;"кт входят два нарукавника и кармашек   одходят для использования детьми разного возраста ")</f>
        <v>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комплект входят два нарукавника и кармашек   одходят для использования детьми разного возраста </v>
      </c>
      <c r="G630" s="10" t="str">
        <f>IFERROR(__xludf.DUMMYFUNCTION("TEXTJOIN(""|"",TRUE,UNIQUE(FILTER(SPLIT(F630,"" ""),LEN(SPLIT(F630,"" ""))&gt;2)))"),"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amp;"укавника|кармашек|одходят|для|использования|детьми|разного|возраста")</f>
        <v>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укавника|кармашек|одходят|для|использования|детьми|разного|возраста</v>
      </c>
      <c r="I630" s="6"/>
      <c r="J630" s="6"/>
    </row>
    <row r="631">
      <c r="A631" s="12" t="s">
        <v>1769</v>
      </c>
      <c r="B631" s="7" t="s">
        <v>1770</v>
      </c>
      <c r="C631" s="7" t="s">
        <v>1771</v>
      </c>
      <c r="D631" s="8">
        <v>127300.0</v>
      </c>
      <c r="E631" s="9">
        <v>7.0</v>
      </c>
      <c r="F631" s="10" t="str">
        <f>IFERROR(__xludf.DUMMYFUNCTION("LOWER(REGEXREPLACE(B631&amp;"" ""&amp;C631,""[^а-яa-z0-9 ]"","" ""))"),"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во"&amp;"сприятия  внимания и координации движений   атериал   дерево ")</f>
        <v>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восприятия  внимания и координации движений   атериал   дерево </v>
      </c>
      <c r="G631" s="10" t="str">
        <f>IFERROR(__xludf.DUMMYFUNCTION("TEXTJOIN(""|"",TRUE,UNIQUE(FILTER(SPLIT(F631,"" ""),LEN(SPLIT(F631,"" ""))&gt;2)))"),"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amp;"координации|движений|атериал|дерево")</f>
        <v>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координации|движений|атериал|дерево</v>
      </c>
      <c r="I631" s="6"/>
      <c r="J631" s="6"/>
    </row>
    <row r="632">
      <c r="A632" s="12" t="s">
        <v>1772</v>
      </c>
      <c r="B632" s="7" t="s">
        <v>1773</v>
      </c>
      <c r="C632" s="7" t="s">
        <v>1774</v>
      </c>
      <c r="D632" s="8">
        <v>163400.0</v>
      </c>
      <c r="E632" s="9">
        <v>8.0</v>
      </c>
      <c r="F632" s="10" t="str">
        <f>IFERROR(__xludf.DUMMYFUNCTION("LOWER(REGEXREPLACE(B632&amp;"" ""&amp;C632,""[^а-яa-z0-9 ]"","" ""))"),"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лет"&amp;"   зготовлен из дерева  имеет настенное крепление и устойчивую конструкцию  подходит для применения в     ")</f>
        <v>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   зготовлен из дерева  имеет настенное крепление и устойчивую конструкцию  подходит для применения в     </v>
      </c>
      <c r="G632" s="10" t="str">
        <f>IFERROR(__xludf.DUMMYFUNCTION("TEXTJOIN(""|"",TRUE,UNIQUE(FILTER(SPLIT(F632,"" ""),LEN(SPLIT(F632,"" ""))&gt;2)))"),"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amp;"тенное|крепление|устойчивую|конструкцию|подходит|для|применения")</f>
        <v>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тенное|крепление|устойчивую|конструкцию|подходит|для|применения</v>
      </c>
      <c r="I632" s="6"/>
      <c r="J632" s="6"/>
    </row>
    <row r="633">
      <c r="A633" s="12" t="s">
        <v>1775</v>
      </c>
      <c r="B633" s="7" t="s">
        <v>1776</v>
      </c>
      <c r="C633" s="7" t="s">
        <v>1777</v>
      </c>
      <c r="D633" s="8">
        <v>67400.0</v>
      </c>
      <c r="E633" s="9">
        <v>1.0</v>
      </c>
      <c r="F633" s="10" t="str">
        <f>IFERROR(__xludf.DUMMYFUNCTION("LOWER(REGEXREPLACE(B633&amp;"" ""&amp;C633,""[^а-яa-z0-9 ]"","" ""))"),"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з"&amp;"адания и выражать эмоции   репление к стене обеспечивает устойчивость  безопасность и экономию пространства ")</f>
        <v>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задания и выражать эмоции   репление к стене обеспечивает устойчивость  безопасность и экономию пространства </v>
      </c>
      <c r="G633" s="10" t="str">
        <f>IFERROR(__xludf.DUMMYFUNCTION("TEXTJOIN(""|"",TRUE,UNIQUE(FILTER(SPLIT(F633,"" ""),LEN(SPLIT(F633,"" ""))&gt;2)))"),"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amp;"|эмоции|репление|стене|обеспечивает|устойчивость|безопасность|экономию|пространства")</f>
        <v>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эмоции|репление|стене|обеспечивает|устойчивость|безопасность|экономию|пространства</v>
      </c>
      <c r="I633" s="6"/>
      <c r="J633" s="6"/>
    </row>
    <row r="634">
      <c r="A634" s="12" t="s">
        <v>1778</v>
      </c>
      <c r="B634" s="7" t="s">
        <v>1779</v>
      </c>
      <c r="C634" s="7" t="s">
        <v>1780</v>
      </c>
      <c r="D634" s="8">
        <v>15300.0</v>
      </c>
      <c r="E634" s="9">
        <v>175.0</v>
      </c>
      <c r="F634" s="10" t="str">
        <f>IFERROR(__xludf.DUMMYFUNCTION("LOWER(REGEXREPLACE(B634&amp;"" ""&amp;C634,""[^а-яa-z0-9 ]"","" ""))"),"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зелен"&amp;"ые   6 шт    желтые   6 шт    синие   6 шт    розовые   6 шт    красные   6 шт    инструкция   1 шт")</f>
        <v>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v>
      </c>
      <c r="G634" s="10" t="str">
        <f>IFERROR(__xludf.DUMMYFUNCTION("TEXTJOIN(""|"",TRUE,UNIQUE(FILTER(SPLIT(F634,"" ""),LEN(SPLIT(F634,"" ""))&gt;2)))"),"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f>
        <v>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v>
      </c>
      <c r="I634" s="6"/>
      <c r="J634" s="6"/>
    </row>
    <row r="635">
      <c r="A635" s="12" t="s">
        <v>1781</v>
      </c>
      <c r="B635" s="7" t="s">
        <v>1782</v>
      </c>
      <c r="C635" s="7" t="s">
        <v>1783</v>
      </c>
      <c r="D635" s="8">
        <v>8100.0</v>
      </c>
      <c r="E635" s="9">
        <v>10.0</v>
      </c>
      <c r="F635" s="10" t="str">
        <f>IFERROR(__xludf.DUMMYFUNCTION("LOWER(REGEXREPLACE(B635&amp;"" ""&amp;C635,""[^а-яa-z0-9 ]"","" ""))"),"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способству"&amp;"ет закреплению таблицы умножения и развитию навыков сч та   азмер игрового поля составляет не менее 19 5 19 5 см   атериалы  дерево и бумажные карточки ")</f>
        <v>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способствует закреплению таблицы умножения и развитию навыков сч та   азмер игрового поля составляет не менее 19 5 19 5 см   атериалы  дерево и бумажные карточки </v>
      </c>
      <c r="G635" s="10" t="str">
        <f>IFERROR(__xludf.DUMMYFUNCTION("TEXTJOIN(""|"",TRUE,UNIQUE(FILTER(SPLIT(F635,"" ""),LEN(SPLIT(F635,"" ""))&gt;2)))"),"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amp;"множения|развитию|навыков|азмер|игрового|поля|составляет|менее|атериалы|дерево|бумажные|карточки")</f>
        <v>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множения|развитию|навыков|азмер|игрового|поля|составляет|менее|атериалы|дерево|бумажные|карточки</v>
      </c>
      <c r="I635" s="6"/>
      <c r="J635" s="6"/>
    </row>
    <row r="636">
      <c r="A636" s="12" t="s">
        <v>1784</v>
      </c>
      <c r="B636" s="7" t="s">
        <v>1785</v>
      </c>
      <c r="C636" s="7" t="s">
        <v>1786</v>
      </c>
      <c r="D636" s="8">
        <v>16000.0</v>
      </c>
      <c r="E636" s="9">
        <v>175.0</v>
      </c>
      <c r="F636" s="10" t="str">
        <f>IFERROR(__xludf.DUMMYFUNCTION("LOWER(REGEXREPLACE(B636&amp;"" ""&amp;C636,""[^а-яa-z0-9 ]"","" ""))"),"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"&amp;"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f>
        <v>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v>
      </c>
      <c r="G636" s="10" t="str">
        <f>IFERROR(__xludf.DUMMYFUNCTION("TEXTJOIN(""|"",TRUE,UNIQUE(FILTER(SPLIT(F636,"" ""),LEN(SPLIT(F636,"" ""))&gt;2)))"),"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amp;"бабочек|бабочка|одного|цвета|кубики|бабочки|двух|цветов|коврик|инструкция|карточки|бабочками|узорам")</f>
        <v>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бабочек|бабочка|одного|цвета|кубики|бабочки|двух|цветов|коврик|инструкция|карточки|бабочками|узорам</v>
      </c>
      <c r="I636" s="6"/>
      <c r="J636" s="6"/>
    </row>
    <row r="637">
      <c r="A637" s="12" t="s">
        <v>1787</v>
      </c>
      <c r="B637" s="7" t="s">
        <v>1788</v>
      </c>
      <c r="C637" s="7" t="s">
        <v>1789</v>
      </c>
      <c r="D637" s="8">
        <v>16000.0</v>
      </c>
      <c r="E637" s="9">
        <v>195.0</v>
      </c>
      <c r="F637" s="10" t="str">
        <f>IFERROR(__xludf.DUMMYFUNCTION("LOWER(REGEXREPLACE(B637&amp;"" ""&amp;C637,""[^а-яa-z0-9 ]"","" ""))"),"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детал"&amp;"и   6 шт    желтые детали   6 шт    зеленые детали   5 шт ")</f>
        <v>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детали   6 шт    желтые детали   6 шт    зеленые детали   5 шт </v>
      </c>
      <c r="G637" s="10" t="str">
        <f>IFERROR(__xludf.DUMMYFUNCTION("TEXTJOIN(""|"",TRUE,UNIQUE(FILTER(SPLIT(F637,"" ""),LEN(SPLIT(F637,"" ""))&gt;2)))"),"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f>
        <v>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v>
      </c>
      <c r="I637" s="6"/>
      <c r="J637" s="6"/>
    </row>
    <row r="638">
      <c r="A638" s="12" t="s">
        <v>1790</v>
      </c>
      <c r="B638" s="7" t="s">
        <v>1791</v>
      </c>
      <c r="C638" s="7" t="s">
        <v>1792</v>
      </c>
      <c r="D638" s="8">
        <v>4000.0</v>
      </c>
      <c r="E638" s="9">
        <v>175.0</v>
      </c>
      <c r="F638" s="10" t="str">
        <f>IFERROR(__xludf.DUMMYFUNCTION("LOWER(REGEXREPLACE(B638&amp;"" ""&amp;C638,""[^а-яa-z0-9 ]"","" ""))")," еер набор  еер набор  касса букв и цифр  на казахском языке   челка   1  904")</f>
        <v> еер набор  еер набор  касса букв и цифр  на казахском языке   челка   1  904</v>
      </c>
      <c r="G638" s="10" t="str">
        <f>IFERROR(__xludf.DUMMYFUNCTION("TEXTJOIN(""|"",TRUE,UNIQUE(FILTER(SPLIT(F638,"" ""),LEN(SPLIT(F638,"" ""))&gt;2)))"),"еер|набор|еер|набор|касса|букв|цифр|казахском|языке|челка|904")</f>
        <v>еер|набор|еер|набор|касса|букв|цифр|казахском|языке|челка|904</v>
      </c>
      <c r="I638" s="6"/>
      <c r="J638" s="6"/>
    </row>
    <row r="639">
      <c r="A639" s="12" t="s">
        <v>1793</v>
      </c>
      <c r="B639" s="7" t="s">
        <v>1794</v>
      </c>
      <c r="C639" s="7" t="s">
        <v>1795</v>
      </c>
      <c r="D639" s="8">
        <v>4800.0</v>
      </c>
      <c r="E639" s="9">
        <v>14.0</v>
      </c>
      <c r="F639" s="10" t="str">
        <f>IFERROR(__xludf.DUMMYFUNCTION("LOWER(REGEXREPLACE(B639&amp;"" ""&amp;C639,""[^а-яa-z0-9 ]"","" ""))"),"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трениро"&amp;"вке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f>
        <v>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v>
      </c>
      <c r="G639" s="10" t="str">
        <f>IFERROR(__xludf.DUMMYFUNCTION("TEXTJOIN(""|"",TRUE,UNIQUE(FILTER(SPLIT(F639,"" ""),LEN(SPLIT(F639,"" ""))&gt;2)))"),"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amp;"|долговременной|памяти|развитию|логического|мышления|усидчивости|одходит|для|регулярного|применения|образовательной|деятельности")</f>
        <v>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долговременной|памяти|развитию|логического|мышления|усидчивости|одходит|для|регулярного|применения|образовательной|деятельности</v>
      </c>
      <c r="I639" s="6"/>
      <c r="J639" s="6"/>
    </row>
    <row r="640">
      <c r="A640" s="12" t="s">
        <v>1796</v>
      </c>
      <c r="B640" s="7" t="s">
        <v>1797</v>
      </c>
      <c r="C640" s="7" t="s">
        <v>1798</v>
      </c>
      <c r="D640" s="8">
        <v>10500.0</v>
      </c>
      <c r="E640" s="9">
        <v>7.0</v>
      </c>
      <c r="F640" s="10" t="str">
        <f>IFERROR(__xludf.DUMMYFUNCTION("LOWER(REGEXREPLACE(B640&amp;"" ""&amp;C640,""[^а-яa-z0-9 ]"","" ""))"),"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"&amp;"аккуратность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f>
        <v>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v>
      </c>
      <c r="G640" s="10" t="str">
        <f>IFERROR(__xludf.DUMMYFUNCTION("TEXTJOIN(""|"",TRUE,UNIQUE(FILTER(SPLIT(F640,"" ""),LEN(SPLIT(F640,"" ""))&gt;2)))"),"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amp;"дственное|мышление|гра|формирует|навыки|соблюдения|правил|очередности|действий|подходит|для|групповой|индивидуальной|деятельности")</f>
        <v>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дственное|мышление|гра|формирует|навыки|соблюдения|правил|очередности|действий|подходит|для|групповой|индивидуальной|деятельности</v>
      </c>
      <c r="I640" s="6"/>
      <c r="J640" s="6"/>
    </row>
    <row r="641">
      <c r="A641" s="12" t="s">
        <v>1799</v>
      </c>
      <c r="B641" s="7" t="s">
        <v>1800</v>
      </c>
      <c r="C641" s="7" t="s">
        <v>1801</v>
      </c>
      <c r="D641" s="8">
        <v>3400.0</v>
      </c>
      <c r="E641" s="9">
        <v>14.0</v>
      </c>
      <c r="F641" s="10" t="str">
        <f>IFERROR(__xludf.DUMMYFUNCTION("LOWER(REGEXREPLACE(B641&amp;"" ""&amp;C641,""[^а-яa-z0-9 ]"","" ""))"),"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уч"&amp;"астники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деть"&amp;"ми  элементы имеют устойчивую форму и гладкую поверхность ")</f>
        <v>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детьми  элементы имеют устойчивую форму и гладкую поверхность </v>
      </c>
      <c r="G641" s="10" t="str">
        <f>IFERROR(__xludf.DUMMYFUNCTION("TEXTJOIN(""|"",TRUE,UNIQUE(FILTER(SPLIT(F641,"" ""),LEN(SPLIT(F641,"" ""))&gt;2)))"),"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amp;"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amp;"орму|гладкую|поверхность")</f>
        <v>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орму|гладкую|поверхность</v>
      </c>
      <c r="I641" s="6"/>
      <c r="J641" s="6"/>
    </row>
    <row r="642">
      <c r="A642" s="12" t="s">
        <v>1802</v>
      </c>
      <c r="B642" s="7" t="s">
        <v>1803</v>
      </c>
      <c r="C642" s="7" t="s">
        <v>1804</v>
      </c>
      <c r="D642" s="8">
        <v>44000.0</v>
      </c>
      <c r="E642" s="9">
        <v>47.0</v>
      </c>
      <c r="F642" s="10" t="str">
        <f>IFERROR(__xludf.DUMMYFUNCTION("LOWER(REGEXREPLACE(B642&amp;"" ""&amp;C642,""[^а-яa-z0-9 ]"","" ""))"),"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ра"&amp;"зноцветные детали   27 шт    красные детали   5 шт    розовые детали   5 шт    синие детали   6 шт    желтые детали   6 шт    зеленые детали   5 шт ")</f>
        <v>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разноцветные детали   27 шт    красные детали   5 шт    розовые детали   5 шт    синие детали   6 шт    желтые детали   6 шт    зеленые детали   5 шт </v>
      </c>
      <c r="G642" s="10" t="str">
        <f>IFERROR(__xludf.DUMMYFUNCTION("TEXTJOIN(""|"",TRUE,UNIQUE(FILTER(SPLIT(F642,"" ""),LEN(SPLIT(F642,"" ""))&gt;2)))"),"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amp;"детали|желтые|детали|зеленые|детали")</f>
        <v>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детали|желтые|детали|зеленые|детали</v>
      </c>
      <c r="I642" s="6"/>
      <c r="J642" s="6"/>
    </row>
    <row r="643">
      <c r="A643" s="12" t="s">
        <v>1805</v>
      </c>
      <c r="B643" s="7" t="s">
        <v>1806</v>
      </c>
      <c r="C643" s="7" t="s">
        <v>1807</v>
      </c>
      <c r="D643" s="8">
        <v>13300.0</v>
      </c>
      <c r="E643" s="9">
        <v>175.0</v>
      </c>
      <c r="F643" s="10" t="str">
        <f>IFERROR(__xludf.DUMMYFUNCTION("LOWER(REGEXREPLACE(B643&amp;"" ""&amp;C643,""[^а-яa-z0-9 ]"","" ""))"),"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изуальное"&amp;" восприятие    ерпение    антазию   оранжевые палочки   8 шт    инструкция   1 шт    желтые палочки   8 шт    зеленые палочки   12 шт    красно пестрые палочки   8 шт    синие палочки   8 шт ")</f>
        <v>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 восприятие    ерпение    антазию   оранжевые палочки   8 шт    инструкция   1 шт    желтые палочки   8 шт    зеленые палочки   12 шт    красно пестрые палочки   8 шт    синие палочки   8 шт </v>
      </c>
      <c r="G643" s="10" t="str">
        <f>IFERROR(__xludf.DUMMYFUNCTION("TEXTJOIN(""|"",TRUE,UNIQUE(FILTER(SPLIT(F643,"" ""),LEN(SPLIT(F643,"" ""))&gt;2)))"),"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amp;"е|палочки|инструкция|желтые|палочки|зеленые|палочки|красно|пестрые|палочки|синие|палочки")</f>
        <v>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е|палочки|инструкция|желтые|палочки|зеленые|палочки|красно|пестрые|палочки|синие|палочки</v>
      </c>
      <c r="I643" s="6"/>
      <c r="J643" s="6"/>
    </row>
    <row r="644">
      <c r="A644" s="12" t="s">
        <v>1808</v>
      </c>
      <c r="B644" s="7" t="s">
        <v>1809</v>
      </c>
      <c r="C644" s="7" t="s">
        <v>1810</v>
      </c>
      <c r="D644" s="8">
        <v>10800.0</v>
      </c>
      <c r="E644" s="9">
        <v>35.0</v>
      </c>
      <c r="F644" s="10" t="str">
        <f>IFERROR(__xludf.DUMMYFUNCTION("LOWER(REGEXREPLACE(B644&amp;"" ""&amp;C644,""[^а-яa-z0-9 ]"","" ""))"),"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"&amp;" 16 шт    карточки для формирования игрового поля   9 шт            инструкция  1 шт")</f>
        <v>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v>
      </c>
      <c r="G644" s="10" t="str">
        <f>IFERROR(__xludf.DUMMYFUNCTION("TEXTJOIN(""|"",TRUE,UNIQUE(FILTER(SPLIT(F644,"" ""),LEN(SPLIT(F644,"" ""))&gt;2)))"),"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f>
        <v>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v>
      </c>
      <c r="I644" s="6"/>
      <c r="J644" s="6"/>
    </row>
    <row r="645">
      <c r="A645" s="12" t="s">
        <v>1811</v>
      </c>
      <c r="B645" s="7" t="s">
        <v>1812</v>
      </c>
      <c r="C645" s="7" t="s">
        <v>1813</v>
      </c>
      <c r="D645" s="8">
        <v>20500.0</v>
      </c>
      <c r="E645" s="9">
        <v>195.0</v>
      </c>
      <c r="F645" s="10" t="str">
        <f>IFERROR(__xludf.DUMMYFUNCTION("LOWER(REGEXREPLACE(B645&amp;"" ""&amp;C645,""[^а-яa-z0-9 ]"","" ""))"),"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"&amp;"6 шт    желтые карты   15 шт    светло зеленые карты   16 шт    темно зеленые карты   4 шт    инструкция   1 шт")</f>
        <v>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6 шт    желтые карты   15 шт    светло зеленые карты   16 шт    темно зеленые карты   4 шт    инструкция   1 шт</v>
      </c>
      <c r="G645" s="10" t="str">
        <f>IFERROR(__xludf.DUMMYFUNCTION("TEXTJOIN(""|"",TRUE,UNIQUE(FILTER(SPLIT(F645,"" ""),LEN(SPLIT(F645,"" ""))&gt;2)))"),"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amp;"ы|инструкция")</f>
        <v>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ы|инструкция</v>
      </c>
      <c r="I645" s="6"/>
      <c r="J645" s="6"/>
    </row>
    <row r="646">
      <c r="A646" s="12" t="s">
        <v>1814</v>
      </c>
      <c r="B646" s="7" t="s">
        <v>1815</v>
      </c>
      <c r="C646" s="7" t="s">
        <v>1816</v>
      </c>
      <c r="D646" s="8">
        <v>20900.0</v>
      </c>
      <c r="E646" s="9">
        <v>1.0</v>
      </c>
      <c r="F646" s="10" t="str">
        <f>IFERROR(__xludf.DUMMYFUNCTION("LOWER(REGEXREPLACE(B646&amp;"" ""&amp;C646,""[^а-яa-z0-9 ]"","" ""))"),"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ат"&amp;"ериалы безопасны  шнурки удобны для детской руки ")</f>
        <v>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атериалы безопасны  шнурки удобны для детской руки </v>
      </c>
      <c r="G646" s="10" t="str">
        <f>IFERROR(__xludf.DUMMYFUNCTION("TEXTJOIN(""|"",TRUE,UNIQUE(FILTER(SPLIT(F646,"" ""),LEN(SPLIT(F646,"" ""))&gt;2)))"),"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amp;"рки|удобны|для|детской|руки")</f>
        <v>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рки|удобны|для|детской|руки</v>
      </c>
      <c r="I646" s="6"/>
      <c r="J646" s="6"/>
    </row>
    <row r="647">
      <c r="A647" s="12" t="s">
        <v>1817</v>
      </c>
      <c r="B647" s="7" t="s">
        <v>1818</v>
      </c>
      <c r="C647" s="7" t="s">
        <v>1819</v>
      </c>
      <c r="D647" s="8">
        <v>10200.0</v>
      </c>
      <c r="E647" s="9">
        <v>7.0</v>
      </c>
      <c r="F647" s="10" t="str">
        <f>IFERROR(__xludf.DUMMYFUNCTION("LOWER(REGEXREPLACE(B647&amp;"" ""&amp;C647,""[^а-яa-z0-9 ]"","" ""))"),"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f>
        <v>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v>
      </c>
      <c r="G647" s="10" t="str">
        <f>IFERROR(__xludf.DUMMYFUNCTION("TEXTJOIN(""|"",TRUE,UNIQUE(FILTER(SPLIT(F647,"" ""),LEN(SPLIT(F647,"" ""))&gt;2)))"),"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f>
        <v>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v>
      </c>
      <c r="I647" s="6"/>
      <c r="J647" s="6"/>
    </row>
    <row r="648">
      <c r="A648" s="12" t="s">
        <v>1820</v>
      </c>
      <c r="B648" s="7" t="s">
        <v>1821</v>
      </c>
      <c r="C648" s="7" t="s">
        <v>1822</v>
      </c>
      <c r="D648" s="8">
        <v>28500.0</v>
      </c>
      <c r="E648" s="9">
        <v>43.0</v>
      </c>
      <c r="F648" s="10" t="str">
        <f>IFERROR(__xludf.DUMMYFUNCTION("LOWER(REGEXREPLACE(B648&amp;"" ""&amp;C648,""[^а-яa-z0-9 ]"","" ""))"),"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разви"&amp;"вающей и обучающей работе с детьми дошкольного возраста   гра способствует подготовке руки к письму и развитию самостоятельности ")</f>
        <v>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развивающей и обучающей работе с детьми дошкольного возраста   гра способствует подготовке руки к письму и развитию самостоятельности </v>
      </c>
      <c r="G648" s="10" t="str">
        <f>IFERROR(__xludf.DUMMYFUNCTION("TEXTJOIN(""|"",TRUE,UNIQUE(FILTER(SPLIT(F648,"" ""),LEN(SPLIT(F648,"" ""))&gt;2)))"),"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amp;"|работе|детьми|дошкольного|возраста|гра|способствует|подготовке|руки|письму|развитию|самостоятельности")</f>
        <v>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работе|детьми|дошкольного|возраста|гра|способствует|подготовке|руки|письму|развитию|самостоятельности</v>
      </c>
      <c r="I648" s="6"/>
      <c r="J648" s="6"/>
    </row>
    <row r="649">
      <c r="A649" s="12" t="s">
        <v>1823</v>
      </c>
      <c r="B649" s="7" t="s">
        <v>1824</v>
      </c>
      <c r="C649" s="7" t="s">
        <v>1074</v>
      </c>
      <c r="D649" s="8">
        <v>8400.0</v>
      </c>
      <c r="E649" s="9">
        <v>1.0</v>
      </c>
      <c r="F649" s="10" t="str">
        <f>IFERROR(__xludf.DUMMYFUNCTION("LOWER(REGEXREPLACE(B649&amp;"" ""&amp;C649,""[^а-яa-z0-9 ]"","" ""))")," еликие чудеса света  ш   ")</f>
        <v> еликие чудеса света  ш   </v>
      </c>
      <c r="G649" s="10" t="str">
        <f>IFERROR(__xludf.DUMMYFUNCTION("TEXTJOIN(""|"",TRUE,UNIQUE(FILTER(SPLIT(F649,"" ""),LEN(SPLIT(F649,"" ""))&gt;2)))"),"еликие|чудеса|света")</f>
        <v>еликие|чудеса|света</v>
      </c>
      <c r="I649" s="6"/>
      <c r="J649" s="6"/>
    </row>
    <row r="650">
      <c r="A650" s="12" t="s">
        <v>1825</v>
      </c>
      <c r="B650" s="7" t="s">
        <v>1826</v>
      </c>
      <c r="C650" s="7" t="s">
        <v>1827</v>
      </c>
      <c r="D650" s="8">
        <v>133000.0</v>
      </c>
      <c r="E650" s="9">
        <v>0.0</v>
      </c>
      <c r="F650" s="10" t="str">
        <f>IFERROR(__xludf.DUMMYFUNCTION("LOWER(REGEXREPLACE(B650&amp;"" ""&amp;C650,""[^а-яa-z0-9 ]"","" ""))"),"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запис"&amp;"и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f>
        <v>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v>
      </c>
      <c r="G650" s="10" t="str">
        <f>IFERROR(__xludf.DUMMYFUNCTION("TEXTJOIN(""|"",TRUE,UNIQUE(FILTER(SPLIT(F650,"" ""),LEN(SPLIT(F650,"" ""))&gt;2)))"),"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amp;"ения|утренников|праздничных|мероприятий|беспечивает|удобное|размещение|оборудования|способствует|повышению|качества|музыкально|педагогической|работы")</f>
        <v>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ения|утренников|праздничных|мероприятий|беспечивает|удобное|размещение|оборудования|способствует|повышению|качества|музыкально|педагогической|работы</v>
      </c>
      <c r="I650" s="6"/>
      <c r="J650" s="6"/>
    </row>
    <row r="651">
      <c r="A651" s="12" t="s">
        <v>1828</v>
      </c>
      <c r="B651" s="7" t="s">
        <v>1829</v>
      </c>
      <c r="C651" s="7" t="s">
        <v>1830</v>
      </c>
      <c r="D651" s="8">
        <v>1900.0</v>
      </c>
      <c r="E651" s="9">
        <v>10.0</v>
      </c>
      <c r="F651" s="10" t="str">
        <f>IFERROR(__xludf.DUMMYFUNCTION("LOWER(REGEXREPLACE(B651&amp;"" ""&amp;C651,""[^а-яa-z0-9 ]"","" ""))"),"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коррекционн"&amp;"ой деятельности с детьми дошкольного возраста   пособствует развитию логического мышления  внимания и самостоятельности ")</f>
        <v>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коррекционной деятельности с детьми дошкольного возраста   пособствует развитию логического мышления  внимания и самостоятельности </v>
      </c>
      <c r="G651" s="10" t="str">
        <f>IFERROR(__xludf.DUMMYFUNCTION("TEXTJOIN(""|"",TRUE,UNIQUE(FILTER(SPLIT(F651,"" ""),LEN(SPLIT(F651,"" ""))&gt;2)))"),"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amp;"ьми|дошкольного|возраста|пособствует|развитию|логического|мышления|внимания|самостоятельности")</f>
        <v>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ьми|дошкольного|возраста|пособствует|развитию|логического|мышления|внимания|самостоятельности</v>
      </c>
      <c r="I651" s="6"/>
      <c r="J651" s="6"/>
    </row>
    <row r="652">
      <c r="A652" s="12" t="s">
        <v>1831</v>
      </c>
      <c r="B652" s="7" t="s">
        <v>1832</v>
      </c>
      <c r="C652" s="7" t="s">
        <v>1833</v>
      </c>
      <c r="D652" s="8">
        <v>11900.0</v>
      </c>
      <c r="E652" s="9">
        <v>7.0</v>
      </c>
      <c r="F652" s="10" t="str">
        <f>IFERROR(__xludf.DUMMYFUNCTION("LOWER(REGEXREPLACE(B652&amp;"" ""&amp;C652,""[^а-яa-z0-9 ]"","" ""))"),"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"&amp;" ормирует навыки соблюдения правил игры  очередности ходов и сотрудничества ")</f>
        <v>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ормирует навыки соблюдения правил игры  очередности ходов и сотрудничества </v>
      </c>
      <c r="G652" s="10" t="str">
        <f>IFERROR(__xludf.DUMMYFUNCTION("TEXTJOIN(""|"",TRUE,UNIQUE(FILTER(SPLIT(F652,"" ""),LEN(SPLIT(F652,"" ""))&gt;2)))"),"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amp;"соблюдения|правил|игры|очередности|ходов|сотрудничества")</f>
        <v>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соблюдения|правил|игры|очередности|ходов|сотрудничества</v>
      </c>
      <c r="I652" s="6"/>
      <c r="J652" s="6"/>
    </row>
    <row r="653">
      <c r="A653" s="12" t="s">
        <v>1834</v>
      </c>
      <c r="B653" s="7" t="s">
        <v>1835</v>
      </c>
      <c r="C653" s="7" t="s">
        <v>1836</v>
      </c>
      <c r="D653" s="8">
        <v>12500.0</v>
      </c>
      <c r="E653" s="9">
        <v>50.0</v>
      </c>
      <c r="F653" s="10" t="str">
        <f>IFERROR(__xludf.DUMMYFUNCTION("LOWER(REGEXREPLACE(B653&amp;"" ""&amp;C653,""[^а-яa-z0-9 ]"","" ""))"),"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"&amp;"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f>
        <v>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v>
      </c>
      <c r="G653" s="10" t="str">
        <f>IFERROR(__xludf.DUMMYFUNCTION("TEXTJOIN(""|"",TRUE,UNIQUE(FILTER(SPLIT(F653,"" ""),LEN(SPLIT(F653,"" ""))&gt;2)))"),"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amp;"силуэтами|бабочек|бабочка|одного|цвета|кубики|бабочки|двух|цветов|коврик|инструкция|карточки|бабочками|узорами")</f>
        <v>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силуэтами|бабочек|бабочка|одного|цвета|кубики|бабочки|двух|цветов|коврик|инструкция|карточки|бабочками|узорами</v>
      </c>
      <c r="I653" s="6"/>
      <c r="J653" s="6"/>
    </row>
    <row r="654">
      <c r="A654" s="12" t="s">
        <v>1837</v>
      </c>
      <c r="B654" s="7" t="s">
        <v>1838</v>
      </c>
      <c r="C654" s="7" t="s">
        <v>1839</v>
      </c>
      <c r="D654" s="8">
        <v>10800.0</v>
      </c>
      <c r="E654" s="9">
        <v>50.0</v>
      </c>
      <c r="F654" s="10" t="str">
        <f>IFERROR(__xludf.DUMMYFUNCTION("LOWER(REGEXREPLACE(B654&amp;"" ""&amp;C654,""[^а-яa-z0-9 ]"","" ""))"),"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"&amp;"16 шт    карточки для формирования игрового поля   9 шт    инструкция  1 шт  ")</f>
        <v>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  </v>
      </c>
      <c r="G654" s="10" t="str">
        <f>IFERROR(__xludf.DUMMYFUNCTION("TEXTJOIN(""|"",TRUE,UNIQUE(FILTER(SPLIT(F654,"" ""),LEN(SPLIT(F654,"" ""))&gt;2)))"),"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f>
        <v>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v>
      </c>
      <c r="I654" s="6"/>
      <c r="J654" s="6"/>
    </row>
    <row r="655">
      <c r="A655" s="12" t="s">
        <v>1840</v>
      </c>
      <c r="B655" s="7" t="s">
        <v>1841</v>
      </c>
      <c r="C655" s="7" t="s">
        <v>1842</v>
      </c>
      <c r="D655" s="8">
        <v>66500.0</v>
      </c>
      <c r="E655" s="9">
        <v>7.0</v>
      </c>
      <c r="F655" s="10" t="str">
        <f>IFERROR(__xludf.DUMMYFUNCTION("LOWER(REGEXREPLACE(B655&amp;"" ""&amp;C655,""[^а-яa-z0-9 ]"","" ""))")," астольные развивающие игры  азвивающие настольные игры направлены на тренировку логики  памяти  внимания  стратегического мышления и речи у детей")</f>
        <v> астольные развивающие игры  азвивающие настольные игры направлены на тренировку логики  памяти  внимания  стратегического мышления и речи у детей</v>
      </c>
      <c r="G655" s="10" t="str">
        <f>IFERROR(__xludf.DUMMYFUNCTION("TEXTJOIN(""|"",TRUE,UNIQUE(FILTER(SPLIT(F655,"" ""),LEN(SPLIT(F655,"" ""))&gt;2)))"),"астольные|развивающие|игры|азвивающие|настольные|игры|направлены|тренировку|логики|памяти|внимания|стратегического|мышления|речи|детей")</f>
        <v>астольные|развивающие|игры|азвивающие|настольные|игры|направлены|тренировку|логики|памяти|внимания|стратегического|мышления|речи|детей</v>
      </c>
      <c r="I655" s="6"/>
      <c r="J655" s="6"/>
    </row>
    <row r="656">
      <c r="A656" s="12" t="s">
        <v>1843</v>
      </c>
      <c r="B656" s="7" t="s">
        <v>1844</v>
      </c>
      <c r="C656" s="7" t="s">
        <v>1845</v>
      </c>
      <c r="D656" s="8">
        <v>47500.0</v>
      </c>
      <c r="E656" s="9">
        <v>1.0</v>
      </c>
      <c r="F656" s="10" t="str">
        <f>IFERROR(__xludf.DUMMYFUNCTION("LOWER(REGEXREPLACE(B656&amp;"" ""&amp;C656,""[^а-яa-z0-9 ]"","" ""))"),"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онструкция"&amp;" рассчитана на установку на горизонтальной поверхности ")</f>
        <v>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 рассчитана на установку на горизонтальной поверхности </v>
      </c>
      <c r="G656" s="10" t="str">
        <f>IFERROR(__xludf.DUMMYFUNCTION("TEXTJOIN(""|"",TRUE,UNIQUE(FILTER(SPLIT(F656,"" ""),LEN(SPLIT(F656,"" ""))&gt;2)))"),"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amp;"новку|горизонтальной|поверхности")</f>
        <v>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новку|горизонтальной|поверхности</v>
      </c>
      <c r="I656" s="6"/>
      <c r="J656" s="6"/>
    </row>
    <row r="657">
      <c r="A657" s="12" t="s">
        <v>1846</v>
      </c>
      <c r="B657" s="7" t="s">
        <v>1847</v>
      </c>
      <c r="C657" s="7" t="s">
        <v>1848</v>
      </c>
      <c r="D657" s="8">
        <v>10700.0</v>
      </c>
      <c r="E657" s="9">
        <v>1.0</v>
      </c>
      <c r="F657" s="10" t="str">
        <f>IFERROR(__xludf.DUMMYFUNCTION("LOWER(REGEXREPLACE(B657&amp;"" ""&amp;C657,""[^а-яa-z0-9 ]"","" ""))"),"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оф"&amp;"ормлении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тактиль"&amp;"ного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"&amp;"     онструкция и материалы соответствуют требованиям использования в детских учреждениях ")</f>
        <v>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онструкция и материалы соответствуют требованиям использования в детских учреждениях </v>
      </c>
      <c r="G657" s="10" t="str">
        <f>IFERROR(__xludf.DUMMYFUNCTION("TEXTJOIN(""|"",TRUE,UNIQUE(FILTER(SPLIT(F657,"" ""),LEN(SPLIT(F657,"" ""))&gt;2)))"),"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amp;"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amp;"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amp;"ия|детских|учреждениях")</f>
        <v>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ия|детских|учреждениях</v>
      </c>
      <c r="I657" s="6"/>
      <c r="J657" s="6"/>
    </row>
    <row r="658">
      <c r="A658" s="12" t="s">
        <v>1849</v>
      </c>
      <c r="B658" s="7" t="s">
        <v>1850</v>
      </c>
      <c r="C658" s="7" t="s">
        <v>1851</v>
      </c>
      <c r="D658" s="8">
        <v>30400.0</v>
      </c>
      <c r="E658" s="9">
        <v>5.0</v>
      </c>
      <c r="F658" s="10" t="str">
        <f>IFERROR(__xludf.DUMMYFUNCTION("LOWER(REGEXREPLACE(B658&amp;"" ""&amp;C658,""[^а-яa-z0-9 ]"","" ""))"),"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разв"&amp;"итию координации движений и интереса к народным играм   гровые элементы изготовлены из прочных материалов ")</f>
        <v>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развитию координации движений и интереса к народным играм   гровые элементы изготовлены из прочных материалов </v>
      </c>
      <c r="G658" s="10" t="str">
        <f>IFERROR(__xludf.DUMMYFUNCTION("TEXTJOIN(""|"",TRUE,UNIQUE(FILTER(SPLIT(F658,"" ""),LEN(SPLIT(F658,"" ""))&gt;2)))"),"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amp;"еса|народным|играм|гровые|элементы|изготовлены|прочных|материалов")</f>
        <v>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еса|народным|играм|гровые|элементы|изготовлены|прочных|материалов</v>
      </c>
      <c r="I658" s="6"/>
      <c r="J658" s="6"/>
    </row>
    <row r="659">
      <c r="A659" s="12" t="s">
        <v>1852</v>
      </c>
      <c r="B659" s="7" t="s">
        <v>1853</v>
      </c>
      <c r="C659" s="7" t="s">
        <v>1854</v>
      </c>
      <c r="D659" s="8">
        <v>19600.0</v>
      </c>
      <c r="E659" s="9">
        <v>15.0</v>
      </c>
      <c r="F659" s="10" t="str">
        <f>IFERROR(__xludf.DUMMYFUNCTION("LOWER(REGEXREPLACE(B659&amp;"" ""&amp;C659,""[^а-яa-z0-9 ]"","" ""))"),"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выступлени"&amp;"й  праздничных мероприятий и национальных празднико")</f>
        <v>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выступлений  праздничных мероприятий и национальных празднико</v>
      </c>
      <c r="G659" s="10" t="str">
        <f>IFERROR(__xludf.DUMMYFUNCTION("TEXTJOIN(""|"",TRUE,UNIQUE(FILTER(SPLIT(F659,"" ""),LEN(SPLIT(F659,"" ""))&gt;2)))"),"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amp;"ятий|национальных|празднико")</f>
        <v>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ятий|национальных|празднико</v>
      </c>
      <c r="I659" s="6"/>
      <c r="J659" s="6"/>
    </row>
    <row r="660">
      <c r="A660" s="12" t="s">
        <v>1855</v>
      </c>
      <c r="B660" s="7" t="s">
        <v>1856</v>
      </c>
      <c r="C660" s="7" t="s">
        <v>1338</v>
      </c>
      <c r="D660" s="8">
        <v>14000.0</v>
      </c>
      <c r="E660" s="9">
        <v>1.0</v>
      </c>
      <c r="F660" s="10" t="str">
        <f>IFERROR(__xludf.DUMMYFUNCTION("LOWER(REGEXREPLACE(B660&amp;"" ""&amp;C660,""[^а-яa-z0-9 ]"","" ""))")," еликий  бай   нциклопедия  буб к р      ужикова      айрамбаева   ")</f>
        <v> еликий  бай   нциклопедия  буб к р      ужикова      айрамбаева   </v>
      </c>
      <c r="G660" s="10" t="str">
        <f>IFERROR(__xludf.DUMMYFUNCTION("TEXTJOIN(""|"",TRUE,UNIQUE(FILTER(SPLIT(F660,"" ""),LEN(SPLIT(F660,"" ""))&gt;2)))"),"еликий|бай|нциклопедия|буб|ужикова|айрамбаева")</f>
        <v>еликий|бай|нциклопедия|буб|ужикова|айрамбаева</v>
      </c>
      <c r="I660" s="6"/>
      <c r="J660" s="6"/>
    </row>
    <row r="661">
      <c r="A661" s="12" t="s">
        <v>1857</v>
      </c>
      <c r="B661" s="7" t="s">
        <v>1858</v>
      </c>
      <c r="C661" s="7" t="s">
        <v>1859</v>
      </c>
      <c r="D661" s="8">
        <v>19600.0</v>
      </c>
      <c r="E661" s="9">
        <v>15.0</v>
      </c>
      <c r="F661" s="10" t="str">
        <f>IFERROR(__xludf.DUMMYFUNCTION("LOWER(REGEXREPLACE(B661&amp;"" ""&amp;C661,""[^а-яa-z0-9 ]"","" ""))"),"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формир"&amp;"ованию интереса к традиционной культуре и развитию эмоциональной выразительности ")</f>
        <v>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формированию интереса к традиционной культуре и развитию эмоциональной выразительности </v>
      </c>
      <c r="G661" s="10" t="str">
        <f>IFERROR(__xludf.DUMMYFUNCTION("TEXTJOIN(""|"",TRUE,UNIQUE(FILTER(SPLIT(F661,"" ""),LEN(SPLIT(F661,"" ""))&gt;2)))"),"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amp;"адиционной|культуре|развитию|эмоциональной|выразительности")</f>
        <v>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адиционной|культуре|развитию|эмоциональной|выразительности</v>
      </c>
      <c r="I661" s="6"/>
      <c r="J661" s="6"/>
    </row>
    <row r="662">
      <c r="A662" s="12" t="s">
        <v>1860</v>
      </c>
      <c r="B662" s="7" t="s">
        <v>1861</v>
      </c>
      <c r="C662" s="7" t="s">
        <v>1862</v>
      </c>
      <c r="D662" s="8">
        <v>855000.0</v>
      </c>
      <c r="E662" s="9">
        <v>1.0</v>
      </c>
      <c r="F662" s="10" t="str">
        <f>IFERROR(__xludf.DUMMYFUNCTION("LOWER(REGEXREPLACE(B662&amp;"" ""&amp;C662,""[^а-яa-z0-9 ]"","" ""))"),"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атериал"&amp;"   дерево или облегч нный композит   азмещение   настенное  угловое ")</f>
        <v>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   дерево или облегч нный композит   азмещение   настенное  угловое </v>
      </c>
      <c r="G662" s="10" t="str">
        <f>IFERROR(__xludf.DUMMYFUNCTION("TEXTJOIN(""|"",TRUE,UNIQUE(FILTER(SPLIT(F662,"" ""),LEN(SPLIT(F662,"" ""))&gt;2)))"),"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amp;"омпозит|азмещение|настенное|угловое")</f>
        <v>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омпозит|азмещение|настенное|угловое</v>
      </c>
      <c r="I662" s="6"/>
      <c r="J662" s="6"/>
    </row>
    <row r="663">
      <c r="A663" s="12" t="s">
        <v>1863</v>
      </c>
      <c r="B663" s="7" t="s">
        <v>1864</v>
      </c>
      <c r="C663" s="7" t="s">
        <v>1865</v>
      </c>
      <c r="D663" s="8">
        <v>30200.0</v>
      </c>
      <c r="E663" s="9">
        <v>1.0</v>
      </c>
      <c r="F663" s="10" t="str">
        <f>IFERROR(__xludf.DUMMYFUNCTION("LOWER(REGEXREPLACE(B663&amp;"" ""&amp;C663,""[^а-яa-z0-9 ]"","" ""))"),"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д"&amp;"ошкольного возраста ")</f>
        <v>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 </v>
      </c>
      <c r="G663" s="10" t="str">
        <f>IFERROR(__xludf.DUMMYFUNCTION("TEXTJOIN(""|"",TRUE,UNIQUE(FILTER(SPLIT(F663,"" ""),LEN(SPLIT(F663,"" ""))&gt;2)))"),"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f>
        <v>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v>
      </c>
      <c r="I663" s="6"/>
      <c r="J663" s="6"/>
    </row>
    <row r="664">
      <c r="A664" s="12" t="s">
        <v>1866</v>
      </c>
      <c r="B664" s="7" t="s">
        <v>1867</v>
      </c>
      <c r="C664" s="7" t="s">
        <v>1868</v>
      </c>
      <c r="D664" s="8">
        <v>35500.0</v>
      </c>
      <c r="E664" s="9">
        <v>1.0</v>
      </c>
      <c r="F664" s="10" t="str">
        <f>IFERROR(__xludf.DUMMYFUNCTION("LOWER(REGEXREPLACE(B664&amp;"" ""&amp;C664,""[^а-яa-z0-9 ]"","" ""))"),"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"&amp;"числе в логопедической практике ")</f>
        <v>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числе в логопедической практике </v>
      </c>
      <c r="G664" s="10" t="str">
        <f>IFERROR(__xludf.DUMMYFUNCTION("TEXTJOIN(""|"",TRUE,UNIQUE(FILTER(SPLIT(F664,"" ""),LEN(SPLIT(F664,"" ""))&gt;2)))"),"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amp;"еской|практике")</f>
        <v>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еской|практике</v>
      </c>
      <c r="I664" s="6"/>
      <c r="J664" s="6"/>
    </row>
    <row r="665">
      <c r="A665" s="12" t="s">
        <v>1869</v>
      </c>
      <c r="B665" s="7" t="s">
        <v>1870</v>
      </c>
      <c r="C665" s="7" t="s">
        <v>1871</v>
      </c>
      <c r="D665" s="8">
        <v>3600.0</v>
      </c>
      <c r="E665" s="9">
        <v>1.0</v>
      </c>
      <c r="F665" s="10" t="str">
        <f>IFERROR(__xludf.DUMMYFUNCTION("LOWER(REGEXREPLACE(B665&amp;"" ""&amp;C665,""[^а-яa-z0-9 ]"","" ""))")," ельсон   elson  каз   рус   англ яз      ейси  перевод  ужикова      санова    ")</f>
        <v> ельсон   elson  каз   рус   англ яз      ейси  перевод  ужикова      санова    </v>
      </c>
      <c r="G665" s="10" t="str">
        <f>IFERROR(__xludf.DUMMYFUNCTION("TEXTJOIN(""|"",TRUE,UNIQUE(FILTER(SPLIT(F665,"" ""),LEN(SPLIT(F665,"" ""))&gt;2)))"),"ельсон|elson|каз|рус|англ|ейси|перевод|ужикова|санова")</f>
        <v>ельсон|elson|каз|рус|англ|ейси|перевод|ужикова|санова</v>
      </c>
      <c r="I665" s="6"/>
      <c r="J665" s="6"/>
    </row>
    <row r="666">
      <c r="A666" s="12" t="s">
        <v>1872</v>
      </c>
      <c r="B666" s="7" t="s">
        <v>1873</v>
      </c>
      <c r="C666" s="7" t="s">
        <v>1874</v>
      </c>
      <c r="D666" s="8">
        <v>3000.0</v>
      </c>
      <c r="E666" s="9">
        <v>12.0</v>
      </c>
      <c r="F666" s="10" t="str">
        <f>IFERROR(__xludf.DUMMYFUNCTION("LOWER(REGEXREPLACE(B666&amp;"" ""&amp;C666,""[^а-яa-z0-9 ]"","" ""))"),"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f>
        <v>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v>
      </c>
      <c r="G666" s="10" t="str">
        <f>IFERROR(__xludf.DUMMYFUNCTION("TEXTJOIN(""|"",TRUE,UNIQUE(FILTER(SPLIT(F666,"" ""),LEN(SPLIT(F666,"" ""))&gt;2)))"),"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f>
        <v>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v>
      </c>
      <c r="I666" s="6"/>
      <c r="J666" s="6"/>
    </row>
    <row r="667">
      <c r="A667" s="12" t="s">
        <v>1875</v>
      </c>
      <c r="B667" s="7" t="s">
        <v>1876</v>
      </c>
      <c r="C667" s="7" t="s">
        <v>1877</v>
      </c>
      <c r="D667" s="8">
        <v>1900.0</v>
      </c>
      <c r="E667" s="9">
        <v>45.0</v>
      </c>
      <c r="F667" s="10" t="str">
        <f>IFERROR(__xludf.DUMMYFUNCTION("LOWER(REGEXREPLACE(B667&amp;"" ""&amp;C667,""[^а-яa-z0-9 ]"","" ""))"),"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f>
        <v>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v>
      </c>
      <c r="G667" s="10" t="str">
        <f>IFERROR(__xludf.DUMMYFUNCTION("TEXTJOIN(""|"",TRUE,UNIQUE(FILTER(SPLIT(F667,"" ""),LEN(SPLIT(F667,"" ""))&gt;2)))"),"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f>
        <v>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v>
      </c>
      <c r="I667" s="6"/>
      <c r="J667" s="6"/>
    </row>
    <row r="668">
      <c r="A668" s="12" t="s">
        <v>1878</v>
      </c>
      <c r="B668" s="7" t="s">
        <v>1879</v>
      </c>
      <c r="C668" s="7" t="s">
        <v>1880</v>
      </c>
      <c r="D668" s="8">
        <v>21700.0</v>
      </c>
      <c r="E668" s="9">
        <v>2.0</v>
      </c>
      <c r="F668" s="10" t="str">
        <f>IFERROR(__xludf.DUMMYFUNCTION("LOWER(REGEXREPLACE(B668&amp;"" ""&amp;C668,""[^а-яa-z0-9 ]"","" ""))")," ожницы с одним острым концом прямые  едицинские ножницы для проведения процедур  требующих точности ")</f>
        <v> ожницы с одним острым концом прямые  едицинские ножницы для проведения процедур  требующих точности </v>
      </c>
      <c r="G668" s="10" t="str">
        <f>IFERROR(__xludf.DUMMYFUNCTION("TEXTJOIN(""|"",TRUE,UNIQUE(FILTER(SPLIT(F668,"" ""),LEN(SPLIT(F668,"" ""))&gt;2)))"),"ожницы|одним|острым|концом|прямые|едицинские|ножницы|для|проведения|процедур|требующих|точности")</f>
        <v>ожницы|одним|острым|концом|прямые|едицинские|ножницы|для|проведения|процедур|требующих|точности</v>
      </c>
      <c r="I668" s="6"/>
      <c r="J668" s="6"/>
    </row>
    <row r="669">
      <c r="A669" s="12" t="s">
        <v>1881</v>
      </c>
      <c r="B669" s="7" t="s">
        <v>1882</v>
      </c>
      <c r="C669" s="7" t="s">
        <v>1883</v>
      </c>
      <c r="D669" s="8">
        <v>9600.0</v>
      </c>
      <c r="E669" s="9">
        <v>2.0</v>
      </c>
      <c r="F669" s="10" t="str">
        <f>IFERROR(__xludf.DUMMYFUNCTION("LOWER(REGEXREPLACE(B669&amp;"" ""&amp;C669,""[^а-яa-z0-9 ]"","" ""))")," ожницы тупоконечные  спользуются для медицинских и хозяйственных нужд   езопасны за сч т закругл нных концов ")</f>
        <v> ожницы тупоконечные  спользуются для медицинских и хозяйственных нужд   езопасны за сч т закругл нных концов </v>
      </c>
      <c r="G669" s="10" t="str">
        <f>IFERROR(__xludf.DUMMYFUNCTION("TEXTJOIN(""|"",TRUE,UNIQUE(FILTER(SPLIT(F669,"" ""),LEN(SPLIT(F669,"" ""))&gt;2)))"),"ожницы|тупоконечные|спользуются|для|медицинских|хозяйственных|нужд|езопасны|закругл|нных|концов")</f>
        <v>ожницы|тупоконечные|спользуются|для|медицинских|хозяйственных|нужд|езопасны|закругл|нных|концов</v>
      </c>
      <c r="I669" s="6"/>
      <c r="J669" s="6"/>
    </row>
    <row r="670">
      <c r="A670" s="12" t="s">
        <v>1884</v>
      </c>
      <c r="B670" s="7" t="s">
        <v>1885</v>
      </c>
      <c r="C670" s="7" t="s">
        <v>1886</v>
      </c>
      <c r="D670" s="8">
        <v>9100.0</v>
      </c>
      <c r="E670" s="9">
        <v>5.0</v>
      </c>
      <c r="F670" s="10" t="str">
        <f>IFERROR(__xludf.DUMMYFUNCTION("LOWER(REGEXREPLACE(B670&amp;"" ""&amp;C670,""[^а-яa-z0-9 ]"","" ""))"),"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з"&amp;"готовлены из пластика и предназначены для уличного использования ")</f>
        <v>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зготовлены из пластика и предназначены для уличного использования </v>
      </c>
      <c r="G670" s="10" t="str">
        <f>IFERROR(__xludf.DUMMYFUNCTION("TEXTJOIN(""|"",TRUE,UNIQUE(FILTER(SPLIT(F670,"" ""),LEN(SPLIT(F670,"" ""))&gt;2)))"),"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amp;"редназначены|для|уличного|использования")</f>
        <v>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редназначены|для|уличного|использования</v>
      </c>
      <c r="I670" s="6"/>
      <c r="J670" s="6"/>
    </row>
    <row r="671">
      <c r="A671" s="12" t="s">
        <v>1887</v>
      </c>
      <c r="B671" s="7" t="s">
        <v>1888</v>
      </c>
      <c r="C671" s="7" t="s">
        <v>1889</v>
      </c>
      <c r="D671" s="8">
        <v>122300.0</v>
      </c>
      <c r="E671" s="9">
        <v>4.0</v>
      </c>
      <c r="F671" s="10" t="str">
        <f>IFERROR(__xludf.DUMMYFUNCTION("LOWER(REGEXREPLACE(B671&amp;"" ""&amp;C671,""[^а-яa-z0-9 ]"","" ""))")," блучатель бактерицидный obn 150 kront  акт   ффективность  99 9    99 0    95 0   роизводительность  100   150   230  м3 час  актерицидные лампы  2 х 30  т  араметры  1090х150х100 мм ")</f>
        <v> блучатель бактерицидный obn 150 kront  акт   ффективность  99 9    99 0    95 0   роизводительность  100   150   230  м3 час  актерицидные лампы  2 х 30  т  араметры  1090х150х100 мм </v>
      </c>
      <c r="G671" s="10" t="str">
        <f>IFERROR(__xludf.DUMMYFUNCTION("TEXTJOIN(""|"",TRUE,UNIQUE(FILTER(SPLIT(F671,"" ""),LEN(SPLIT(F671,"" ""))&gt;2)))"),"блучатель|бактерицидный|obn|150|kront|акт|ффективность|роизводительность|100|150|230|час|актерицидные|лампы|араметры|1090х150х100")</f>
        <v>блучатель|бактерицидный|obn|150|kront|акт|ффективность|роизводительность|100|150|230|час|актерицидные|лампы|араметры|1090х150х100</v>
      </c>
      <c r="I671" s="6"/>
      <c r="J671" s="6"/>
    </row>
    <row r="672">
      <c r="A672" s="12" t="s">
        <v>1890</v>
      </c>
      <c r="B672" s="7" t="s">
        <v>1891</v>
      </c>
      <c r="C672" s="7" t="s">
        <v>1892</v>
      </c>
      <c r="D672" s="8">
        <v>1658600.0</v>
      </c>
      <c r="E672" s="9">
        <v>1.0</v>
      </c>
      <c r="F672" s="10" t="str">
        <f>IFERROR(__xludf.DUMMYFUNCTION("LOWER(REGEXREPLACE(B672&amp;"" ""&amp;C672,""[^а-яa-z0-9 ]"","" ""))"),"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простран"&amp;"стве   редназначено для размещения в помещениях ")</f>
        <v>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пространстве   редназначено для размещения в помещениях </v>
      </c>
      <c r="G672" s="10" t="str">
        <f>IFERROR(__xludf.DUMMYFUNCTION("TEXTJOIN(""|"",TRUE,UNIQUE(FILTER(SPLIT(F672,"" ""),LEN(SPLIT(F672,"" ""))&gt;2)))"),"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amp;"но|для|размещения|помещениях")</f>
        <v>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но|для|размещения|помещениях</v>
      </c>
      <c r="I672" s="6"/>
      <c r="J672" s="6"/>
    </row>
    <row r="673">
      <c r="A673" s="12" t="s">
        <v>1893</v>
      </c>
      <c r="B673" s="7" t="s">
        <v>1894</v>
      </c>
      <c r="C673" s="7" t="s">
        <v>1895</v>
      </c>
      <c r="D673" s="8">
        <v>5300.0</v>
      </c>
      <c r="E673" s="9">
        <v>1.0</v>
      </c>
      <c r="F673" s="10" t="str">
        <f>IFERROR(__xludf.DUMMYFUNCTION("LOWER(REGEXREPLACE(B673&amp;"" ""&amp;C673,""[^а-яa-z0-9 ]"","" ""))"),"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кла"&amp;"ссификации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для"&amp;" детей  обеспечивает удобство использования и долговечность при эксплуатации в условиях     ")</f>
        <v>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 детей  обеспечивает удобство использования и долговечность при эксплуатации в условиях     </v>
      </c>
      <c r="G673" s="10" t="str">
        <f>IFERROR(__xludf.DUMMYFUNCTION("TEXTJOIN(""|"",TRUE,UNIQUE(FILTER(SPLIT(F673,"" ""),LEN(SPLIT(F673,"" ""))&gt;2)))"),"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amp;"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amp;"ия|долговечность|при|эксплуатации|условиях")</f>
        <v>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ия|долговечность|при|эксплуатации|условиях</v>
      </c>
      <c r="I673" s="6"/>
      <c r="J673" s="6"/>
    </row>
    <row r="674">
      <c r="A674" s="12" t="s">
        <v>1896</v>
      </c>
      <c r="B674" s="7" t="s">
        <v>1897</v>
      </c>
      <c r="C674" s="7" t="s">
        <v>1898</v>
      </c>
      <c r="D674" s="8">
        <v>4800.0</v>
      </c>
      <c r="E674" s="9">
        <v>20.0</v>
      </c>
      <c r="F674" s="10" t="str">
        <f>IFERROR(__xludf.DUMMYFUNCTION("LOWER(REGEXREPLACE(B674&amp;"" ""&amp;C674,""[^а-яa-z0-9 ]"","" ""))"),"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эстафетах"&amp;"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f>
        <v>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v>
      </c>
      <c r="G674" s="10" t="str">
        <f>IFERROR(__xludf.DUMMYFUNCTION("TEXTJOIN(""|"",TRUE,UNIQUE(FILTER(SPLIT(F674,"" ""),LEN(SPLIT(F674,"" ""))&gt;2)))"),"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amp;"дходят|для|детей|разного|возраста|безопасны|использовании|устойчивы|износу|обеспечивают|комфортную|эксплуатацию|помещениях|открытых|площадках|детского|сада")</f>
        <v>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дходят|для|детей|разного|возраста|безопасны|использовании|устойчивы|износу|обеспечивают|комфортную|эксплуатацию|помещениях|открытых|площадках|детского|сада</v>
      </c>
      <c r="I674" s="6"/>
      <c r="J674" s="6"/>
    </row>
    <row r="675">
      <c r="A675" s="12" t="s">
        <v>1899</v>
      </c>
      <c r="B675" s="7" t="s">
        <v>1900</v>
      </c>
      <c r="C675" s="7" t="s">
        <v>1901</v>
      </c>
      <c r="D675" s="8">
        <v>10600.0</v>
      </c>
      <c r="E675" s="9">
        <v>5.0</v>
      </c>
      <c r="F675" s="10" t="str">
        <f>IFERROR(__xludf.DUMMYFUNCTION("LOWER(REGEXREPLACE(B675&amp;"" ""&amp;C675,""[^а-яa-z0-9 ]"","" ""))"),"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"&amp;"  акая деятельность способствует развитию логического мышления и навыков сч та   атериалы набора включают бумажные карточки и элементы из дерева ")</f>
        <v>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акая деятельность способствует развитию логического мышления и навыков сч та   атериалы набора включают бумажные карточки и элементы из дерева </v>
      </c>
      <c r="G675" s="10" t="str">
        <f>IFERROR(__xludf.DUMMYFUNCTION("TEXTJOIN(""|"",TRUE,UNIQUE(FILTER(SPLIT(F675,"" ""),LEN(SPLIT(F675,"" ""))&gt;2)))"),"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amp;"обствует|развитию|логического|мышления|навыков|атериалы|набора|включают|бумажные|карточки|элементы|дерева")</f>
        <v>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обствует|развитию|логического|мышления|навыков|атериалы|набора|включают|бумажные|карточки|элементы|дерева</v>
      </c>
      <c r="I675" s="6"/>
      <c r="J675" s="6"/>
    </row>
    <row r="676">
      <c r="A676" s="12" t="s">
        <v>1902</v>
      </c>
      <c r="B676" s="7" t="s">
        <v>1903</v>
      </c>
      <c r="C676" s="7" t="s">
        <v>1904</v>
      </c>
      <c r="D676" s="8">
        <v>2600.0</v>
      </c>
      <c r="E676" s="9">
        <v>5.0</v>
      </c>
      <c r="F676" s="10" t="str">
        <f>IFERROR(__xludf.DUMMYFUNCTION("LOWER(REGEXREPLACE(B676&amp;"" ""&amp;C676,""[^а-яa-z0-9 ]"","" ""))"),"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обр"&amp;"азовательной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f>
        <v>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v>
      </c>
      <c r="G676" s="10" t="str">
        <f>IFERROR(__xludf.DUMMYFUNCTION("TEXTJOIN(""|"",TRUE,UNIQUE(FILTER(SPLIT(F676,"" ""),LEN(SPLIT(F676,"" ""))&gt;2)))"),"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amp;"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f>
        <v>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v>
      </c>
      <c r="I676" s="6"/>
      <c r="J676" s="6"/>
    </row>
    <row r="677">
      <c r="A677" s="12" t="s">
        <v>1905</v>
      </c>
      <c r="B677" s="7" t="s">
        <v>1906</v>
      </c>
      <c r="C677" s="7" t="s">
        <v>1907</v>
      </c>
      <c r="D677" s="8">
        <v>26600.0</v>
      </c>
      <c r="E677" s="9">
        <v>1.0</v>
      </c>
      <c r="F677" s="10" t="str">
        <f>IFERROR(__xludf.DUMMYFUNCTION("LOWER(REGEXREPLACE(B677&amp;"" ""&amp;C677,""[^а-яa-z0-9 ]"","" ""))"),"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"&amp;"охватывает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f>
        <v>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v>
      </c>
      <c r="G677" s="10" t="str">
        <f>IFERROR(__xludf.DUMMYFUNCTION("TEXTJOIN(""|"",TRUE,UNIQUE(FILTER(SPLIT(F677,"" ""),LEN(SPLIT(F677,"" ""))&gt;2)))"),"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amp;"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f>
        <v>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v>
      </c>
      <c r="I677" s="6"/>
      <c r="J677" s="6"/>
    </row>
    <row r="678">
      <c r="A678" s="12" t="s">
        <v>1908</v>
      </c>
      <c r="B678" s="7" t="s">
        <v>1909</v>
      </c>
      <c r="C678" s="7" t="s">
        <v>1910</v>
      </c>
      <c r="D678" s="8">
        <v>5700.0</v>
      </c>
      <c r="E678" s="9">
        <v>1.0</v>
      </c>
      <c r="F678" s="10" t="str">
        <f>IFERROR(__xludf.DUMMYFUNCTION("LOWER(REGEXREPLACE(B678&amp;"" ""&amp;C678,""[^а-яa-z0-9 ]"","" ""))"),"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словарного"&amp;"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безоп"&amp;"асны и соответствуют условиям эксплуатации в     ")</f>
        <v>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безопасны и соответствуют условиям эксплуатации в     </v>
      </c>
      <c r="G678" s="10" t="str">
        <f>IFERROR(__xludf.DUMMYFUNCTION("TEXTJOIN(""|"",TRUE,UNIQUE(FILTER(SPLIT(F678,"" ""),LEN(SPLIT(F678,"" ""))&gt;2)))"),"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amp;"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amp;"атации")</f>
        <v>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атации</v>
      </c>
      <c r="I678" s="6"/>
      <c r="J678" s="6"/>
    </row>
    <row r="679">
      <c r="A679" s="12" t="s">
        <v>1911</v>
      </c>
      <c r="B679" s="7" t="s">
        <v>1912</v>
      </c>
      <c r="C679" s="7" t="s">
        <v>1913</v>
      </c>
      <c r="D679" s="8">
        <v>36000.0</v>
      </c>
      <c r="E679" s="9">
        <v>320.0</v>
      </c>
      <c r="F679" s="10" t="str">
        <f>IFERROR(__xludf.DUMMYFUNCTION("LOWER(REGEXREPLACE(B679&amp;"" ""&amp;C679,""[^а-яa-z0-9 ]"","" ""))"),"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гиги"&amp;"еническим требованиям  предъявляемым к изделиям для детских учреждений ")</f>
        <v>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гигиеническим требованиям  предъявляемым к изделиям для детских учреждений </v>
      </c>
      <c r="G679" s="10" t="str">
        <f>IFERROR(__xludf.DUMMYFUNCTION("TEXTJOIN(""|"",TRUE,UNIQUE(FILTER(SPLIT(F679,"" ""),LEN(SPLIT(F679,"" ""))&gt;2)))"),"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amp;"иям|предъявляемым|изделиям|для|детских|учреждений")</f>
        <v>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иям|предъявляемым|изделиям|для|детских|учреждений</v>
      </c>
      <c r="I679" s="6"/>
      <c r="J679" s="6"/>
    </row>
    <row r="680">
      <c r="A680" s="12" t="s">
        <v>1914</v>
      </c>
      <c r="B680" s="7" t="s">
        <v>1915</v>
      </c>
      <c r="C680" s="7" t="s">
        <v>1916</v>
      </c>
      <c r="D680" s="8">
        <v>9900.0</v>
      </c>
      <c r="E680" s="9">
        <v>7.0</v>
      </c>
      <c r="F680" s="10" t="str">
        <f>IFERROR(__xludf.DUMMYFUNCTION("LOWER(REGEXREPLACE(B680&amp;"" ""&amp;C680,""[^а-яa-z0-9 ]"","" ""))"),"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f>
        <v>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v>
      </c>
      <c r="G680" s="10" t="str">
        <f>IFERROR(__xludf.DUMMYFUNCTION("TEXTJOIN(""|"",TRUE,UNIQUE(FILTER(SPLIT(F680,"" ""),LEN(SPLIT(F680,"" ""))&gt;2)))"),"есы|детские|набор|входит|весы|двумя|лотками|грузов|различного|веса|вет|ассортименте|без|возможности|выбора|азмер|игрушки|атериал|пластик")</f>
        <v>есы|детские|набор|входит|весы|двумя|лотками|грузов|различного|веса|вет|ассортименте|без|возможности|выбора|азмер|игрушки|атериал|пластик</v>
      </c>
      <c r="I680" s="6"/>
      <c r="J680" s="6"/>
    </row>
    <row r="681">
      <c r="A681" s="12" t="s">
        <v>1917</v>
      </c>
      <c r="B681" s="7" t="s">
        <v>1918</v>
      </c>
      <c r="C681" s="7" t="s">
        <v>1919</v>
      </c>
      <c r="D681" s="8">
        <v>12600.0</v>
      </c>
      <c r="E681" s="9">
        <v>1.0</v>
      </c>
      <c r="F681" s="10" t="str">
        <f>IFERROR(__xludf.DUMMYFUNCTION("LOWER(REGEXREPLACE(B681&amp;"" ""&amp;C681,""[^а-яa-z0-9 ]"","" ""))")," йсана  л ппес    уа ты шума тар    алжанова")</f>
        <v> йсана  л ппес    уа ты шума тар    алжанова</v>
      </c>
      <c r="G681" s="10" t="str">
        <f>IFERROR(__xludf.DUMMYFUNCTION("TEXTJOIN(""|"",TRUE,UNIQUE(FILTER(SPLIT(F681,"" ""),LEN(SPLIT(F681,"" ""))&gt;2)))"),"йсана|ппес|шума|тар|алжанова")</f>
        <v>йсана|ппес|шума|тар|алжанова</v>
      </c>
      <c r="I681" s="6"/>
      <c r="J681" s="6"/>
    </row>
    <row r="682">
      <c r="A682" s="12" t="s">
        <v>1920</v>
      </c>
      <c r="B682" s="7" t="s">
        <v>1921</v>
      </c>
      <c r="C682" s="7" t="s">
        <v>1922</v>
      </c>
      <c r="D682" s="8">
        <v>2200.0</v>
      </c>
      <c r="E682" s="9">
        <v>1.0</v>
      </c>
      <c r="F682" s="10" t="str">
        <f>IFERROR(__xludf.DUMMYFUNCTION("LOWER(REGEXREPLACE(B682&amp;"" ""&amp;C682,""[^а-яa-z0-9 ]"","" ""))")," ни были первыми  умисбаев   ")</f>
        <v> ни были первыми  умисбаев   </v>
      </c>
      <c r="G682" s="10" t="str">
        <f>IFERROR(__xludf.DUMMYFUNCTION("TEXTJOIN(""|"",TRUE,UNIQUE(FILTER(SPLIT(F682,"" ""),LEN(SPLIT(F682,"" ""))&gt;2)))"),"были|первыми|умисбаев")</f>
        <v>были|первыми|умисбаев</v>
      </c>
      <c r="I682" s="6"/>
      <c r="J682" s="6"/>
    </row>
    <row r="683">
      <c r="A683" s="12" t="s">
        <v>1923</v>
      </c>
      <c r="B683" s="7" t="s">
        <v>1924</v>
      </c>
      <c r="C683" s="7" t="s">
        <v>1925</v>
      </c>
      <c r="D683" s="8">
        <v>3000.0</v>
      </c>
      <c r="E683" s="9">
        <v>1.0</v>
      </c>
      <c r="F683" s="10" t="str">
        <f>IFERROR(__xludf.DUMMYFUNCTION("LOWER(REGEXREPLACE(B683&amp;"" ""&amp;C683,""[^а-яa-z0-9 ]"","" ""))")," пасные животные  азахстана  азенас      итяев      щенко   ")</f>
        <v> пасные животные  азахстана  азенас      итяев      щенко   </v>
      </c>
      <c r="G683" s="10" t="str">
        <f>IFERROR(__xludf.DUMMYFUNCTION("TEXTJOIN(""|"",TRUE,UNIQUE(FILTER(SPLIT(F683,"" ""),LEN(SPLIT(F683,"" ""))&gt;2)))"),"пасные|животные|азахстана|азенас|итяев|щенко")</f>
        <v>пасные|животные|азахстана|азенас|итяев|щенко</v>
      </c>
      <c r="I683" s="6"/>
      <c r="J683" s="6"/>
    </row>
    <row r="684">
      <c r="A684" s="12" t="s">
        <v>1926</v>
      </c>
      <c r="B684" s="7" t="s">
        <v>1927</v>
      </c>
      <c r="C684" s="7" t="s">
        <v>1928</v>
      </c>
      <c r="D684" s="8">
        <v>55400.0</v>
      </c>
      <c r="E684" s="9">
        <v>7.0</v>
      </c>
      <c r="F684" s="10" t="str">
        <f>IFERROR(__xludf.DUMMYFUNCTION("LOWER(REGEXREPLACE(B684&amp;"" ""&amp;C684,""[^а-яa-z0-9 ]"","" ""))"),"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малень"&amp;"ких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f>
        <v>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v>
      </c>
      <c r="G684" s="10" t="str">
        <f>IFERROR(__xludf.DUMMYFUNCTION("TEXTJOIN(""|"",TRUE,UNIQUE(FILTER(SPLIT(F684,"" ""),LEN(SPLIT(F684,"" ""))&gt;2)))"),"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amp;"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f>
        <v>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v>
      </c>
      <c r="I684" s="6"/>
      <c r="J684" s="6"/>
    </row>
    <row r="685">
      <c r="A685" s="12" t="s">
        <v>1929</v>
      </c>
      <c r="B685" s="7" t="s">
        <v>1930</v>
      </c>
      <c r="C685" s="7" t="s">
        <v>1931</v>
      </c>
      <c r="D685" s="8">
        <v>139400.0</v>
      </c>
      <c r="E685" s="9">
        <v>1.0</v>
      </c>
      <c r="F685" s="10" t="str">
        <f>IFERROR(__xludf.DUMMYFUNCTION("LOWER(REGEXREPLACE(B685&amp;"" ""&amp;C685,""[^а-яa-z0-9 ]"","" ""))"),"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воз"&amp;"раста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f>
        <v>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v>
      </c>
      <c r="G685" s="10" t="str">
        <f>IFERROR(__xludf.DUMMYFUNCTION("TEXTJOIN(""|"",TRUE,UNIQUE(FILTER(SPLIT(F685,"" ""),LEN(SPLIT(F685,"" ""))&gt;2)))"),"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amp;"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f>
        <v>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v>
      </c>
      <c r="I685" s="6"/>
      <c r="J685" s="6"/>
    </row>
    <row r="686">
      <c r="A686" s="12" t="s">
        <v>1932</v>
      </c>
      <c r="B686" s="7" t="s">
        <v>1933</v>
      </c>
      <c r="C686" s="7" t="s">
        <v>628</v>
      </c>
      <c r="D686" s="8">
        <v>40800.0</v>
      </c>
      <c r="E686" s="9">
        <v>1.0</v>
      </c>
      <c r="F686" s="10" t="str">
        <f>IFERROR(__xludf.DUMMYFUNCTION("LOWER(REGEXREPLACE(B686&amp;"" ""&amp;C686,""[^а-яa-z0-9 ]"","" ""))")," нер    с нд рмес мен  амирова     ")</f>
        <v> нер    с нд рмес мен  амирова     </v>
      </c>
      <c r="G686" s="10" t="str">
        <f>IFERROR(__xludf.DUMMYFUNCTION("TEXTJOIN(""|"",TRUE,UNIQUE(FILTER(SPLIT(F686,"" ""),LEN(SPLIT(F686,"" ""))&gt;2)))"),"нер|рмес|мен|амирова")</f>
        <v>нер|рмес|мен|амирова</v>
      </c>
      <c r="I686" s="6"/>
      <c r="J686" s="6"/>
    </row>
    <row r="687">
      <c r="A687" s="12" t="s">
        <v>1934</v>
      </c>
      <c r="B687" s="7" t="s">
        <v>1935</v>
      </c>
      <c r="C687" s="7" t="s">
        <v>1936</v>
      </c>
      <c r="D687" s="8">
        <v>5700.0</v>
      </c>
      <c r="E687" s="9">
        <v>14.0</v>
      </c>
      <c r="F687" s="10" t="str">
        <f>IFERROR(__xludf.DUMMYFUNCTION("LOWER(REGEXREPLACE(B687&amp;"" ""&amp;C687,""[^а-яa-z0-9 ]"","" ""))"),"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воспри"&amp;"ятия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нн"&amp;"ые края и устойчив к регулярному использованию в условиях     ")</f>
        <v>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нные края и устойчив к регулярному использованию в условиях     </v>
      </c>
      <c r="G687" s="10" t="str">
        <f>IFERROR(__xludf.DUMMYFUNCTION("TEXTJOIN(""|"",TRUE,UNIQUE(FILTER(SPLIT(F687,"" ""),LEN(SPLIT(F687,"" ""))&gt;2)))"),"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amp;"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amp;"ользованию|условиях")</f>
        <v>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ользованию|условиях</v>
      </c>
      <c r="I687" s="6"/>
      <c r="J687" s="6"/>
    </row>
    <row r="688">
      <c r="A688" s="12" t="s">
        <v>1937</v>
      </c>
      <c r="B688" s="7" t="s">
        <v>1938</v>
      </c>
      <c r="C688" s="7" t="s">
        <v>1939</v>
      </c>
      <c r="D688" s="8">
        <v>6700.0</v>
      </c>
      <c r="E688" s="9">
        <v>14.0</v>
      </c>
      <c r="F688" s="10" t="str">
        <f>IFERROR(__xludf.DUMMYFUNCTION("LOWER(REGEXREPLACE(B688&amp;"" ""&amp;C688,""[^а-яa-z0-9 ]"","" ""))"),"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учитыва"&amp;"ть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усло"&amp;"виях     ")</f>
        <v>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условиях     </v>
      </c>
      <c r="G688" s="10" t="str">
        <f>IFERROR(__xludf.DUMMYFUNCTION("TEXTJOIN(""|"",TRUE,UNIQUE(FILTER(SPLIT(F688,"" ""),LEN(SPLIT(F688,"" ""))&gt;2)))"),"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amp;"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f>
        <v>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v>
      </c>
      <c r="I688" s="6"/>
      <c r="J688" s="6"/>
    </row>
    <row r="689">
      <c r="A689" s="12" t="s">
        <v>1940</v>
      </c>
      <c r="B689" s="7" t="s">
        <v>1941</v>
      </c>
      <c r="C689" s="7" t="s">
        <v>1942</v>
      </c>
      <c r="D689" s="8">
        <v>1400.0</v>
      </c>
      <c r="E689" s="9">
        <v>21.0</v>
      </c>
      <c r="F689" s="10" t="str">
        <f>IFERROR(__xludf.DUMMYFUNCTION("LOWER(REGEXREPLACE(B689&amp;"" ""&amp;C689,""[^а-яa-z0-9 ]"","" ""))"),"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"&amp;"деятельность развивает внимание и навыки соотнесения    набор входит не менее 10 карточек размером около 15 5 11 см и не менее 20 фигурок на липучках ")</f>
        <v>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деятельность развивает внимание и навыки соотнесения    набор входит не менее 10 карточек размером около 15 5 11 см и не менее 20 фигурок на липучках </v>
      </c>
      <c r="G689" s="10" t="str">
        <f>IFERROR(__xludf.DUMMYFUNCTION("TEXTJOIN(""|"",TRUE,UNIQUE(FILTER(SPLIT(F689,"" ""),LEN(SPLIT(F689,"" ""))&gt;2)))"),"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amp;"ыки|соотнесения|набор|входит|менее|карточек|размером|около|менее|фигурок|липучках")</f>
        <v>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ыки|соотнесения|набор|входит|менее|карточек|размером|около|менее|фигурок|липучках</v>
      </c>
      <c r="I689" s="6"/>
      <c r="J689" s="6"/>
    </row>
    <row r="690">
      <c r="A690" s="12" t="s">
        <v>1943</v>
      </c>
      <c r="B690" s="7" t="s">
        <v>1944</v>
      </c>
      <c r="C690" s="7" t="s">
        <v>1945</v>
      </c>
      <c r="D690" s="8">
        <v>36000.0</v>
      </c>
      <c r="E690" s="9">
        <v>2.0</v>
      </c>
      <c r="F690" s="10" t="str">
        <f>IFERROR(__xludf.DUMMYFUNCTION("LOWER(REGEXREPLACE(B690&amp;"" ""&amp;C690,""[^а-яa-z0-9 ]"","" ""))")," есы напольные  есы предназначены для измерения массы тела детей и взрослых  используются в медицинском кабинете ")</f>
        <v> есы напольные  есы предназначены для измерения массы тела детей и взрослых  используются в медицинском кабинете </v>
      </c>
      <c r="G690" s="10" t="str">
        <f>IFERROR(__xludf.DUMMYFUNCTION("TEXTJOIN(""|"",TRUE,UNIQUE(FILTER(SPLIT(F690,"" ""),LEN(SPLIT(F690,"" ""))&gt;2)))"),"есы|напольные|есы|предназначены|для|измерения|массы|тела|детей|взрослых|используются|медицинском|кабинете")</f>
        <v>есы|напольные|есы|предназначены|для|измерения|массы|тела|детей|взрослых|используются|медицинском|кабинете</v>
      </c>
      <c r="I690" s="6"/>
      <c r="J690" s="6"/>
    </row>
    <row r="691">
      <c r="A691" s="12" t="s">
        <v>1946</v>
      </c>
      <c r="B691" s="7" t="s">
        <v>1947</v>
      </c>
      <c r="C691" s="7" t="s">
        <v>1948</v>
      </c>
      <c r="D691" s="8">
        <v>2600.0</v>
      </c>
      <c r="E691" s="9">
        <v>14.0</v>
      </c>
      <c r="F691" s="10" t="str">
        <f>IFERROR(__xludf.DUMMYFUNCTION("LOWER(REGEXREPLACE(B691&amp;"" ""&amp;C691,""[^а-яa-z0-9 ]"","" ""))"),"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"&amp;" акая деятельность развивает внимание и зрительный анализ   оличество элементов   не менее 10 шт   азмер в собранном виде   не менее 19 14 см   атериал   фанера     ")</f>
        <v>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акая деятельность развивает внимание и зрительный анализ   оличество элементов   не менее 10 шт   азмер в собранном виде   не менее 19 14 см   атериал   фанера     </v>
      </c>
      <c r="G691" s="10" t="str">
        <f>IFERROR(__xludf.DUMMYFUNCTION("TEXTJOIN(""|"",TRUE,UNIQUE(FILTER(SPLIT(F691,"" ""),LEN(SPLIT(F691,"" ""))&gt;2)))"),"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amp;"ивает|внимание|зрительный|анализ|оличество|элементов|менее|азмер|собранном|виде|менее|атериал|фанера")</f>
        <v>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ивает|внимание|зрительный|анализ|оличество|элементов|менее|азмер|собранном|виде|менее|атериал|фанера</v>
      </c>
      <c r="I691" s="6"/>
      <c r="J691" s="6"/>
    </row>
    <row r="692">
      <c r="A692" s="12" t="s">
        <v>1949</v>
      </c>
      <c r="B692" s="7" t="s">
        <v>1950</v>
      </c>
      <c r="C692" s="7" t="s">
        <v>1951</v>
      </c>
      <c r="D692" s="8">
        <v>14100.0</v>
      </c>
      <c r="E692" s="9">
        <v>7.0</v>
      </c>
      <c r="F692" s="10" t="str">
        <f>IFERROR(__xludf.DUMMYFUNCTION("LOWER(REGEXREPLACE(B692&amp;"" ""&amp;C692,""[^а-яa-z0-9 ]"","" ""))"),"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f>
        <v>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v>
      </c>
      <c r="G692" s="10" t="str">
        <f>IFERROR(__xludf.DUMMYFUNCTION("TEXTJOIN(""|"",TRUE,UNIQUE(FILTER(SPLIT(F692,"" ""),LEN(SPLIT(F692,"" ""))&gt;2)))"),"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f>
        <v>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v>
      </c>
      <c r="I692" s="6"/>
      <c r="J692" s="6"/>
    </row>
    <row r="693">
      <c r="A693" s="12" t="s">
        <v>1952</v>
      </c>
      <c r="B693" s="7" t="s">
        <v>1953</v>
      </c>
      <c r="C693" s="7" t="s">
        <v>1954</v>
      </c>
      <c r="D693" s="8">
        <v>3100.0</v>
      </c>
      <c r="E693" s="9">
        <v>5.0</v>
      </c>
      <c r="F693" s="10" t="str">
        <f>IFERROR(__xludf.DUMMYFUNCTION("LOWER(REGEXREPLACE(B693&amp;"" ""&amp;C693,""[^а-яa-z0-9 ]"","" ""))"),"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цел"&amp;"остной картинки   акая деятельность развивает зрительное восприятие  внимание и навыки анализа   азлы предназначены для многократного использования ")</f>
        <v>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целостной картинки   акая деятельность развивает зрительное восприятие  внимание и навыки анализа   азлы предназначены для многократного использования </v>
      </c>
      <c r="G693" s="10" t="str">
        <f>IFERROR(__xludf.DUMMYFUNCTION("TEXTJOIN(""|"",TRUE,UNIQUE(FILTER(SPLIT(F693,"" ""),LEN(SPLIT(F693,"" ""))&gt;2)))"),"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amp;"ь|развивает|зрительное|восприятие|внимание|навыки|анализа|азлы|предназначены|для|многократного|использования")</f>
        <v>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ь|развивает|зрительное|восприятие|внимание|навыки|анализа|азлы|предназначены|для|многократного|использования</v>
      </c>
      <c r="I693" s="6"/>
      <c r="J693" s="6"/>
    </row>
    <row r="694">
      <c r="A694" s="12" t="s">
        <v>1955</v>
      </c>
      <c r="B694" s="7" t="s">
        <v>1956</v>
      </c>
      <c r="C694" s="7" t="s">
        <v>1957</v>
      </c>
      <c r="D694" s="8">
        <v>2400.0</v>
      </c>
      <c r="E694" s="9">
        <v>5.0</v>
      </c>
      <c r="F694" s="10" t="str">
        <f>IFERROR(__xludf.DUMMYFUNCTION("LOWER(REGEXREPLACE(B694&amp;"" ""&amp;C694,""[^а-яa-z0-9 ]"","" ""))"),"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менее"&amp;" 26 и до 60 шт   атериал   картон  рассчитанный на многократную сборку   ематика может включать сказочных персонажей  транспорт  животных и сюжетные сцены ")</f>
        <v>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 26 и до 60 шт   атериал   картон  рассчитанный на многократную сборку   ематика может включать сказочных персонажей  транспорт  животных и сюжетные сцены </v>
      </c>
      <c r="G694" s="10" t="str">
        <f>IFERROR(__xludf.DUMMYFUNCTION("TEXTJOIN(""|"",TRUE,UNIQUE(FILTER(SPLIT(F694,"" ""),LEN(SPLIT(F694,"" ""))&gt;2)))"),"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amp;"атную|сборку|ематика|может|включать|сказочных|персонажей|транспорт|животных|сюжетные|сцены")</f>
        <v>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атную|сборку|ематика|может|включать|сказочных|персонажей|транспорт|животных|сюжетные|сцены</v>
      </c>
      <c r="I694" s="6"/>
      <c r="J694" s="6"/>
    </row>
    <row r="695">
      <c r="A695" s="12" t="s">
        <v>1958</v>
      </c>
      <c r="B695" s="7" t="s">
        <v>1959</v>
      </c>
      <c r="C695" s="7" t="s">
        <v>1960</v>
      </c>
      <c r="D695" s="8">
        <v>7600.0</v>
      </c>
      <c r="E695" s="9">
        <v>1.0</v>
      </c>
      <c r="F695" s="10" t="str">
        <f>IFERROR(__xludf.DUMMYFUNCTION("LOWER(REGEXREPLACE(B695&amp;"" ""&amp;C695,""[^а-яa-z0-9 ]"","" ""))"),"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образовател"&amp;"ьной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f>
        <v>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v>
      </c>
      <c r="G695" s="10" t="str">
        <f>IFERROR(__xludf.DUMMYFUNCTION("TEXTJOIN(""|"",TRUE,UNIQUE(FILTER(SPLIT(F695,"" ""),LEN(SPLIT(F695,"" ""))&gt;2)))"),"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amp;"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f>
        <v>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v>
      </c>
      <c r="I695" s="6"/>
      <c r="J695" s="6"/>
    </row>
    <row r="696">
      <c r="A696" s="12" t="s">
        <v>1961</v>
      </c>
      <c r="B696" s="7" t="s">
        <v>1962</v>
      </c>
      <c r="C696" s="7" t="s">
        <v>1963</v>
      </c>
      <c r="D696" s="8">
        <v>2100.0</v>
      </c>
      <c r="E696" s="9">
        <v>25.0</v>
      </c>
      <c r="F696" s="10" t="str">
        <f>IFERROR(__xludf.DUMMYFUNCTION("LOWER(REGEXREPLACE(B696&amp;"" ""&amp;C696,""[^а-яa-z0-9 ]"","" ""))"),"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моторик"&amp;"и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f>
        <v>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v>
      </c>
      <c r="G696" s="10" t="str">
        <f>IFERROR(__xludf.DUMMYFUNCTION("TEXTJOIN(""|"",TRUE,UNIQUE(FILTER(SPLIT(F696,"" ""),LEN(SPLIT(F696,"" ""))&gt;2)))"),"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amp;"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f>
        <v>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v>
      </c>
      <c r="I696" s="6"/>
      <c r="J696" s="6"/>
    </row>
    <row r="697">
      <c r="A697" s="12" t="s">
        <v>1964</v>
      </c>
      <c r="B697" s="7" t="s">
        <v>1965</v>
      </c>
      <c r="C697" s="7" t="s">
        <v>1966</v>
      </c>
      <c r="D697" s="8">
        <v>4000.0</v>
      </c>
      <c r="E697" s="9">
        <v>20.0</v>
      </c>
      <c r="F697" s="10" t="str">
        <f>IFERROR(__xludf.DUMMYFUNCTION("LOWER(REGEXREPLACE(B697&amp;"" ""&amp;C697,""[^а-яa-z0-9 ]"","" ""))"),"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самовыражения"&amp;"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f>
        <v>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v>
      </c>
      <c r="G697" s="10" t="str">
        <f>IFERROR(__xludf.DUMMYFUNCTION("TEXTJOIN(""|"",TRUE,UNIQUE(FILTER(SPLIT(F697,"" ""),LEN(SPLIT(F697,"" ""))&gt;2)))"),"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amp;"индивидуальных|групповых|занятиях|раски|безопасны|для|детей|легко|смываются|имеют|яркие|цвета|подходят|для|использования|условиях|детских|учреждений")</f>
        <v>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индивидуальных|групповых|занятиях|раски|безопасны|для|детей|легко|смываются|имеют|яркие|цвета|подходят|для|использования|условиях|детских|учреждений</v>
      </c>
      <c r="I697" s="6"/>
      <c r="J697" s="6"/>
    </row>
    <row r="698">
      <c r="A698" s="12" t="s">
        <v>1967</v>
      </c>
      <c r="B698" s="7" t="s">
        <v>1968</v>
      </c>
      <c r="C698" s="7" t="s">
        <v>1969</v>
      </c>
      <c r="D698" s="8">
        <v>6500.0</v>
      </c>
      <c r="E698" s="9">
        <v>1.0</v>
      </c>
      <c r="F698" s="10" t="str">
        <f>IFERROR(__xludf.DUMMYFUNCTION("LOWER(REGEXREPLACE(B698&amp;"" ""&amp;C698,""[^а-яa-z0-9 ]"","" ""))"),"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"&amp;"занятиях   зготовлены из мягких  нетоксичных и гипоаллергенных материалов  легко очищаются и устойчивы к частому использованию в условиях     ")</f>
        <v>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занятиях   зготовлены из мягких  нетоксичных и гипоаллергенных материалов  легко очищаются и устойчивы к частому использованию в условиях     </v>
      </c>
      <c r="G698" s="10" t="str">
        <f>IFERROR(__xludf.DUMMYFUNCTION("TEXTJOIN(""|"",TRUE,UNIQUE(FILTER(SPLIT(F698,"" ""),LEN(SPLIT(F698,"" ""))&gt;2)))"),"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amp;"ны|мягких|нетоксичных|гипоаллергенных|материалов|легко|очищаются|устойчивы|частому|использованию|условиях")</f>
        <v>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ны|мягких|нетоксичных|гипоаллергенных|материалов|легко|очищаются|устойчивы|частому|использованию|условиях</v>
      </c>
      <c r="I698" s="6"/>
      <c r="J698" s="6"/>
    </row>
    <row r="699">
      <c r="A699" s="12" t="s">
        <v>1970</v>
      </c>
      <c r="B699" s="7" t="s">
        <v>1971</v>
      </c>
      <c r="C699" s="7" t="s">
        <v>1972</v>
      </c>
      <c r="D699" s="8">
        <v>8200.0</v>
      </c>
      <c r="E699" s="9">
        <v>5.0</v>
      </c>
      <c r="F699" s="10" t="str">
        <f>IFERROR(__xludf.DUMMYFUNCTION("LOWER(REGEXREPLACE(B699&amp;"" ""&amp;C699,""[^а-яa-z0-9 ]"","" ""))"),"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реч"&amp;"и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f>
        <v>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v>
      </c>
      <c r="G699" s="10" t="str">
        <f>IFERROR(__xludf.DUMMYFUNCTION("TEXTJOIN(""|"",TRUE,UNIQUE(FILTER(SPLIT(F699,"" ""),LEN(SPLIT(F699,"" ""))&gt;2)))"),"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amp;"ативных|навыков|уклы|подходят|для|пальчиковых|настольных|постановок|изготовлены|мягких|безопасных|материалов|устойчивы|регулярной|эксплуатации")</f>
        <v>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ативных|навыков|уклы|подходят|для|пальчиковых|настольных|постановок|изготовлены|мягких|безопасных|материалов|устойчивы|регулярной|эксплуатации</v>
      </c>
      <c r="I699" s="6"/>
      <c r="J699" s="6"/>
    </row>
    <row r="700">
      <c r="A700" s="12" t="s">
        <v>1973</v>
      </c>
      <c r="B700" s="7" t="s">
        <v>1974</v>
      </c>
      <c r="C700" s="7" t="s">
        <v>1975</v>
      </c>
      <c r="D700" s="8">
        <v>19800.0</v>
      </c>
      <c r="E700" s="9">
        <v>14.0</v>
      </c>
      <c r="F700" s="10" t="str">
        <f>IFERROR(__xludf.DUMMYFUNCTION("LOWER(REGEXREPLACE(B700&amp;"" ""&amp;C700,""[^а-яa-z0-9 ]"","" ""))"),"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детя"&amp;"м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f>
        <v>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v>
      </c>
      <c r="G700" s="10" t="str">
        <f>IFERROR(__xludf.DUMMYFUNCTION("TEXTJOIN(""|"",TRUE,UNIQUE(FILTER(SPLIT(F700,"" ""),LEN(SPLIT(F700,"" ""))&gt;2)))"),"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amp;"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f>
        <v>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v>
      </c>
      <c r="I700" s="6"/>
      <c r="J700" s="6"/>
    </row>
    <row r="701">
      <c r="A701" s="12" t="s">
        <v>1976</v>
      </c>
      <c r="B701" s="7" t="s">
        <v>1977</v>
      </c>
      <c r="C701" s="7" t="s">
        <v>1978</v>
      </c>
      <c r="D701" s="8">
        <v>8700.0</v>
      </c>
      <c r="E701" s="9">
        <v>5.0</v>
      </c>
      <c r="F701" s="10" t="str">
        <f>IFERROR(__xludf.DUMMYFUNCTION("LOWER(REGEXREPLACE(B701&amp;"" ""&amp;C701,""[^а-яa-z0-9 ]"","" ""))"),"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представ"&amp;"лений о весе и соотношении величин   лементы набора рассчитаны на многократное использование ")</f>
        <v>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представлений о весе и соотношении величин   лементы набора рассчитаны на многократное использование </v>
      </c>
      <c r="G701" s="10" t="str">
        <f>IFERROR(__xludf.DUMMYFUNCTION("TEXTJOIN(""|"",TRUE,UNIQUE(FILTER(SPLIT(F701,"" ""),LEN(SPLIT(F701,"" ""))&gt;2)))"),"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amp;"ошении|величин|лементы|набора|рассчитаны|многократное|использование")</f>
        <v>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ошении|величин|лементы|набора|рассчитаны|многократное|использование</v>
      </c>
      <c r="I701" s="6"/>
      <c r="J701" s="6"/>
    </row>
    <row r="702">
      <c r="A702" s="12" t="s">
        <v>1979</v>
      </c>
      <c r="B702" s="7" t="s">
        <v>1980</v>
      </c>
      <c r="C702" s="7" t="s">
        <v>1981</v>
      </c>
      <c r="D702" s="8">
        <v>1700.0</v>
      </c>
      <c r="E702" s="9">
        <v>50.0</v>
      </c>
      <c r="F702" s="10" t="str">
        <f>IFERROR(__xludf.DUMMYFUNCTION("LOWER(REGEXREPLACE(B702&amp;"" ""&amp;C702,""[^а-яa-z0-9 ]"","" ""))"),"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дошкольн"&amp;"ого учреждения   беспечивает удобный доступ к документам  их сохранность и аккуратное размещение   одходит для эксплуатации в условиях     ")</f>
        <v>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дошкольного учреждения   беспечивает удобный доступ к документам  их сохранность и аккуратное размещение   одходит для эксплуатации в условиях     </v>
      </c>
      <c r="G702" s="10" t="str">
        <f>IFERROR(__xludf.DUMMYFUNCTION("TEXTJOIN(""|"",TRUE,UNIQUE(FILTER(SPLIT(F702,"" ""),LEN(SPLIT(F702,"" ""))&gt;2)))"),"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amp;"ечивает|удобный|доступ|документам|сохранность|аккуратное|размещение|одходит|для|эксплуатации|условиях")</f>
        <v>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ечивает|удобный|доступ|документам|сохранность|аккуратное|размещение|одходит|для|эксплуатации|условиях</v>
      </c>
      <c r="I702" s="6"/>
      <c r="J702" s="6"/>
    </row>
    <row r="703">
      <c r="A703" s="12" t="s">
        <v>1982</v>
      </c>
      <c r="B703" s="7" t="s">
        <v>1983</v>
      </c>
      <c r="C703" s="7" t="s">
        <v>1984</v>
      </c>
      <c r="D703" s="8">
        <v>27400.0</v>
      </c>
      <c r="E703" s="9">
        <v>5.0</v>
      </c>
      <c r="F703" s="10" t="str">
        <f>IFERROR(__xludf.DUMMYFUNCTION("LOWER(REGEXREPLACE(B703&amp;"" ""&amp;C703,""[^а-яa-z0-9 ]"","" ""))"),"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специа"&amp;"листов и зонах отдыха   пособствуют формированию у детей эстетического восприятия и интереса к миру растений ")</f>
        <v>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пособствуют формированию у детей эстетического восприятия и интереса к миру растений </v>
      </c>
      <c r="G703" s="10" t="str">
        <f>IFERROR(__xludf.DUMMYFUNCTION("TEXTJOIN(""|"",TRUE,UNIQUE(FILTER(SPLIT(F703,"" ""),LEN(SPLIT(F703,"" ""))&gt;2)))"),"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amp;"ах|отдыха|пособствуют|формированию|детей|эстетического|восприятия|интереса|миру|растений")</f>
        <v>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ах|отдыха|пособствуют|формированию|детей|эстетического|восприятия|интереса|миру|растений</v>
      </c>
      <c r="I703" s="6"/>
      <c r="J703" s="6"/>
    </row>
    <row r="704">
      <c r="A704" s="12" t="s">
        <v>1985</v>
      </c>
      <c r="B704" s="7" t="s">
        <v>1986</v>
      </c>
      <c r="C704" s="7" t="s">
        <v>1987</v>
      </c>
      <c r="D704" s="8">
        <v>53100.0</v>
      </c>
      <c r="E704" s="9">
        <v>2.0</v>
      </c>
      <c r="F704" s="10" t="str">
        <f>IFERROR(__xludf.DUMMYFUNCTION("LOWER(REGEXREPLACE(B704&amp;"" ""&amp;C704,""[^а-яa-z0-9 ]"","" ""))"),"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физкул"&amp;"ьтурных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f>
        <v>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v>
      </c>
      <c r="G704" s="10" t="str">
        <f>IFERROR(__xludf.DUMMYFUNCTION("TEXTJOIN(""|"",TRUE,UNIQUE(FILTER(SPLIT(F704,"" ""),LEN(SPLIT(F704,"" ""))&gt;2)))"),"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amp;"гровых|паузах|коррекционно|развивающей|работе|зготовлен|прочного|текстильного|материала|безопасен|удобен|для|использования|помещении|улице")</f>
        <v>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гровых|паузах|коррекционно|развивающей|работе|зготовлен|прочного|текстильного|материала|безопасен|удобен|для|использования|помещении|улице</v>
      </c>
      <c r="I704" s="6"/>
      <c r="J704" s="6"/>
    </row>
    <row r="705">
      <c r="A705" s="12" t="s">
        <v>1988</v>
      </c>
      <c r="B705" s="7" t="s">
        <v>1989</v>
      </c>
      <c r="C705" s="7" t="s">
        <v>1990</v>
      </c>
      <c r="D705" s="8">
        <v>29900.0</v>
      </c>
      <c r="E705" s="9">
        <v>5.0</v>
      </c>
      <c r="F705" s="10" t="str">
        <f>IFERROR(__xludf.DUMMYFUNCTION("LOWER(REGEXREPLACE(B705&amp;"" ""&amp;C705,""[^а-яa-z0-9 ]"","" ""))"),"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воображен"&amp;"ия  речи и навыков моделирования игровых ситуаций   онструкция безопасна и устойчива к регулярному использованию в условиях     ")</f>
        <v>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воображения  речи и навыков моделирования игровых ситуаций   онструкция безопасна и устойчива к регулярному использованию в условиях     </v>
      </c>
      <c r="G705" s="10" t="str">
        <f>IFERROR(__xludf.DUMMYFUNCTION("TEXTJOIN(""|"",TRUE,UNIQUE(FILTER(SPLIT(F705,"" ""),LEN(SPLIT(F705,"" ""))&gt;2)))"),"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amp;"|моделирования|игровых|ситуаций|онструкция|безопасна|устойчива|регулярному|использованию|условиях")</f>
        <v>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моделирования|игровых|ситуаций|онструкция|безопасна|устойчива|регулярному|использованию|условиях</v>
      </c>
      <c r="I705" s="6"/>
      <c r="J705" s="6"/>
    </row>
    <row r="706">
      <c r="A706" s="12" t="s">
        <v>1991</v>
      </c>
      <c r="B706" s="7" t="s">
        <v>1992</v>
      </c>
      <c r="C706" s="7" t="s">
        <v>1993</v>
      </c>
      <c r="D706" s="8">
        <v>114000.0</v>
      </c>
      <c r="E706" s="9">
        <v>2.0</v>
      </c>
      <c r="F706" s="10" t="str">
        <f>IFERROR(__xludf.DUMMYFUNCTION("LOWER(REGEXREPLACE(B706&amp;"" ""&amp;C706,""[^а-яa-z0-9 ]"","" ""))"),"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устойчивости"&amp;"   атериал   дерево или        азмер   410   410   950 мм   азначение   оформление мобильных книжных зон и тематических выставок ")</f>
        <v>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   атериал   дерево или        азмер   410   410   950 мм   азначение   оформление мобильных книжных зон и тематических выставок </v>
      </c>
      <c r="G706" s="10" t="str">
        <f>IFERROR(__xludf.DUMMYFUNCTION("TEXTJOIN(""|"",TRUE,UNIQUE(FILTER(SPLIT(F706,"" ""),LEN(SPLIT(F706,"" ""))&gt;2)))"),"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amp;"|азмер|410|410|950|азначение|оформление|мобильных|книжных|зон|тематических|выставок")</f>
        <v>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азмер|410|410|950|азначение|оформление|мобильных|книжных|зон|тематических|выставок</v>
      </c>
      <c r="I706" s="6"/>
      <c r="J706" s="6"/>
    </row>
    <row r="707">
      <c r="A707" s="12" t="s">
        <v>1994</v>
      </c>
      <c r="B707" s="7" t="s">
        <v>1995</v>
      </c>
      <c r="C707" s="7" t="s">
        <v>1996</v>
      </c>
      <c r="D707" s="8">
        <v>111900.0</v>
      </c>
      <c r="E707" s="9">
        <v>7.0</v>
      </c>
      <c r="F707" s="10" t="str">
        <f>IFERROR(__xludf.DUMMYFUNCTION("LOWER(REGEXREPLACE(B707&amp;"" ""&amp;C707,""[^а-яa-z0-9 ]"","" ""))"),"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ра"&amp;"звитию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f>
        <v>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v>
      </c>
      <c r="G707" s="10" t="str">
        <f>IFERROR(__xludf.DUMMYFUNCTION("TEXTJOIN(""|"",TRUE,UNIQUE(FILTER(SPLIT(F707,"" ""),LEN(SPLIT(F707,"" ""))&gt;2)))"),"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amp;"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f>
        <v>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v>
      </c>
      <c r="I707" s="6"/>
      <c r="J707" s="6"/>
    </row>
    <row r="708">
      <c r="A708" s="12" t="s">
        <v>1997</v>
      </c>
      <c r="B708" s="7" t="s">
        <v>1998</v>
      </c>
      <c r="C708" s="7" t="s">
        <v>1999</v>
      </c>
      <c r="D708" s="8">
        <v>1000.0</v>
      </c>
      <c r="E708" s="9">
        <v>3.0</v>
      </c>
      <c r="F708" s="10" t="str">
        <f>IFERROR(__xludf.DUMMYFUNCTION("LOWER(REGEXREPLACE(B708&amp;"" ""&amp;C708,""[^а-яa-z0-9 ]"","" ""))"),"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"&amp;"заданий   онструкция устойчивая  с безопасными краями  подходит для эксплуатации в детских учреждениях ")</f>
        <v>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заданий   онструкция устойчивая  с безопасными краями  подходит для эксплуатации в детских учреждениях </v>
      </c>
      <c r="G708" s="10" t="str">
        <f>IFERROR(__xludf.DUMMYFUNCTION("TEXTJOIN(""|"",TRUE,UNIQUE(FILTER(SPLIT(F708,"" ""),LEN(SPLIT(F708,"" ""))&gt;2)))"),"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amp;"|устойчивая|безопасными|краями|подходит|для|эксплуатации|детских|учреждениях")</f>
        <v>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устойчивая|безопасными|краями|подходит|для|эксплуатации|детских|учреждениях</v>
      </c>
      <c r="I708" s="6"/>
      <c r="J708" s="6"/>
    </row>
    <row r="709">
      <c r="A709" s="12" t="s">
        <v>2000</v>
      </c>
      <c r="B709" s="7" t="s">
        <v>2001</v>
      </c>
      <c r="C709" s="7" t="s">
        <v>2002</v>
      </c>
      <c r="D709" s="8">
        <v>1700.0</v>
      </c>
      <c r="E709" s="9">
        <v>4.0</v>
      </c>
      <c r="F709" s="10" t="str">
        <f>IFERROR(__xludf.DUMMYFUNCTION("LOWER(REGEXREPLACE(B709&amp;"" ""&amp;C709,""[^а-яa-z0-9 ]"","" ""))"),"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"&amp;"групповой работе с детьми дошкольного возраста ")</f>
        <v>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групповой работе с детьми дошкольного возраста </v>
      </c>
      <c r="G709" s="10" t="str">
        <f>IFERROR(__xludf.DUMMYFUNCTION("TEXTJOIN(""|"",TRUE,UNIQUE(FILTER(SPLIT(F709,"" ""),LEN(SPLIT(F709,"" ""))&gt;2)))"),"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amp;"ошкольного|возраста")</f>
        <v>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ошкольного|возраста</v>
      </c>
      <c r="I709" s="6"/>
      <c r="J709" s="6"/>
    </row>
    <row r="710">
      <c r="A710" s="12" t="s">
        <v>2003</v>
      </c>
      <c r="B710" s="7" t="s">
        <v>2004</v>
      </c>
      <c r="C710" s="7" t="s">
        <v>2005</v>
      </c>
      <c r="D710" s="8">
        <v>465400.0</v>
      </c>
      <c r="E710" s="9">
        <v>1.0</v>
      </c>
      <c r="F710" s="10" t="str">
        <f>IFERROR(__xludf.DUMMYFUNCTION("LOWER(REGEXREPLACE(B710&amp;"" ""&amp;C710,""[^а-яa-z0-9 ]"","" ""))")," есы db 200h   рузоподъемность  200 кг   увствительность  50 100 г")</f>
        <v> есы db 200h   рузоподъемность  200 кг   увствительность  50 100 г</v>
      </c>
      <c r="G710" s="10" t="str">
        <f>IFERROR(__xludf.DUMMYFUNCTION("TEXTJOIN(""|"",TRUE,UNIQUE(FILTER(SPLIT(F710,"" ""),LEN(SPLIT(F710,"" ""))&gt;2)))"),"есы|200h|рузоподъемность|200|увствительность|100")</f>
        <v>есы|200h|рузоподъемность|200|увствительность|100</v>
      </c>
      <c r="I710" s="6"/>
      <c r="J710" s="6"/>
    </row>
    <row r="711">
      <c r="A711" s="12" t="s">
        <v>2006</v>
      </c>
      <c r="B711" s="7" t="s">
        <v>2007</v>
      </c>
      <c r="C711" s="7" t="s">
        <v>2008</v>
      </c>
      <c r="D711" s="8">
        <v>6100.0</v>
      </c>
      <c r="E711" s="9">
        <v>35.0</v>
      </c>
      <c r="F711" s="10" t="str">
        <f>IFERROR(__xludf.DUMMYFUNCTION("LOWER(REGEXREPLACE(B711&amp;"" ""&amp;C711,""[^а-яa-z0-9 ]"","" ""))"),"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дошкольног"&amp;"о возраста   зделие безопасно и устойчиво к регулярной эксплуатации ")</f>
        <v>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дошкольного возраста   зделие безопасно и устойчиво к регулярной эксплуатации </v>
      </c>
      <c r="G711" s="10" t="str">
        <f>IFERROR(__xludf.DUMMYFUNCTION("TEXTJOIN(""|"",TRUE,UNIQUE(FILTER(SPLIT(F711,"" ""),LEN(SPLIT(F711,"" ""))&gt;2)))"),"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amp;"опасно|устойчиво|регулярной|эксплуатации")</f>
        <v>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опасно|устойчиво|регулярной|эксплуатации</v>
      </c>
      <c r="I711" s="6"/>
      <c r="J711" s="6"/>
    </row>
    <row r="712">
      <c r="A712" s="12" t="s">
        <v>2009</v>
      </c>
      <c r="B712" s="12" t="s">
        <v>2010</v>
      </c>
      <c r="C712" s="7" t="s">
        <v>2011</v>
      </c>
      <c r="D712" s="8">
        <v>475000.0</v>
      </c>
      <c r="E712" s="9">
        <v>1.0</v>
      </c>
      <c r="F712" s="10" t="str">
        <f>IFERROR(__xludf.DUMMYFUNCTION("LOWER(REGEXREPLACE(B712&amp;"" ""&amp;C712,""[^а-яa-z0-9 ]"","" ""))"),"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онструкция"&amp;" устойчивая  поверхности безопасны для детей  эксплуатация соответствует требованиям использования музыкального оборудования в     ")</f>
        <v>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 устойчивая  поверхности безопасны для детей  эксплуатация соответствует требованиям использования музыкального оборудования в     </v>
      </c>
      <c r="G712" s="10" t="str">
        <f>IFERROR(__xludf.DUMMYFUNCTION("TEXTJOIN(""|"",TRUE,UNIQUE(FILTER(SPLIT(F712,"" ""),LEN(SPLIT(F712,"" ""))&gt;2)))"),"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amp;"и|безопасны|для|детей|эксплуатация|соответствует|требованиям|использования|музыкального|оборудования")</f>
        <v>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и|безопасны|для|детей|эксплуатация|соответствует|требованиям|использования|музыкального|оборудования</v>
      </c>
      <c r="I712" s="6"/>
      <c r="J712" s="6"/>
    </row>
    <row r="713">
      <c r="A713" s="12" t="s">
        <v>2012</v>
      </c>
      <c r="B713" s="7" t="s">
        <v>2013</v>
      </c>
      <c r="C713" s="7" t="s">
        <v>2014</v>
      </c>
      <c r="D713" s="8">
        <v>8400.0</v>
      </c>
      <c r="E713" s="9">
        <v>2.0</v>
      </c>
      <c r="F713" s="10" t="str">
        <f>IFERROR(__xludf.DUMMYFUNCTION("LOWER(REGEXREPLACE(B713&amp;"" ""&amp;C713,""[^а-яa-z0-9 ]"","" ""))")," инцет анатомический  рименяется для медицинских манипуляций  захвата и удержания материалов ")</f>
        <v> инцет анатомический  рименяется для медицинских манипуляций  захвата и удержания материалов </v>
      </c>
      <c r="G713" s="10" t="str">
        <f>IFERROR(__xludf.DUMMYFUNCTION("TEXTJOIN(""|"",TRUE,UNIQUE(FILTER(SPLIT(F713,"" ""),LEN(SPLIT(F713,"" ""))&gt;2)))"),"инцет|анатомический|рименяется|для|медицинских|манипуляций|захвата|удержания|материалов")</f>
        <v>инцет|анатомический|рименяется|для|медицинских|манипуляций|захвата|удержания|материалов</v>
      </c>
      <c r="I713" s="6"/>
      <c r="J713" s="6"/>
    </row>
    <row r="714">
      <c r="A714" s="12" t="s">
        <v>2015</v>
      </c>
      <c r="B714" s="7" t="s">
        <v>2016</v>
      </c>
      <c r="C714" s="7" t="s">
        <v>2017</v>
      </c>
      <c r="D714" s="8">
        <v>14400.0</v>
      </c>
      <c r="E714" s="9">
        <v>1.0</v>
      </c>
      <c r="F714" s="10" t="str">
        <f>IFERROR(__xludf.DUMMYFUNCTION("LOWER(REGEXREPLACE(B714&amp;"" ""&amp;C714,""[^а-яa-z0-9 ]"","" ""))"),"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возраста"&amp;"   лементы яркие  подвижные  безопасные и удобные для детского восприятия ")</f>
        <v>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   лементы яркие  подвижные  безопасные и удобные для детского восприятия </v>
      </c>
      <c r="G714" s="10" t="str">
        <f>IFERROR(__xludf.DUMMYFUNCTION("TEXTJOIN(""|"",TRUE,UNIQUE(FILTER(SPLIT(F714,"" ""),LEN(SPLIT(F714,"" ""))&gt;2)))"),"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amp;"одвижные|безопасные|удобные|для|детского|восприятия")</f>
        <v>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одвижные|безопасные|удобные|для|детского|восприятия</v>
      </c>
      <c r="I714" s="6"/>
      <c r="J714" s="6"/>
    </row>
    <row r="715">
      <c r="A715" s="12" t="s">
        <v>2018</v>
      </c>
      <c r="B715" s="7" t="s">
        <v>2019</v>
      </c>
      <c r="C715" s="7" t="s">
        <v>2020</v>
      </c>
      <c r="D715" s="8">
        <v>25700.0</v>
      </c>
      <c r="E715" s="9">
        <v>7.0</v>
      </c>
      <c r="F715" s="10" t="str">
        <f>IFERROR(__xludf.DUMMYFUNCTION("LOWER(REGEXREPLACE(B715&amp;"" ""&amp;C715,""[^а-яa-z0-9 ]"","" ""))"),"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за"&amp;"нятий в     ")</f>
        <v>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занятий в     </v>
      </c>
      <c r="G715" s="10" t="str">
        <f>IFERROR(__xludf.DUMMYFUNCTION("TEXTJOIN(""|"",TRUE,UNIQUE(FILTER(SPLIT(F715,"" ""),LEN(SPLIT(F715,"" ""))&gt;2)))"),"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f>
        <v>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v>
      </c>
      <c r="I715" s="6"/>
      <c r="J715" s="6"/>
    </row>
    <row r="716">
      <c r="A716" s="12" t="s">
        <v>2021</v>
      </c>
      <c r="B716" s="7" t="s">
        <v>2022</v>
      </c>
      <c r="C716" s="7" t="s">
        <v>2023</v>
      </c>
      <c r="D716" s="8">
        <v>7600.0</v>
      </c>
      <c r="E716" s="9">
        <v>1.0</v>
      </c>
      <c r="F716" s="10" t="str">
        <f>IFERROR(__xludf.DUMMYFUNCTION("LOWER(REGEXREPLACE(B716&amp;"" ""&amp;C716,""[^а-яa-z0-9 ]"","" ""))"),"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д"&amp;"етской рукой ")</f>
        <v>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детской рукой </v>
      </c>
      <c r="G716" s="10" t="str">
        <f>IFERROR(__xludf.DUMMYFUNCTION("TEXTJOIN(""|"",TRUE,UNIQUE(FILTER(SPLIT(F716,"" ""),LEN(SPLIT(F716,"" ""))&gt;2)))"),"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f>
        <v>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v>
      </c>
      <c r="I716" s="6"/>
      <c r="J716" s="6"/>
    </row>
    <row r="717">
      <c r="A717" s="12" t="s">
        <v>2024</v>
      </c>
      <c r="B717" s="7" t="s">
        <v>2025</v>
      </c>
      <c r="C717" s="7" t="s">
        <v>2026</v>
      </c>
      <c r="D717" s="8">
        <v>4000.0</v>
      </c>
      <c r="E717" s="9">
        <v>7.0</v>
      </c>
      <c r="F717" s="10" t="str">
        <f>IFERROR(__xludf.DUMMYFUNCTION("LOWER(REGEXREPLACE(B717&amp;"" ""&amp;C717,""[^а-яa-z0-9 ]"","" ""))"),"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игрово"&amp;"й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f>
        <v>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v>
      </c>
      <c r="G717" s="10" t="str">
        <f>IFERROR(__xludf.DUMMYFUNCTION("TEXTJOIN(""|"",TRUE,UNIQUE(FILTER(SPLIT(F717,"" ""),LEN(SPLIT(F717,"" ""))&gt;2)))"),"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amp;"|деятельности|лементы|размещаются|устойчивой|подставке|зготовлена|дерева|безопасна|долговечна|для|использования|условиях")</f>
        <v>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деятельности|лементы|размещаются|устойчивой|подставке|зготовлена|дерева|безопасна|долговечна|для|использования|условиях</v>
      </c>
      <c r="I717" s="6"/>
      <c r="J717" s="6"/>
    </row>
    <row r="718">
      <c r="A718" s="12" t="s">
        <v>2027</v>
      </c>
      <c r="B718" s="7" t="s">
        <v>2028</v>
      </c>
      <c r="C718" s="7" t="s">
        <v>2029</v>
      </c>
      <c r="D718" s="8">
        <v>31000.0</v>
      </c>
      <c r="E718" s="9">
        <v>1.0</v>
      </c>
      <c r="F718" s="10" t="str">
        <f>IFERROR(__xludf.DUMMYFUNCTION("LOWER(REGEXREPLACE(B718&amp;"" ""&amp;C718,""[^а-яa-z0-9 ]"","" ""))"),"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обесп"&amp;"ечивают безопасность и долговечность изделия ")</f>
        <v>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обеспечивают безопасность и долговечность изделия </v>
      </c>
      <c r="G718" s="10" t="str">
        <f>IFERROR(__xludf.DUMMYFUNCTION("TEXTJOIN(""|"",TRUE,UNIQUE(FILTER(SPLIT(F718,"" ""),LEN(SPLIT(F718,"" ""))&gt;2)))"),"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amp;"|долговечность|изделия")</f>
        <v>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долговечность|изделия</v>
      </c>
      <c r="I718" s="6"/>
      <c r="J718" s="6"/>
    </row>
    <row r="719">
      <c r="A719" s="12" t="s">
        <v>2030</v>
      </c>
      <c r="B719" s="7" t="s">
        <v>2031</v>
      </c>
      <c r="C719" s="7" t="s">
        <v>2032</v>
      </c>
      <c r="D719" s="8">
        <v>8600.0</v>
      </c>
      <c r="E719" s="9">
        <v>22.0</v>
      </c>
      <c r="F719" s="10" t="str">
        <f>IFERROR(__xludf.DUMMYFUNCTION("LOWER(REGEXREPLACE(B719&amp;"" ""&amp;C719,""[^а-яa-z0-9 ]"","" ""))"),"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f>
        <v>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v>
      </c>
      <c r="G719" s="10" t="str">
        <f>IFERROR(__xludf.DUMMYFUNCTION("TEXTJOIN(""|"",TRUE,UNIQUE(FILTER(SPLIT(F719,"" ""),LEN(SPLIT(F719,"" ""))&gt;2)))"),"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f>
        <v>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v>
      </c>
      <c r="I719" s="6"/>
      <c r="J719" s="6"/>
    </row>
    <row r="720">
      <c r="A720" s="12" t="s">
        <v>2033</v>
      </c>
      <c r="B720" s="7" t="s">
        <v>2034</v>
      </c>
      <c r="C720" s="7" t="s">
        <v>2035</v>
      </c>
      <c r="D720" s="8">
        <v>10500.0</v>
      </c>
      <c r="E720" s="9">
        <v>1.0</v>
      </c>
      <c r="F720" s="10" t="str">
        <f>IFERROR(__xludf.DUMMYFUNCTION("LOWER(REGEXREPLACE(B720&amp;"" ""&amp;C720,""[^а-яa-z0-9 ]"","" ""))"),"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f>
        <v>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v>
      </c>
      <c r="G720" s="10" t="str">
        <f>IFERROR(__xludf.DUMMYFUNCTION("TEXTJOIN(""|"",TRUE,UNIQUE(FILTER(SPLIT(F720,"" ""),LEN(SPLIT(F720,"" ""))&gt;2)))"),"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f>
        <v>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v>
      </c>
      <c r="I720" s="6"/>
      <c r="J720" s="6"/>
    </row>
    <row r="721">
      <c r="A721" s="12" t="s">
        <v>2036</v>
      </c>
      <c r="B721" s="7" t="s">
        <v>2037</v>
      </c>
      <c r="C721" s="7"/>
      <c r="D721" s="8">
        <v>1800.0</v>
      </c>
      <c r="E721" s="9">
        <v>1.0</v>
      </c>
      <c r="F721" s="10" t="str">
        <f>IFERROR(__xludf.DUMMYFUNCTION("LOWER(REGEXREPLACE(B721&amp;"" ""&amp;C721,""[^а-яa-z0-9 ]"","" ""))"),"  з   жаса  оптамасы   й жануарлары   ерия   делай сам    омашние животные из картона ")</f>
        <v>  з   жаса  оптамасы   й жануарлары   ерия   делай сам    омашние животные из картона </v>
      </c>
      <c r="G721" s="10" t="str">
        <f>IFERROR(__xludf.DUMMYFUNCTION("TEXTJOIN(""|"",TRUE,UNIQUE(FILTER(SPLIT(F721,"" ""),LEN(SPLIT(F721,"" ""))&gt;2)))"),"жаса|оптамасы|жануарлары|ерия|делай|сам|омашние|животные|картона")</f>
        <v>жаса|оптамасы|жануарлары|ерия|делай|сам|омашние|животные|картона</v>
      </c>
      <c r="I721" s="6"/>
      <c r="J721" s="6"/>
    </row>
    <row r="722">
      <c r="A722" s="12" t="s">
        <v>2038</v>
      </c>
      <c r="B722" s="7" t="s">
        <v>2039</v>
      </c>
      <c r="C722" s="7" t="s">
        <v>2040</v>
      </c>
      <c r="D722" s="8">
        <v>183900.0</v>
      </c>
      <c r="E722" s="9">
        <v>3.0</v>
      </c>
      <c r="F722" s="10" t="str">
        <f>IFERROR(__xludf.DUMMYFUNCTION("LOWER(REGEXREPLACE(B722&amp;"" ""&amp;C722,""[^а-яa-z0-9 ]"","" ""))")," есы sw 10 dd  рузоподъемность  10 кг   увствительность  5 г")</f>
        <v> есы sw 10 dd  рузоподъемность  10 кг   увствительность  5 г</v>
      </c>
      <c r="G722" s="10" t="str">
        <f>IFERROR(__xludf.DUMMYFUNCTION("TEXTJOIN(""|"",TRUE,UNIQUE(FILTER(SPLIT(F722,"" ""),LEN(SPLIT(F722,"" ""))&gt;2)))"),"есы|рузоподъемность|увствительность")</f>
        <v>есы|рузоподъемность|увствительность</v>
      </c>
      <c r="I722" s="6"/>
      <c r="J722" s="6"/>
    </row>
    <row r="723">
      <c r="A723" s="12" t="s">
        <v>2041</v>
      </c>
      <c r="B723" s="7" t="s">
        <v>2042</v>
      </c>
      <c r="C723" s="7" t="s">
        <v>2043</v>
      </c>
      <c r="D723" s="8">
        <v>9500.0</v>
      </c>
      <c r="E723" s="9">
        <v>1.0</v>
      </c>
      <c r="F723" s="10" t="str">
        <f>IFERROR(__xludf.DUMMYFUNCTION("LOWER(REGEXREPLACE(B723&amp;"" ""&amp;C723,""[^а-яa-z0-9 ]"","" ""))"),"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д"&amp;"етского сада ")</f>
        <v>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детского сада </v>
      </c>
      <c r="G723" s="10" t="str">
        <f>IFERROR(__xludf.DUMMYFUNCTION("TEXTJOIN(""|"",TRUE,UNIQUE(FILTER(SPLIT(F723,"" ""),LEN(SPLIT(F723,"" ""))&gt;2)))"),"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f>
        <v>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v>
      </c>
      <c r="I723" s="6"/>
      <c r="J723" s="6"/>
    </row>
    <row r="724">
      <c r="A724" s="12" t="s">
        <v>2044</v>
      </c>
      <c r="B724" s="7" t="s">
        <v>2045</v>
      </c>
      <c r="C724" s="7" t="s">
        <v>2046</v>
      </c>
      <c r="D724" s="8">
        <v>3000.0</v>
      </c>
      <c r="E724" s="9">
        <v>1.0</v>
      </c>
      <c r="F724" s="10" t="str">
        <f>IFERROR(__xludf.DUMMYFUNCTION("LOWER(REGEXREPLACE(B724&amp;"" ""&amp;C724,""[^а-яa-z0-9 ]"","" ""))"),"  л мен жолбарыс  ртег   ояма    растар ан  ужикова   ")</f>
        <v>  л мен жолбарыс  ртег   ояма    растар ан  ужикова   </v>
      </c>
      <c r="G724" s="10" t="str">
        <f>IFERROR(__xludf.DUMMYFUNCTION("TEXTJOIN(""|"",TRUE,UNIQUE(FILTER(SPLIT(F724,"" ""),LEN(SPLIT(F724,"" ""))&gt;2)))"),"мен|жолбарыс|ртег|ояма|растар|ужикова")</f>
        <v>мен|жолбарыс|ртег|ояма|растар|ужикова</v>
      </c>
      <c r="I724" s="6"/>
      <c r="J724" s="6"/>
    </row>
    <row r="725">
      <c r="A725" s="12" t="s">
        <v>2047</v>
      </c>
      <c r="B725" s="7" t="s">
        <v>2048</v>
      </c>
      <c r="C725" s="7" t="s">
        <v>2049</v>
      </c>
      <c r="D725" s="8">
        <v>3400.0</v>
      </c>
      <c r="E725" s="9">
        <v>2.0</v>
      </c>
      <c r="F725" s="10" t="str">
        <f>IFERROR(__xludf.DUMMYFUNCTION("LOWER(REGEXREPLACE(B725&amp;"" ""&amp;C725,""[^а-яa-z0-9 ]"","" ""))"),"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развив"&amp;"ающей работе с детьми дошкольного возраста ")</f>
        <v>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развивающей работе с детьми дошкольного возраста </v>
      </c>
      <c r="G725" s="10" t="str">
        <f>IFERROR(__xludf.DUMMYFUNCTION("TEXTJOIN(""|"",TRUE,UNIQUE(FILTER(SPLIT(F725,"" ""),LEN(SPLIT(F725,"" ""))&gt;2)))"),"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amp;"тьми|дошкольного|возраста")</f>
        <v>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тьми|дошкольного|возраста</v>
      </c>
      <c r="I725" s="6"/>
      <c r="J725" s="6"/>
    </row>
    <row r="726">
      <c r="A726" s="12" t="s">
        <v>2050</v>
      </c>
      <c r="B726" s="7" t="s">
        <v>2051</v>
      </c>
      <c r="C726" s="7" t="s">
        <v>2052</v>
      </c>
      <c r="D726" s="8">
        <v>19000.0</v>
      </c>
      <c r="E726" s="9">
        <v>2.0</v>
      </c>
      <c r="F726" s="10" t="str">
        <f>IFERROR(__xludf.DUMMYFUNCTION("LOWER(REGEXREPLACE(B726&amp;"" ""&amp;C726,""[^а-яa-z0-9 ]"","" ""))"),"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фо"&amp;"нематического слуха у детей ")</f>
        <v>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фонематического слуха у детей </v>
      </c>
      <c r="G726" s="10" t="str">
        <f>IFERROR(__xludf.DUMMYFUNCTION("TEXTJOIN(""|"",TRUE,UNIQUE(FILTER(SPLIT(F726,"" ""),LEN(SPLIT(F726,"" ""))&gt;2)))"),"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f>
        <v>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v>
      </c>
      <c r="I726" s="6"/>
      <c r="J726" s="6"/>
    </row>
    <row r="727">
      <c r="A727" s="12" t="s">
        <v>2053</v>
      </c>
      <c r="B727" s="7" t="s">
        <v>2054</v>
      </c>
      <c r="C727" s="7" t="s">
        <v>2055</v>
      </c>
      <c r="D727" s="8">
        <v>17400.0</v>
      </c>
      <c r="E727" s="9">
        <v>35.0</v>
      </c>
      <c r="F727" s="10" t="str">
        <f>IFERROR(__xludf.DUMMYFUNCTION("LOWER(REGEXREPLACE(B727&amp;"" ""&amp;C727,""[^а-яa-z0-9 ]"","" ""))"),"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регулиро"&amp;"вкой громкости и выключателем  безопасен для использования в     ")</f>
        <v>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регулировкой громкости и выключателем  безопасен для использования в     </v>
      </c>
      <c r="G727" s="10" t="str">
        <f>IFERROR(__xludf.DUMMYFUNCTION("TEXTJOIN(""|"",TRUE,UNIQUE(FILTER(SPLIT(F727,"" ""),LEN(SPLIT(F727,"" ""))&gt;2)))"),"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amp;"лем|безопасен|для|использования")</f>
        <v>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лем|безопасен|для|использования</v>
      </c>
      <c r="I727" s="6"/>
      <c r="J727" s="6"/>
    </row>
    <row r="728">
      <c r="A728" s="12" t="s">
        <v>2056</v>
      </c>
      <c r="B728" s="7" t="s">
        <v>2057</v>
      </c>
      <c r="C728" s="7" t="s">
        <v>2058</v>
      </c>
      <c r="D728" s="8">
        <v>4400.0</v>
      </c>
      <c r="E728" s="9">
        <v>25.0</v>
      </c>
      <c r="F728" s="10" t="str">
        <f>IFERROR(__xludf.DUMMYFUNCTION("LOWER(REGEXREPLACE(B728&amp;"" ""&amp;C728,""[^а-яa-z0-9 ]"","" ""))"),"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f>
        <v>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v>
      </c>
      <c r="G728" s="10" t="str">
        <f>IFERROR(__xludf.DUMMYFUNCTION("TEXTJOIN(""|"",TRUE,UNIQUE(FILTER(SPLIT(F728,"" ""),LEN(SPLIT(F728,"" ""))&gt;2)))"),"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f>
        <v>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v>
      </c>
      <c r="I728" s="6"/>
      <c r="J728" s="6"/>
    </row>
    <row r="729">
      <c r="A729" s="12" t="s">
        <v>2059</v>
      </c>
      <c r="B729" s="7" t="s">
        <v>2060</v>
      </c>
      <c r="C729" s="7" t="s">
        <v>2061</v>
      </c>
      <c r="D729" s="8">
        <v>3300.0</v>
      </c>
      <c r="E729" s="9">
        <v>20.0</v>
      </c>
      <c r="F729" s="10" t="str">
        <f>IFERROR(__xludf.DUMMYFUNCTION("LOWER(REGEXREPLACE(B729&amp;"" ""&amp;C729,""[^а-яa-z0-9 ]"","" ""))"),"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соблюд"&amp;"ении правил эксплуатации ")</f>
        <v>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соблюдении правил эксплуатации </v>
      </c>
      <c r="G729" s="10" t="str">
        <f>IFERROR(__xludf.DUMMYFUNCTION("TEXTJOIN(""|"",TRUE,UNIQUE(FILTER(SPLIT(F729,"" ""),LEN(SPLIT(F729,"" ""))&gt;2)))"),"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amp;"ции")</f>
        <v>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ции</v>
      </c>
      <c r="I729" s="6"/>
      <c r="J729" s="6"/>
    </row>
    <row r="730">
      <c r="A730" s="12" t="s">
        <v>2062</v>
      </c>
      <c r="B730" s="7" t="s">
        <v>2063</v>
      </c>
      <c r="C730" s="7" t="s">
        <v>2064</v>
      </c>
      <c r="D730" s="8">
        <v>27000.0</v>
      </c>
      <c r="E730" s="9">
        <v>320.0</v>
      </c>
      <c r="F730" s="10" t="str">
        <f>IFERROR(__xludf.DUMMYFUNCTION("LOWER(REGEXREPLACE(B730&amp;"" ""&amp;C730,""[^а-яa-z0-9 ]"","" ""))"),"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f>
        <v>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v>
      </c>
      <c r="G730" s="10" t="str">
        <f>IFERROR(__xludf.DUMMYFUNCTION("TEXTJOIN(""|"",TRUE,UNIQUE(FILTER(SPLIT(F730,"" ""),LEN(SPLIT(F730,"" ""))&gt;2)))"),"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f>
        <v>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v>
      </c>
      <c r="I730" s="6"/>
      <c r="J730" s="6"/>
    </row>
    <row r="731">
      <c r="A731" s="12" t="s">
        <v>2065</v>
      </c>
      <c r="B731" s="7" t="s">
        <v>2066</v>
      </c>
      <c r="C731" s="7" t="s">
        <v>2067</v>
      </c>
      <c r="D731" s="8">
        <v>27000.0</v>
      </c>
      <c r="E731" s="9">
        <v>320.0</v>
      </c>
      <c r="F731" s="10" t="str">
        <f>IFERROR(__xludf.DUMMYFUNCTION("LOWER(REGEXREPLACE(B731&amp;"" ""&amp;C731,""[^а-яa-z0-9 ]"","" ""))"),"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использован"&amp;"ия ")</f>
        <v>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использования </v>
      </c>
      <c r="G731" s="10" t="str">
        <f>IFERROR(__xludf.DUMMYFUNCTION("TEXTJOIN(""|"",TRUE,UNIQUE(FILTER(SPLIT(F731,"" ""),LEN(SPLIT(F731,"" ""))&gt;2)))"),"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f>
        <v>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v>
      </c>
      <c r="I731" s="6"/>
      <c r="J731" s="6"/>
    </row>
    <row r="732">
      <c r="A732" s="12" t="s">
        <v>2068</v>
      </c>
      <c r="B732" s="7" t="s">
        <v>2069</v>
      </c>
      <c r="C732" s="7" t="s">
        <v>2070</v>
      </c>
      <c r="D732" s="8">
        <v>17100.0</v>
      </c>
      <c r="E732" s="9">
        <v>1.0</v>
      </c>
      <c r="F732" s="10" t="str">
        <f>IFERROR(__xludf.DUMMYFUNCTION("LOWER(REGEXREPLACE(B732&amp;"" ""&amp;C732,""[^а-яa-z0-9 ]"","" ""))"),"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безопасе"&amp;"н для использования в     ")</f>
        <v>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безопасен для использования в     </v>
      </c>
      <c r="G732" s="10" t="str">
        <f>IFERROR(__xludf.DUMMYFUNCTION("TEXTJOIN(""|"",TRUE,UNIQUE(FILTER(SPLIT(F732,"" ""),LEN(SPLIT(F732,"" ""))&gt;2)))"),"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amp;"я")</f>
        <v>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я</v>
      </c>
      <c r="I732" s="6"/>
      <c r="J732" s="6"/>
    </row>
    <row r="733">
      <c r="A733" s="12" t="s">
        <v>2071</v>
      </c>
      <c r="B733" s="7" t="s">
        <v>2072</v>
      </c>
      <c r="C733" s="7" t="s">
        <v>2073</v>
      </c>
      <c r="D733" s="8">
        <v>39900.0</v>
      </c>
      <c r="E733" s="9">
        <v>1.0</v>
      </c>
      <c r="F733" s="10" t="str">
        <f>IFERROR(__xludf.DUMMYFUNCTION("LOWER(REGEXREPLACE(B733&amp;"" ""&amp;C733,""[^а-яa-z0-9 ]"","" ""))"),"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ас"&amp;"считана на нагрузку до 150 кг ")</f>
        <v>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ассчитана на нагрузку до 150 кг </v>
      </c>
      <c r="G733" s="10" t="str">
        <f>IFERROR(__xludf.DUMMYFUNCTION("TEXTJOIN(""|"",TRUE,UNIQUE(FILTER(SPLIT(F733,"" ""),LEN(SPLIT(F733,"" ""))&gt;2)))"),"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f>
        <v>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v>
      </c>
      <c r="I733" s="6"/>
      <c r="J733" s="6"/>
    </row>
    <row r="734">
      <c r="A734" s="12" t="s">
        <v>2074</v>
      </c>
      <c r="B734" s="7" t="s">
        <v>2075</v>
      </c>
      <c r="C734" s="7" t="s">
        <v>2076</v>
      </c>
      <c r="D734" s="8">
        <v>22800.0</v>
      </c>
      <c r="E734" s="9">
        <v>5.0</v>
      </c>
      <c r="F734" s="10" t="str">
        <f>IFERROR(__xludf.DUMMYFUNCTION("LOWER(REGEXREPLACE(B734&amp;"" ""&amp;C734,""[^а-яa-z0-9 ]"","" ""))"),"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в"&amp;"ет   красный с тематическими обозначениями ")</f>
        <v>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вет   красный с тематическими обозначениями </v>
      </c>
      <c r="G734" s="10" t="str">
        <f>IFERROR(__xludf.DUMMYFUNCTION("TEXTJOIN(""|"",TRUE,UNIQUE(FILTER(SPLIT(F734,"" ""),LEN(SPLIT(F734,"" ""))&gt;2)))"),"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amp;"атическими|обозначениями")</f>
        <v>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атическими|обозначениями</v>
      </c>
      <c r="I734" s="6"/>
      <c r="J734" s="6"/>
    </row>
    <row r="735">
      <c r="A735" s="12" t="s">
        <v>2077</v>
      </c>
      <c r="B735" s="7" t="s">
        <v>2078</v>
      </c>
      <c r="C735" s="7" t="s">
        <v>2079</v>
      </c>
      <c r="D735" s="8">
        <v>22800.0</v>
      </c>
      <c r="E735" s="9">
        <v>7.0</v>
      </c>
      <c r="F735" s="10" t="str">
        <f>IFERROR(__xludf.DUMMYFUNCTION("LOWER(REGEXREPLACE(B735&amp;"" ""&amp;C735,""[^а-яa-z0-9 ]"","" ""))"),"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f>
        <v>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v>
      </c>
      <c r="G735" s="10" t="str">
        <f>IFERROR(__xludf.DUMMYFUNCTION("TEXTJOIN(""|"",TRUE,UNIQUE(FILTER(SPLIT(F735,"" ""),LEN(SPLIT(F735,"" ""))&gt;2)))"),"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f>
        <v>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v>
      </c>
      <c r="I735" s="6"/>
      <c r="J735" s="6"/>
    </row>
    <row r="736">
      <c r="A736" s="12" t="s">
        <v>2080</v>
      </c>
      <c r="B736" s="7" t="s">
        <v>2081</v>
      </c>
      <c r="C736" s="7" t="s">
        <v>2082</v>
      </c>
      <c r="D736" s="8">
        <v>31400.0</v>
      </c>
      <c r="E736" s="9">
        <v>5.0</v>
      </c>
      <c r="F736" s="10" t="str">
        <f>IFERROR(__xludf.DUMMYFUNCTION("LOWER(REGEXREPLACE(B736&amp;"" ""&amp;C736,""[^а-яa-z0-9 ]"","" ""))"),"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соответствуе"&amp;"т требованиям     ")</f>
        <v>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соответствует требованиям     </v>
      </c>
      <c r="G736" s="10" t="str">
        <f>IFERROR(__xludf.DUMMYFUNCTION("TEXTJOIN(""|"",TRUE,UNIQUE(FILTER(SPLIT(F736,"" ""),LEN(SPLIT(F736,"" ""))&gt;2)))"),"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f>
        <v>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v>
      </c>
      <c r="I736" s="6"/>
      <c r="J736" s="6"/>
    </row>
    <row r="737">
      <c r="A737" s="12" t="s">
        <v>2083</v>
      </c>
      <c r="B737" s="7" t="s">
        <v>2084</v>
      </c>
      <c r="C737" s="7" t="s">
        <v>2085</v>
      </c>
      <c r="D737" s="8">
        <v>18400.0</v>
      </c>
      <c r="E737" s="9">
        <v>7.0</v>
      </c>
      <c r="F737" s="10" t="str">
        <f>IFERROR(__xludf.DUMMYFUNCTION("LOWER(REGEXREPLACE(B737&amp;"" ""&amp;C737,""[^а-яa-z0-9 ]"","" ""))"),"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професс"&amp;"иям ")</f>
        <v>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профессиям </v>
      </c>
      <c r="G737" s="10" t="str">
        <f>IFERROR(__xludf.DUMMYFUNCTION("TEXTJOIN(""|"",TRUE,UNIQUE(FILTER(SPLIT(F737,"" ""),LEN(SPLIT(F737,"" ""))&gt;2)))"),"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f>
        <v>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v>
      </c>
      <c r="I737" s="6"/>
      <c r="J737" s="6"/>
    </row>
    <row r="738">
      <c r="A738" s="12" t="s">
        <v>2086</v>
      </c>
      <c r="B738" s="7" t="s">
        <v>2087</v>
      </c>
      <c r="C738" s="7" t="s">
        <v>2088</v>
      </c>
      <c r="D738" s="8">
        <v>240200.0</v>
      </c>
      <c r="E738" s="9">
        <v>2.0</v>
      </c>
      <c r="F738" s="10" t="str">
        <f>IFERROR(__xludf.DUMMYFUNCTION("LOWER(REGEXREPLACE(B738&amp;"" ""&amp;C738,""[^а-яa-z0-9 ]"","" ""))"),"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акти"&amp;"вность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f>
        <v>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v>
      </c>
      <c r="G738" s="10" t="str">
        <f>IFERROR(__xludf.DUMMYFUNCTION("TEXTJOIN(""|"",TRUE,UNIQUE(FILTER(SPLIT(F738,"" ""),LEN(SPLIT(F738,"" ""))&gt;2)))"),"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amp;"витию|координации|движений|общей|моторики|омплект|включает|менее|элементов|онструкция|предназначена|для|использования|помещениях")</f>
        <v>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витию|координации|движений|общей|моторики|омплект|включает|менее|элементов|онструкция|предназначена|для|использования|помещениях</v>
      </c>
      <c r="I738" s="6"/>
      <c r="J738" s="6"/>
    </row>
    <row r="739">
      <c r="A739" s="12" t="s">
        <v>2089</v>
      </c>
      <c r="B739" s="7" t="s">
        <v>2090</v>
      </c>
      <c r="C739" s="7" t="s">
        <v>2091</v>
      </c>
      <c r="D739" s="8">
        <v>10600.0</v>
      </c>
      <c r="E739" s="9">
        <v>320.0</v>
      </c>
      <c r="F739" s="10" t="str">
        <f>IFERROR(__xludf.DUMMYFUNCTION("LOWER(REGEXREPLACE(B739&amp;"" ""&amp;C739,""[^а-яa-z0-9 ]"","" ""))"),"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f>
        <v>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v>
      </c>
      <c r="G739" s="10" t="str">
        <f>IFERROR(__xludf.DUMMYFUNCTION("TEXTJOIN(""|"",TRUE,UNIQUE(FILTER(SPLIT(F739,"" ""),LEN(SPLIT(F739,"" ""))&gt;2)))"),"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f>
        <v>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v>
      </c>
      <c r="I739" s="6"/>
      <c r="J739" s="6"/>
    </row>
    <row r="740">
      <c r="A740" s="12" t="s">
        <v>2092</v>
      </c>
      <c r="B740" s="7" t="s">
        <v>2093</v>
      </c>
      <c r="C740" s="7" t="s">
        <v>2094</v>
      </c>
      <c r="D740" s="8">
        <v>15600.0</v>
      </c>
      <c r="E740" s="9">
        <v>5.0</v>
      </c>
      <c r="F740" s="10" t="str">
        <f>IFERROR(__xludf.DUMMYFUNCTION("LOWER(REGEXREPLACE(B740&amp;"" ""&amp;C740,""[^а-яa-z0-9 ]"","" ""))"),"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пособствует"&amp;" развитию воображения и социальных навыков ")</f>
        <v>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 развитию воображения и социальных навыков </v>
      </c>
      <c r="G740" s="10" t="str">
        <f>IFERROR(__xludf.DUMMYFUNCTION("TEXTJOIN(""|"",TRUE,UNIQUE(FILTER(SPLIT(F740,"" ""),LEN(SPLIT(F740,"" ""))&gt;2)))"),"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amp;"ых|навыков")</f>
        <v>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ых|навыков</v>
      </c>
      <c r="I740" s="6"/>
      <c r="J740" s="6"/>
    </row>
    <row r="741">
      <c r="A741" s="12" t="s">
        <v>2095</v>
      </c>
      <c r="B741" s="7" t="s">
        <v>2096</v>
      </c>
      <c r="C741" s="7" t="s">
        <v>2097</v>
      </c>
      <c r="D741" s="8">
        <v>28500.0</v>
      </c>
      <c r="E741" s="9">
        <v>4.0</v>
      </c>
      <c r="F741" s="10" t="str">
        <f>IFERROR(__xludf.DUMMYFUNCTION("LOWER(REGEXREPLACE(B741&amp;"" ""&amp;C741,""[^а-яa-z0-9 ]"","" ""))"),"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f>
        <v>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v>
      </c>
      <c r="G741" s="10" t="str">
        <f>IFERROR(__xludf.DUMMYFUNCTION("TEXTJOIN(""|"",TRUE,UNIQUE(FILTER(SPLIT(F741,"" ""),LEN(SPLIT(F741,"" ""))&gt;2)))"),"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f>
        <v>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v>
      </c>
      <c r="I741" s="6"/>
      <c r="J741" s="6"/>
    </row>
    <row r="742">
      <c r="A742" s="12" t="s">
        <v>2098</v>
      </c>
      <c r="B742" s="7" t="s">
        <v>2099</v>
      </c>
      <c r="C742" s="7" t="s">
        <v>2100</v>
      </c>
      <c r="D742" s="8">
        <v>665000.0</v>
      </c>
      <c r="E742" s="9">
        <v>1.0</v>
      </c>
      <c r="F742" s="10" t="str">
        <f>IFERROR(__xludf.DUMMYFUNCTION("LOWER(REGEXREPLACE(B742&amp;"" ""&amp;C742,""[^а-яa-z0-9 ]"","" ""))"),"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сенсорны"&amp;"х и релаксационных зонах     ")</f>
        <v>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сенсорных и релаксационных зонах     </v>
      </c>
      <c r="G742" s="10" t="str">
        <f>IFERROR(__xludf.DUMMYFUNCTION("TEXTJOIN(""|"",TRUE,UNIQUE(FILTER(SPLIT(F742,"" ""),LEN(SPLIT(F742,"" ""))&gt;2)))"),"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f>
        <v>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v>
      </c>
      <c r="I742" s="6"/>
      <c r="J742" s="6"/>
    </row>
    <row r="743">
      <c r="A743" s="12" t="s">
        <v>2101</v>
      </c>
      <c r="B743" s="7" t="s">
        <v>2102</v>
      </c>
      <c r="C743" s="7" t="s">
        <v>2103</v>
      </c>
      <c r="D743" s="8">
        <v>3100.0</v>
      </c>
      <c r="E743" s="9">
        <v>175.0</v>
      </c>
      <c r="F743" s="10" t="str">
        <f>IFERROR(__xludf.DUMMYFUNCTION("LOWER(REGEXREPLACE(B743&amp;"" ""&amp;C743,""[^а-яa-z0-9 ]"","" ""))"),"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f>
        <v>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v>
      </c>
      <c r="G743" s="10" t="str">
        <f>IFERROR(__xludf.DUMMYFUNCTION("TEXTJOIN(""|"",TRUE,UNIQUE(FILTER(SPLIT(F743,"" ""),LEN(SPLIT(F743,"" ""))&gt;2)))"),"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f>
        <v>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v>
      </c>
      <c r="I743" s="6"/>
      <c r="J743" s="6"/>
    </row>
    <row r="744">
      <c r="A744" s="12" t="s">
        <v>2104</v>
      </c>
      <c r="B744" s="7" t="s">
        <v>2105</v>
      </c>
      <c r="C744" s="7" t="s">
        <v>2106</v>
      </c>
      <c r="D744" s="8">
        <v>437000.0</v>
      </c>
      <c r="E744" s="9">
        <v>1.0</v>
      </c>
      <c r="F744" s="10" t="str">
        <f>IFERROR(__xludf.DUMMYFUNCTION("LOWER(REGEXREPLACE(B744&amp;"" ""&amp;C744,""[^а-яa-z0-9 ]"","" ""))"),"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подсветк"&amp;"ой с возможностью выбора режимов   иаметр колонны   не менее 10 см  высота   не менее 120 см ")</f>
        <v>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подсветкой с возможностью выбора режимов   иаметр колонны   не менее 10 см  высота   не менее 120 см </v>
      </c>
      <c r="G744" s="10" t="str">
        <f>IFERROR(__xludf.DUMMYFUNCTION("TEXTJOIN(""|"",TRUE,UNIQUE(FILTER(SPLIT(F744,"" ""),LEN(SPLIT(F744,"" ""))&gt;2)))"),"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amp;"бора|режимов|иаметр|колонны|менее|высота|менее|120")</f>
        <v>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бора|режимов|иаметр|колонны|менее|высота|менее|120</v>
      </c>
      <c r="I744" s="6"/>
      <c r="J744" s="6"/>
    </row>
    <row r="745">
      <c r="A745" s="12" t="s">
        <v>2107</v>
      </c>
      <c r="B745" s="7" t="s">
        <v>2108</v>
      </c>
      <c r="C745" s="7" t="s">
        <v>2109</v>
      </c>
      <c r="D745" s="8">
        <v>129200.0</v>
      </c>
      <c r="E745" s="9">
        <v>2.0</v>
      </c>
      <c r="F745" s="10" t="str">
        <f>IFERROR(__xludf.DUMMYFUNCTION("LOWER(REGEXREPLACE(B745&amp;"" ""&amp;C745,""[^а-яa-z0-9 ]"","" ""))"),"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дв"&amp;"ижений ")</f>
        <v>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движений </v>
      </c>
      <c r="G745" s="10" t="str">
        <f>IFERROR(__xludf.DUMMYFUNCTION("TEXTJOIN(""|"",TRUE,UNIQUE(FILTER(SPLIT(F745,"" ""),LEN(SPLIT(F745,"" ""))&gt;2)))"),"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f>
        <v>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v>
      </c>
      <c r="I745" s="6"/>
      <c r="J745" s="6"/>
    </row>
    <row r="746">
      <c r="A746" s="12" t="s">
        <v>2110</v>
      </c>
      <c r="B746" s="7" t="s">
        <v>2111</v>
      </c>
      <c r="C746" s="7" t="s">
        <v>2112</v>
      </c>
      <c r="D746" s="8">
        <v>76000.0</v>
      </c>
      <c r="E746" s="9">
        <v>1.0</v>
      </c>
      <c r="F746" s="10" t="str">
        <f>IFERROR(__xludf.DUMMYFUNCTION("LOWER(REGEXREPLACE(B746&amp;"" ""&amp;C746,""[^а-яa-z0-9 ]"","" ""))"),"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эффектов"&amp;"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f>
        <v>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v>
      </c>
      <c r="G746" s="10" t="str">
        <f>IFERROR(__xludf.DUMMYFUNCTION("TEXTJOIN(""|"",TRUE,UNIQUE(FILTER(SPLIT(F746,"" ""),LEN(SPLIT(F746,"" ""))&gt;2)))"),"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amp;"вления|встроенный|luetooth|динамик|воспроизводит|звуки|природы|прибой|дождь|гроза|ночной|лес|спользуется|сенсорных|релаксационных|психологических|зонах")</f>
        <v>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вления|встроенный|luetooth|динамик|воспроизводит|звуки|природы|прибой|дождь|гроза|ночной|лес|спользуется|сенсорных|релаксационных|психологических|зонах</v>
      </c>
      <c r="I746" s="6"/>
      <c r="J746" s="6"/>
    </row>
    <row r="747">
      <c r="A747" s="12" t="s">
        <v>2113</v>
      </c>
      <c r="B747" s="7" t="s">
        <v>2114</v>
      </c>
      <c r="C747" s="7" t="s">
        <v>2115</v>
      </c>
      <c r="D747" s="8">
        <v>9000.0</v>
      </c>
      <c r="E747" s="9">
        <v>45.0</v>
      </c>
      <c r="F747" s="10" t="str">
        <f>IFERROR(__xludf.DUMMYFUNCTION("LOWER(REGEXREPLACE(B747&amp;"" ""&amp;C747,""[^а-яa-z0-9 ]"","" ""))"),"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f>
        <v>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v>
      </c>
      <c r="G747" s="10" t="str">
        <f>IFERROR(__xludf.DUMMYFUNCTION("TEXTJOIN(""|"",TRUE,UNIQUE(FILTER(SPLIT(F747,"" ""),LEN(SPLIT(F747,"" ""))&gt;2)))"),"розрачные|контейнеры|розрачные|пластиковые|контейнеры|предназначены|для|хранения|систематизации|дидактических|материалов|игрушек|принадлежностей")</f>
        <v>розрачные|контейнеры|розрачные|пластиковые|контейнеры|предназначены|для|хранения|систематизации|дидактических|материалов|игрушек|принадлежностей</v>
      </c>
      <c r="I747" s="6"/>
      <c r="J747" s="6"/>
    </row>
    <row r="748">
      <c r="A748" s="12" t="s">
        <v>2116</v>
      </c>
      <c r="B748" s="7" t="s">
        <v>2117</v>
      </c>
      <c r="C748" s="7" t="s">
        <v>2118</v>
      </c>
      <c r="D748" s="8">
        <v>30600.0</v>
      </c>
      <c r="E748" s="9">
        <v>30.0</v>
      </c>
      <c r="F748" s="10" t="str">
        <f>IFERROR(__xludf.DUMMYFUNCTION("LOWER(REGEXREPLACE(B748&amp;"" ""&amp;C748,""[^а-яa-z0-9 ]"","" ""))"),"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"&amp;"винилискожа  экокожа    репление скрытое  края закругл нные   стойчивы к дезинфекции  гипоаллергенные  соответствуют требованиям использования в     ")</f>
        <v>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винилискожа  экокожа    репление скрытое  края закругл нные   стойчивы к дезинфекции  гипоаллергенные  соответствуют требованиям использования в     </v>
      </c>
      <c r="G748" s="10" t="str">
        <f>IFERROR(__xludf.DUMMYFUNCTION("TEXTJOIN(""|"",TRUE,UNIQUE(FILTER(SPLIT(F748,"" ""),LEN(SPLIT(F748,"" ""))&gt;2)))"),"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amp;"рытое|края|закругл|нные|стойчивы|дезинфекции|гипоаллергенные|соответствуют|требованиям|использования")</f>
        <v>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рытое|края|закругл|нные|стойчивы|дезинфекции|гипоаллергенные|соответствуют|требованиям|использования</v>
      </c>
      <c r="I748" s="6"/>
      <c r="J748" s="6"/>
    </row>
    <row r="749">
      <c r="A749" s="12" t="s">
        <v>2119</v>
      </c>
      <c r="B749" s="7" t="s">
        <v>2120</v>
      </c>
      <c r="C749" s="7" t="s">
        <v>2121</v>
      </c>
      <c r="D749" s="8">
        <v>13500.0</v>
      </c>
      <c r="E749" s="9">
        <v>2.0</v>
      </c>
      <c r="F749" s="10" t="str">
        <f>IFERROR(__xludf.DUMMYFUNCTION("LOWER(REGEXREPLACE(B749&amp;"" ""&amp;C749,""[^а-яa-z0-9 ]"","" ""))")," узырь для льда  спользуется для местного охлаждения при ушибах и других медицинских показаниях ")</f>
        <v> узырь для льда  спользуется для местного охлаждения при ушибах и других медицинских показаниях </v>
      </c>
      <c r="G749" s="10" t="str">
        <f>IFERROR(__xludf.DUMMYFUNCTION("TEXTJOIN(""|"",TRUE,UNIQUE(FILTER(SPLIT(F749,"" ""),LEN(SPLIT(F749,"" ""))&gt;2)))"),"узырь|для|льда|спользуется|для|местного|охлаждения|при|ушибах|других|медицинских|показаниях")</f>
        <v>узырь|для|льда|спользуется|для|местного|охлаждения|при|ушибах|других|медицинских|показаниях</v>
      </c>
      <c r="I749" s="6"/>
      <c r="J749" s="6"/>
    </row>
    <row r="750">
      <c r="A750" s="12" t="s">
        <v>2122</v>
      </c>
      <c r="B750" s="7" t="s">
        <v>2123</v>
      </c>
      <c r="C750" s="7" t="s">
        <v>2124</v>
      </c>
      <c r="D750" s="8">
        <v>2000.0</v>
      </c>
      <c r="E750" s="9">
        <v>1.0</v>
      </c>
      <c r="F750" s="10" t="str">
        <f>IFERROR(__xludf.DUMMYFUNCTION("LOWER(REGEXREPLACE(B750&amp;"" ""&amp;C750,""[^а-яa-z0-9 ]"","" ""))"),"  шайман  едора  уковский   ")</f>
        <v>  шайман  едора  уковский   </v>
      </c>
      <c r="G750" s="10" t="str">
        <f>IFERROR(__xludf.DUMMYFUNCTION("TEXTJOIN(""|"",TRUE,UNIQUE(FILTER(SPLIT(F750,"" ""),LEN(SPLIT(F750,"" ""))&gt;2)))"),"шайман|едора|уковский")</f>
        <v>шайман|едора|уковский</v>
      </c>
      <c r="I750" s="6"/>
      <c r="J750" s="6"/>
    </row>
    <row r="751">
      <c r="A751" s="12" t="s">
        <v>2125</v>
      </c>
      <c r="B751" s="7" t="s">
        <v>2126</v>
      </c>
      <c r="C751" s="7" t="s">
        <v>2127</v>
      </c>
      <c r="D751" s="8">
        <v>8500.0</v>
      </c>
      <c r="E751" s="9">
        <v>5.0</v>
      </c>
      <c r="F751" s="10" t="str">
        <f>IFERROR(__xludf.DUMMYFUNCTION("LOWER(REGEXREPLACE(B751&amp;"" ""&amp;C751,""[^а-яa-z0-9 ]"","" ""))"),"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ос"&amp;"новы  7 5 23 см    комплекте 31 фишка ")</f>
        <v>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основы  7 5 23 см    комплекте 31 фишка </v>
      </c>
      <c r="G751" s="10" t="str">
        <f>IFERROR(__xludf.DUMMYFUNCTION("TEXTJOIN(""|"",TRUE,UNIQUE(FILTER(SPLIT(F751,"" ""),LEN(SPLIT(F751,"" ""))&gt;2)))"),"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f>
        <v>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v>
      </c>
      <c r="I751" s="6"/>
      <c r="J751" s="6"/>
    </row>
    <row r="752">
      <c r="A752" s="12" t="s">
        <v>2128</v>
      </c>
      <c r="B752" s="7" t="s">
        <v>2129</v>
      </c>
      <c r="C752" s="7" t="s">
        <v>2130</v>
      </c>
      <c r="D752" s="8">
        <v>1500.0</v>
      </c>
      <c r="E752" s="9">
        <v>7.0</v>
      </c>
      <c r="F752" s="10" t="str">
        <f>IFERROR(__xludf.DUMMYFUNCTION("LOWER(REGEXREPLACE(B752&amp;"" ""&amp;C752,""[^а-яa-z0-9 ]"","" ""))"),"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f>
        <v>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v>
      </c>
      <c r="G752" s="10" t="str">
        <f>IFERROR(__xludf.DUMMYFUNCTION("TEXTJOIN(""|"",TRUE,UNIQUE(FILTER(SPLIT(F752,"" ""),LEN(SPLIT(F752,"" ""))&gt;2)))"),"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f>
        <v>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v>
      </c>
      <c r="I752" s="6"/>
      <c r="J752" s="6"/>
    </row>
    <row r="753">
      <c r="A753" s="12" t="s">
        <v>2131</v>
      </c>
      <c r="B753" s="7" t="s">
        <v>2132</v>
      </c>
      <c r="C753" s="7" t="s">
        <v>2133</v>
      </c>
      <c r="D753" s="8">
        <v>6100.0</v>
      </c>
      <c r="E753" s="9">
        <v>7.0</v>
      </c>
      <c r="F753" s="10" t="str">
        <f>IFERROR(__xludf.DUMMYFUNCTION("LOWER(REGEXREPLACE(B753&amp;"" ""&amp;C753,""[^а-яa-z0-9 ]"","" ""))"),"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р"&amp;"азвивая внимание  память и координацию движений ")</f>
        <v>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развивая внимание  память и координацию движений </v>
      </c>
      <c r="G753" s="10" t="str">
        <f>IFERROR(__xludf.DUMMYFUNCTION("TEXTJOIN(""|"",TRUE,UNIQUE(FILTER(SPLIT(F753,"" ""),LEN(SPLIT(F753,"" ""))&gt;2)))"),"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amp;"цию|движений")</f>
        <v>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цию|движений</v>
      </c>
      <c r="I753" s="6"/>
      <c r="J753" s="6"/>
    </row>
    <row r="754">
      <c r="A754" s="12" t="s">
        <v>2134</v>
      </c>
      <c r="B754" s="7" t="s">
        <v>2135</v>
      </c>
      <c r="C754" s="7" t="s">
        <v>2136</v>
      </c>
      <c r="D754" s="8">
        <v>3300.0</v>
      </c>
      <c r="E754" s="9">
        <v>5.0</v>
      </c>
      <c r="F754" s="10" t="str">
        <f>IFERROR(__xludf.DUMMYFUNCTION("LOWER(REGEXREPLACE(B754&amp;"" ""&amp;C754,""[^а-яa-z0-9 ]"","" ""))"),"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дея"&amp;"тельности     ")</f>
        <v>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деятельности     </v>
      </c>
      <c r="G754" s="10" t="str">
        <f>IFERROR(__xludf.DUMMYFUNCTION("TEXTJOIN(""|"",TRUE,UNIQUE(FILTER(SPLIT(F754,"" ""),LEN(SPLIT(F754,"" ""))&gt;2)))"),"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f>
        <v>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v>
      </c>
      <c r="I754" s="6"/>
      <c r="J754" s="6"/>
    </row>
    <row r="755">
      <c r="A755" s="12" t="s">
        <v>2137</v>
      </c>
      <c r="B755" s="7" t="s">
        <v>2138</v>
      </c>
      <c r="C755" s="7" t="s">
        <v>2139</v>
      </c>
      <c r="D755" s="8">
        <v>2900.0</v>
      </c>
      <c r="E755" s="9">
        <v>20.0</v>
      </c>
      <c r="F755" s="10" t="str">
        <f>IFERROR(__xludf.DUMMYFUNCTION("LOWER(REGEXREPLACE(B755&amp;"" ""&amp;C755,""[^а-яa-z0-9 ]"","" ""))"),"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творче"&amp;"ских работ ")</f>
        <v>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творческих работ </v>
      </c>
      <c r="G755" s="10" t="str">
        <f>IFERROR(__xludf.DUMMYFUNCTION("TEXTJOIN(""|"",TRUE,UNIQUE(FILTER(SPLIT(F755,"" ""),LEN(SPLIT(F755,"" ""))&gt;2)))"),"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f>
        <v>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v>
      </c>
      <c r="I755" s="6"/>
      <c r="J755" s="6"/>
    </row>
    <row r="756">
      <c r="A756" s="12" t="s">
        <v>2140</v>
      </c>
      <c r="B756" s="7" t="s">
        <v>2141</v>
      </c>
      <c r="C756" s="7" t="s">
        <v>2142</v>
      </c>
      <c r="D756" s="8">
        <v>17100.0</v>
      </c>
      <c r="E756" s="9">
        <v>1.0</v>
      </c>
      <c r="F756" s="10" t="str">
        <f>IFERROR(__xludf.DUMMYFUNCTION("LOWER(REGEXREPLACE(B756&amp;"" ""&amp;C756,""[^а-яa-z0-9 ]"","" ""))"),"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математических"&amp;" представлений ")</f>
        <v>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 представлений </v>
      </c>
      <c r="G756" s="10" t="str">
        <f>IFERROR(__xludf.DUMMYFUNCTION("TEXTJOIN(""|"",TRUE,UNIQUE(FILTER(SPLIT(F756,"" ""),LEN(SPLIT(F756,"" ""))&gt;2)))"),"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f>
        <v>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v>
      </c>
      <c r="I756" s="6"/>
      <c r="J756" s="6"/>
    </row>
    <row r="757">
      <c r="A757" s="12" t="s">
        <v>2143</v>
      </c>
      <c r="B757" s="7" t="s">
        <v>2144</v>
      </c>
      <c r="C757" s="7" t="s">
        <v>2145</v>
      </c>
      <c r="D757" s="8">
        <v>12700.0</v>
      </c>
      <c r="E757" s="9">
        <v>10.0</v>
      </c>
      <c r="F757" s="10" t="str">
        <f>IFERROR(__xludf.DUMMYFUNCTION("LOWER(REGEXREPLACE(B757&amp;"" ""&amp;C757,""[^а-яa-z0-9 ]"","" ""))"),"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f>
        <v>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v>
      </c>
      <c r="G757" s="10" t="str">
        <f>IFERROR(__xludf.DUMMYFUNCTION("TEXTJOIN(""|"",TRUE,UNIQUE(FILTER(SPLIT(F757,"" ""),LEN(SPLIT(F757,"" ""))&gt;2)))"),"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f>
        <v>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v>
      </c>
      <c r="I757" s="6"/>
      <c r="J757" s="6"/>
    </row>
    <row r="758">
      <c r="A758" s="12" t="s">
        <v>2146</v>
      </c>
      <c r="B758" s="7" t="s">
        <v>2147</v>
      </c>
      <c r="C758" s="7" t="s">
        <v>2148</v>
      </c>
      <c r="D758" s="8">
        <v>12900.0</v>
      </c>
      <c r="E758" s="9">
        <v>1.0</v>
      </c>
      <c r="F758" s="10" t="str">
        <f>IFERROR(__xludf.DUMMYFUNCTION("LOWER(REGEXREPLACE(B758&amp;"" ""&amp;C758,""[^а-яa-z0-9 ]"","" ""))"),"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f>
        <v>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v>
      </c>
      <c r="G758" s="10" t="str">
        <f>IFERROR(__xludf.DUMMYFUNCTION("TEXTJOIN(""|"",TRUE,UNIQUE(FILTER(SPLIT(F758,"" ""),LEN(SPLIT(F758,"" ""))&gt;2)))"),"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f>
        <v>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v>
      </c>
      <c r="I758" s="6"/>
      <c r="J758" s="6"/>
    </row>
    <row r="759">
      <c r="A759" s="12" t="s">
        <v>2149</v>
      </c>
      <c r="B759" s="7" t="s">
        <v>2150</v>
      </c>
      <c r="C759" s="7" t="s">
        <v>2151</v>
      </c>
      <c r="D759" s="8">
        <v>79800.0</v>
      </c>
      <c r="E759" s="9">
        <v>10.0</v>
      </c>
      <c r="F759" s="10" t="str">
        <f>IFERROR(__xludf.DUMMYFUNCTION("LOWER(REGEXREPLACE(B759&amp;"" ""&amp;C759,""[^а-яa-z0-9 ]"","" ""))"),"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f>
        <v>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v>
      </c>
      <c r="G759" s="10" t="str">
        <f>IFERROR(__xludf.DUMMYFUNCTION("TEXTJOIN(""|"",TRUE,UNIQUE(FILTER(SPLIT(F759,"" ""),LEN(SPLIT(F759,"" ""))&gt;2)))"),"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f>
        <v>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v>
      </c>
      <c r="I759" s="6"/>
      <c r="J759" s="6"/>
    </row>
    <row r="760">
      <c r="A760" s="12" t="s">
        <v>2152</v>
      </c>
      <c r="B760" s="7" t="s">
        <v>2153</v>
      </c>
      <c r="C760" s="7" t="s">
        <v>2154</v>
      </c>
      <c r="D760" s="8">
        <v>17300.0</v>
      </c>
      <c r="E760" s="9">
        <v>5.0</v>
      </c>
      <c r="F760" s="10" t="str">
        <f>IFERROR(__xludf.DUMMYFUNCTION("LOWER(REGEXREPLACE(B760&amp;"" ""&amp;C760,""[^а-яa-z0-9 ]"","" ""))"),"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мо"&amp;"торики и элементарных представлений о свойствах веществ   атериалы безопасны для детей ")</f>
        <v>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моторики и элементарных представлений о свойствах веществ   атериалы безопасны для детей </v>
      </c>
      <c r="G760" s="10" t="str">
        <f>IFERROR(__xludf.DUMMYFUNCTION("TEXTJOIN(""|"",TRUE,UNIQUE(FILTER(SPLIT(F760,"" ""),LEN(SPLIT(F760,"" ""))&gt;2)))"),"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amp;"влений|свойствах|веществ|атериалы|безопасны|для|детей")</f>
        <v>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влений|свойствах|веществ|атериалы|безопасны|для|детей</v>
      </c>
      <c r="I760" s="6"/>
      <c r="J760" s="6"/>
    </row>
    <row r="761">
      <c r="A761" s="12" t="s">
        <v>2155</v>
      </c>
      <c r="B761" s="7" t="s">
        <v>2156</v>
      </c>
      <c r="C761" s="7" t="s">
        <v>2157</v>
      </c>
      <c r="D761" s="8">
        <v>85500.0</v>
      </c>
      <c r="E761" s="9">
        <v>5.0</v>
      </c>
      <c r="F761" s="10" t="str">
        <f>IFERROR(__xludf.DUMMYFUNCTION("LOWER(REGEXREPLACE(B761&amp;"" ""&amp;C761,""[^а-яa-z0-9 ]"","" ""))"),"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"&amp;"подставкой  две малые пробирки с крышками  карточки с заданиями   спользуется для развития исследовательских навыков и познавательного интереса ")</f>
        <v>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спользуется для развития исследовательских навыков и познавательного интереса </v>
      </c>
      <c r="G761" s="10" t="str">
        <f>IFERROR(__xludf.DUMMYFUNCTION("TEXTJOIN(""|"",TRUE,UNIQUE(FILTER(SPLIT(F761,"" ""),LEN(SPLIT(F761,"" ""))&gt;2)))"),"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amp;"ышками|карточки|заданиями|спользуется|для|развития|исследовательских|навыков|познавательного|интереса")</f>
        <v>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ышками|карточки|заданиями|спользуется|для|развития|исследовательских|навыков|познавательного|интереса</v>
      </c>
      <c r="I761" s="6"/>
      <c r="J761" s="6"/>
    </row>
    <row r="762">
      <c r="A762" s="12" t="s">
        <v>2158</v>
      </c>
      <c r="B762" s="7" t="s">
        <v>2159</v>
      </c>
      <c r="C762" s="7" t="s">
        <v>2160</v>
      </c>
      <c r="D762" s="8">
        <v>66500.0</v>
      </c>
      <c r="E762" s="9">
        <v>10.0</v>
      </c>
      <c r="F762" s="10" t="str">
        <f>IFERROR(__xludf.DUMMYFUNCTION("LOWER(REGEXREPLACE(B762&amp;"" ""&amp;C762,""[^а-яa-z0-9 ]"","" ""))"),"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"&amp;"мышления и математических представлений ")</f>
        <v>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мышления и математических представлений </v>
      </c>
      <c r="G762" s="10" t="str">
        <f>IFERROR(__xludf.DUMMYFUNCTION("TEXTJOIN(""|"",TRUE,UNIQUE(FILTER(SPLIT(F762,"" ""),LEN(SPLIT(F762,"" ""))&gt;2)))"),"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amp;"тавлений")</f>
        <v>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тавлений</v>
      </c>
      <c r="I762" s="6"/>
      <c r="J762" s="6"/>
    </row>
    <row r="763">
      <c r="A763" s="12" t="s">
        <v>2161</v>
      </c>
      <c r="B763" s="7" t="s">
        <v>2162</v>
      </c>
      <c r="C763" s="7" t="s">
        <v>2163</v>
      </c>
      <c r="D763" s="8">
        <v>5700.0</v>
      </c>
      <c r="E763" s="9">
        <v>14.0</v>
      </c>
      <c r="F763" s="10" t="str">
        <f>IFERROR(__xludf.DUMMYFUNCTION("LOWER(REGEXREPLACE(B763&amp;"" ""&amp;C763,""[^а-яa-z0-9 ]"","" ""))"),"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f>
        <v>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v>
      </c>
      <c r="G763" s="10" t="str">
        <f>IFERROR(__xludf.DUMMYFUNCTION("TEXTJOIN(""|"",TRUE,UNIQUE(FILTER(SPLIT(F763,"" ""),LEN(SPLIT(F763,"" ""))&gt;2)))"),"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f>
        <v>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v>
      </c>
      <c r="I763" s="6"/>
      <c r="J763" s="6"/>
    </row>
    <row r="764">
      <c r="A764" s="12" t="s">
        <v>2164</v>
      </c>
      <c r="B764" s="7" t="s">
        <v>2165</v>
      </c>
      <c r="C764" s="7" t="s">
        <v>2166</v>
      </c>
      <c r="D764" s="8">
        <v>10600.0</v>
      </c>
      <c r="E764" s="9">
        <v>7.0</v>
      </c>
      <c r="F764" s="10" t="str">
        <f>IFERROR(__xludf.DUMMYFUNCTION("LOWER(REGEXREPLACE(B764&amp;"" ""&amp;C764,""[^а-яa-z0-9 ]"","" ""))"),"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f>
        <v>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v>
      </c>
      <c r="G764" s="10" t="str">
        <f>IFERROR(__xludf.DUMMYFUNCTION("TEXTJOIN(""|"",TRUE,UNIQUE(FILTER(SPLIT(F764,"" ""),LEN(SPLIT(F764,"" ""))&gt;2)))"),"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f>
        <v>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v>
      </c>
      <c r="I764" s="6"/>
      <c r="J764" s="6"/>
    </row>
    <row r="765">
      <c r="A765" s="12" t="s">
        <v>2167</v>
      </c>
      <c r="B765" s="7" t="s">
        <v>2168</v>
      </c>
      <c r="C765" s="7" t="s">
        <v>2169</v>
      </c>
      <c r="D765" s="8">
        <v>16200.0</v>
      </c>
      <c r="E765" s="9">
        <v>2.0</v>
      </c>
      <c r="F765" s="10" t="str">
        <f>IFERROR(__xludf.DUMMYFUNCTION("LOWER(REGEXREPLACE(B765&amp;"" ""&amp;C765,""[^а-яa-z0-9 ]"","" ""))"),"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f>
        <v>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v>
      </c>
      <c r="G765" s="10" t="str">
        <f>IFERROR(__xludf.DUMMYFUNCTION("TEXTJOIN(""|"",TRUE,UNIQUE(FILTER(SPLIT(F765,"" ""),LEN(SPLIT(F765,"" ""))&gt;2)))"),"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f>
        <v>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v>
      </c>
      <c r="I765" s="6"/>
      <c r="J765" s="6"/>
    </row>
    <row r="766">
      <c r="A766" s="12" t="s">
        <v>2170</v>
      </c>
      <c r="B766" s="7" t="s">
        <v>2171</v>
      </c>
      <c r="C766" s="7" t="s">
        <v>2172</v>
      </c>
      <c r="D766" s="8">
        <v>3100.0</v>
      </c>
      <c r="E766" s="9">
        <v>2.0</v>
      </c>
      <c r="F766" s="10" t="str">
        <f>IFERROR(__xludf.DUMMYFUNCTION("LOWER(REGEXREPLACE(B766&amp;"" ""&amp;C766,""[^а-яa-z0-9 ]"","" ""))"),"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двигател"&amp;"ьной активности ")</f>
        <v>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двигательной активности </v>
      </c>
      <c r="G766" s="10" t="str">
        <f>IFERROR(__xludf.DUMMYFUNCTION("TEXTJOIN(""|"",TRUE,UNIQUE(FILTER(SPLIT(F766,"" ""),LEN(SPLIT(F766,"" ""))&gt;2)))"),"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f>
        <v>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v>
      </c>
      <c r="I766" s="6"/>
      <c r="J766" s="6"/>
    </row>
    <row r="767">
      <c r="A767" s="12" t="s">
        <v>2173</v>
      </c>
      <c r="B767" s="7" t="s">
        <v>2174</v>
      </c>
      <c r="C767" s="7" t="s">
        <v>2175</v>
      </c>
      <c r="D767" s="8">
        <v>6700.0</v>
      </c>
      <c r="E767" s="9">
        <v>2.0</v>
      </c>
      <c r="F767" s="10" t="str">
        <f>IFERROR(__xludf.DUMMYFUNCTION("LOWER(REGEXREPLACE(B767&amp;"" ""&amp;C767,""[^а-яa-z0-9 ]"","" ""))"),"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f>
        <v>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v>
      </c>
      <c r="G767" s="10" t="str">
        <f>IFERROR(__xludf.DUMMYFUNCTION("TEXTJOIN(""|"",TRUE,UNIQUE(FILTER(SPLIT(F767,"" ""),LEN(SPLIT(F767,"" ""))&gt;2)))"),"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f>
        <v>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v>
      </c>
      <c r="I767" s="6"/>
      <c r="J767" s="6"/>
    </row>
    <row r="768">
      <c r="A768" s="12" t="s">
        <v>2176</v>
      </c>
      <c r="B768" s="7" t="s">
        <v>2177</v>
      </c>
      <c r="C768" s="7" t="s">
        <v>2178</v>
      </c>
      <c r="D768" s="8">
        <v>4300.0</v>
      </c>
      <c r="E768" s="9">
        <v>5.0</v>
      </c>
      <c r="F768" s="10" t="str">
        <f>IFERROR(__xludf.DUMMYFUNCTION("LOWER(REGEXREPLACE(B768&amp;"" ""&amp;C768,""[^а-яa-z0-9 ]"","" ""))"),"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f>
        <v>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v>
      </c>
      <c r="G768" s="10" t="str">
        <f>IFERROR(__xludf.DUMMYFUNCTION("TEXTJOIN(""|"",TRUE,UNIQUE(FILTER(SPLIT(F768,"" ""),LEN(SPLIT(F768,"" ""))&gt;2)))"),"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f>
        <v>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v>
      </c>
      <c r="I768" s="6"/>
      <c r="J768" s="6"/>
    </row>
    <row r="769">
      <c r="A769" s="12" t="s">
        <v>2179</v>
      </c>
      <c r="B769" s="7" t="s">
        <v>2180</v>
      </c>
      <c r="C769" s="7" t="s">
        <v>2181</v>
      </c>
      <c r="D769" s="8">
        <v>8600.0</v>
      </c>
      <c r="E769" s="9">
        <v>7.0</v>
      </c>
      <c r="F769" s="10" t="str">
        <f>IFERROR(__xludf.DUMMYFUNCTION("LOWER(REGEXREPLACE(B769&amp;"" ""&amp;C769,""[^а-яa-z0-9 ]"","" ""))"),"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f>
        <v>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v>
      </c>
      <c r="G769" s="10" t="str">
        <f>IFERROR(__xludf.DUMMYFUNCTION("TEXTJOIN(""|"",TRUE,UNIQUE(FILTER(SPLIT(F769,"" ""),LEN(SPLIT(F769,"" ""))&gt;2)))"),"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f>
        <v>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v>
      </c>
      <c r="I769" s="6"/>
      <c r="J769" s="6"/>
    </row>
    <row r="770">
      <c r="A770" s="12" t="s">
        <v>2182</v>
      </c>
      <c r="B770" s="7" t="s">
        <v>2183</v>
      </c>
      <c r="C770" s="7" t="s">
        <v>2184</v>
      </c>
      <c r="D770" s="8">
        <v>5700.0</v>
      </c>
      <c r="E770" s="9">
        <v>1.0</v>
      </c>
      <c r="F770" s="10" t="str">
        <f>IFERROR(__xludf.DUMMYFUNCTION("LOWER(REGEXREPLACE(B770&amp;"" ""&amp;C770,""[^а-яa-z0-9 ]"","" ""))"),"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f>
        <v>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v>
      </c>
      <c r="G770" s="10" t="str">
        <f>IFERROR(__xludf.DUMMYFUNCTION("TEXTJOIN(""|"",TRUE,UNIQUE(FILTER(SPLIT(F770,"" ""),LEN(SPLIT(F770,"" ""))&gt;2)))"),"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f>
        <v>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v>
      </c>
      <c r="I770" s="6"/>
      <c r="J770" s="6"/>
    </row>
    <row r="771">
      <c r="A771" s="12" t="s">
        <v>2185</v>
      </c>
      <c r="B771" s="7" t="s">
        <v>2186</v>
      </c>
      <c r="C771" s="7" t="s">
        <v>2187</v>
      </c>
      <c r="D771" s="8">
        <v>33400.0</v>
      </c>
      <c r="E771" s="9">
        <v>1.0</v>
      </c>
      <c r="F771" s="10" t="str">
        <f>IFERROR(__xludf.DUMMYFUNCTION("LOWER(REGEXREPLACE(B771&amp;"" ""&amp;C771,""[^а-яa-z0-9 ]"","" ""))"),"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f>
        <v>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v>
      </c>
      <c r="G771" s="10" t="str">
        <f>IFERROR(__xludf.DUMMYFUNCTION("TEXTJOIN(""|"",TRUE,UNIQUE(FILTER(SPLIT(F771,"" ""),LEN(SPLIT(F771,"" ""))&gt;2)))"),"азвивающие|карточки|азвивающие|карточки|предназначены|для|запуска|развития|речи|детей|дошкольного|возраста|спользуются|логопедической|коррекционной|работе")</f>
        <v>азвивающие|карточки|азвивающие|карточки|предназначены|для|запуска|развития|речи|детей|дошкольного|возраста|спользуются|логопедической|коррекционной|работе</v>
      </c>
      <c r="I771" s="6"/>
      <c r="J771" s="6"/>
    </row>
    <row r="772">
      <c r="A772" s="12" t="s">
        <v>2188</v>
      </c>
      <c r="B772" s="7" t="s">
        <v>2189</v>
      </c>
      <c r="C772" s="7" t="s">
        <v>2190</v>
      </c>
      <c r="D772" s="8">
        <v>10800.0</v>
      </c>
      <c r="E772" s="9">
        <v>1.0</v>
      </c>
      <c r="F772" s="10" t="str">
        <f>IFERROR(__xludf.DUMMYFUNCTION("LOWER(REGEXREPLACE(B772&amp;"" ""&amp;C772,""[^а-яa-z0-9 ]"","" ""))"),"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вх"&amp;"одит не менее 50 карточек и буклет с заданиями   атериал подходит для индивидуальной и подгрупповой работы   ассчитан на многократное использование ")</f>
        <v>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входит не менее 50 карточек и буклет с заданиями   атериал подходит для индивидуальной и подгрупповой работы   ассчитан на многократное использование </v>
      </c>
      <c r="G772" s="10" t="str">
        <f>IFERROR(__xludf.DUMMYFUNCTION("TEXTJOIN(""|"",TRUE,UNIQUE(FILTER(SPLIT(F772,"" ""),LEN(SPLIT(F772,"" ""))&gt;2)))"),"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amp;"т|заданиями|атериал|подходит|для|индивидуальной|подгрупповой|работы|ассчитан|многократное|использование")</f>
        <v>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т|заданиями|атериал|подходит|для|индивидуальной|подгрупповой|работы|ассчитан|многократное|использование</v>
      </c>
      <c r="I772" s="6"/>
      <c r="J772" s="6"/>
    </row>
    <row r="773">
      <c r="A773" s="12" t="s">
        <v>2191</v>
      </c>
      <c r="B773" s="7" t="s">
        <v>2192</v>
      </c>
      <c r="C773" s="7" t="s">
        <v>2193</v>
      </c>
      <c r="D773" s="8">
        <v>28500.0</v>
      </c>
      <c r="E773" s="9">
        <v>1.0</v>
      </c>
      <c r="F773" s="10" t="str">
        <f>IFERROR(__xludf.DUMMYFUNCTION("LOWER(REGEXREPLACE(B773&amp;"" ""&amp;C773,""[^а-яa-z0-9 ]"","" ""))"),"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f>
        <v>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v>
      </c>
      <c r="G773" s="10" t="str">
        <f>IFERROR(__xludf.DUMMYFUNCTION("TEXTJOIN(""|"",TRUE,UNIQUE(FILTER(SPLIT(F773,"" ""),LEN(SPLIT(F773,"" ""))&gt;2)))"),"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f>
        <v>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v>
      </c>
      <c r="I773" s="6"/>
      <c r="J773" s="6"/>
    </row>
    <row r="774">
      <c r="A774" s="12" t="s">
        <v>2194</v>
      </c>
      <c r="B774" s="7" t="s">
        <v>2195</v>
      </c>
      <c r="C774" s="7" t="s">
        <v>2196</v>
      </c>
      <c r="D774" s="8">
        <v>19000.0</v>
      </c>
      <c r="E774" s="9">
        <v>2.0</v>
      </c>
      <c r="F774" s="10" t="str">
        <f>IFERROR(__xludf.DUMMYFUNCTION("LOWER(REGEXREPLACE(B774&amp;"" ""&amp;C774,""[^а-яa-z0-9 ]"","" ""))"),"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f>
        <v>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v>
      </c>
      <c r="G774" s="10" t="str">
        <f>IFERROR(__xludf.DUMMYFUNCTION("TEXTJOIN(""|"",TRUE,UNIQUE(FILTER(SPLIT(F774,"" ""),LEN(SPLIT(F774,"" ""))&gt;2)))"),"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f>
        <v>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v>
      </c>
      <c r="I774" s="6"/>
      <c r="J774" s="6"/>
    </row>
    <row r="775">
      <c r="A775" s="12" t="s">
        <v>2197</v>
      </c>
      <c r="B775" s="7" t="s">
        <v>2198</v>
      </c>
      <c r="C775" s="7" t="s">
        <v>2199</v>
      </c>
      <c r="D775" s="8">
        <v>22000.0</v>
      </c>
      <c r="E775" s="9">
        <v>14.0</v>
      </c>
      <c r="F775" s="10" t="str">
        <f>IFERROR(__xludf.DUMMYFUNCTION("LOWER(REGEXREPLACE(B775&amp;"" ""&amp;C775,""[^а-яa-z0-9 ]"","" ""))"),"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дет"&amp;"ям от 3 лет ")</f>
        <v>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детям от 3 лет </v>
      </c>
      <c r="G775" s="10" t="str">
        <f>IFERROR(__xludf.DUMMYFUNCTION("TEXTJOIN(""|"",TRUE,UNIQUE(FILTER(SPLIT(F775,"" ""),LEN(SPLIT(F775,"" ""))&gt;2)))"),"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f>
        <v>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v>
      </c>
      <c r="I775" s="6"/>
      <c r="J775" s="6"/>
    </row>
    <row r="776">
      <c r="A776" s="12" t="s">
        <v>2200</v>
      </c>
      <c r="B776" s="7" t="s">
        <v>2201</v>
      </c>
      <c r="C776" s="7" t="s">
        <v>2202</v>
      </c>
      <c r="D776" s="8">
        <v>12200.0</v>
      </c>
      <c r="E776" s="9">
        <v>7.0</v>
      </c>
      <c r="F776" s="10" t="str">
        <f>IFERROR(__xludf.DUMMYFUNCTION("LOWER(REGEXREPLACE(B776&amp;"" ""&amp;C776,""[^а-яa-z0-9 ]"","" ""))"),"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трогател"&amp;"ьным дизайном   пособствует длительной самостоятельной игровой деятельности и развитию познавательных навыков ")</f>
        <v>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трогательным дизайном   пособствует длительной самостоятельной игровой деятельности и развитию познавательных навыков </v>
      </c>
      <c r="G776" s="10" t="str">
        <f>IFERROR(__xludf.DUMMYFUNCTION("TEXTJOIN(""|"",TRUE,UNIQUE(FILTER(SPLIT(F776,"" ""),LEN(SPLIT(F776,"" ""))&gt;2)))"),"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amp;"вует|длительной|самостоятельной|игровой|деятельности|развитию|познавательных|навыков")</f>
        <v>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вует|длительной|самостоятельной|игровой|деятельности|развитию|познавательных|навыков</v>
      </c>
      <c r="I776" s="6"/>
      <c r="J776" s="6"/>
    </row>
    <row r="777">
      <c r="A777" s="12" t="s">
        <v>2203</v>
      </c>
      <c r="B777" s="7" t="s">
        <v>2204</v>
      </c>
      <c r="C777" s="7" t="s">
        <v>2205</v>
      </c>
      <c r="D777" s="8">
        <v>30400.0</v>
      </c>
      <c r="E777" s="9">
        <v>10.0</v>
      </c>
      <c r="F777" s="10" t="str">
        <f>IFERROR(__xludf.DUMMYFUNCTION("LOWER(REGEXREPLACE(B777&amp;"" ""&amp;C777,""[^а-яa-z0-9 ]"","" ""))"),"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мышления"&amp;" и логического анализа   лементы выполнены из прочных материалов ")</f>
        <v>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 и логического анализа   лементы выполнены из прочных материалов </v>
      </c>
      <c r="G777" s="10" t="str">
        <f>IFERROR(__xludf.DUMMYFUNCTION("TEXTJOIN(""|"",TRUE,UNIQUE(FILTER(SPLIT(F777,"" ""),LEN(SPLIT(F777,"" ""))&gt;2)))"),"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amp;"за|лементы|выполнены|прочных|материалов")</f>
        <v>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за|лементы|выполнены|прочных|материалов</v>
      </c>
      <c r="I777" s="6"/>
      <c r="J777" s="6"/>
    </row>
    <row r="778">
      <c r="A778" s="12" t="s">
        <v>2206</v>
      </c>
      <c r="B778" s="7" t="s">
        <v>2207</v>
      </c>
      <c r="C778" s="7" t="s">
        <v>2208</v>
      </c>
      <c r="D778" s="8">
        <v>5400.0</v>
      </c>
      <c r="E778" s="9">
        <v>4.0</v>
      </c>
      <c r="F778" s="10" t="str">
        <f>IFERROR(__xludf.DUMMYFUNCTION("LOWER(REGEXREPLACE(B778&amp;"" ""&amp;C778,""[^а-яa-z0-9 ]"","" ""))"),"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деяте"&amp;"льности дошкольного учреждения ")</f>
        <v>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деятельности дошкольного учреждения </v>
      </c>
      <c r="G778" s="10" t="str">
        <f>IFERROR(__xludf.DUMMYFUNCTION("TEXTJOIN(""|"",TRUE,UNIQUE(FILTER(SPLIT(F778,"" ""),LEN(SPLIT(F778,"" ""))&gt;2)))"),"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amp;"чреждения")</f>
        <v>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чреждения</v>
      </c>
      <c r="I778" s="6"/>
      <c r="J778" s="6"/>
    </row>
    <row r="779">
      <c r="A779" s="12" t="s">
        <v>2209</v>
      </c>
      <c r="B779" s="7" t="s">
        <v>2210</v>
      </c>
      <c r="C779" s="7" t="s">
        <v>2211</v>
      </c>
      <c r="D779" s="8">
        <v>8900.0</v>
      </c>
      <c r="E779" s="9">
        <v>7.0</v>
      </c>
      <c r="F779" s="10" t="str">
        <f>IFERROR(__xludf.DUMMYFUNCTION("LOWER(REGEXREPLACE(B779&amp;"" ""&amp;C779,""[^а-яa-z0-9 ]"","" ""))"),"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ат"&amp;"ериалы рассчитаны на использование в образовательном процессе ")</f>
        <v>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атериалы рассчитаны на использование в образовательном процессе </v>
      </c>
      <c r="G779" s="10" t="str">
        <f>IFERROR(__xludf.DUMMYFUNCTION("TEXTJOIN(""|"",TRUE,UNIQUE(FILTER(SPLIT(F779,"" ""),LEN(SPLIT(F779,"" ""))&gt;2)))"),"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amp;"пользование|образовательном|процессе")</f>
        <v>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пользование|образовательном|процессе</v>
      </c>
      <c r="I779" s="6"/>
      <c r="J779" s="6"/>
    </row>
    <row r="780">
      <c r="A780" s="12" t="s">
        <v>2212</v>
      </c>
      <c r="B780" s="7" t="s">
        <v>2213</v>
      </c>
      <c r="C780" s="7" t="s">
        <v>2214</v>
      </c>
      <c r="D780" s="8">
        <v>12600.0</v>
      </c>
      <c r="E780" s="9">
        <v>7.0</v>
      </c>
      <c r="F780" s="10" t="str">
        <f>IFERROR(__xludf.DUMMYFUNCTION("LOWER(REGEXREPLACE(B780&amp;"" ""&amp;C780,""[^а-яa-z0-9 ]"","" ""))"),"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комбиниров"&amp;"анию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транспор"&amp;"тным средством   акая деятельность способствует развитию воображения и представлений о транспорте   зделие выполнено из прочных материалов ")</f>
        <v>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транспортным средством   акая деятельность способствует развитию воображения и представлений о транспорте   зделие выполнено из прочных материалов </v>
      </c>
      <c r="G780" s="10" t="str">
        <f>IFERROR(__xludf.DUMMYFUNCTION("TEXTJOIN(""|"",TRUE,UNIQUE(FILTER(SPLIT(F780,"" ""),LEN(SPLIT(F780,"" ""))&gt;2)))"),"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amp;"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amp;"ствует|развитию|воображения|представлений|транспорте|зделие|выполнено|прочных|материалов")</f>
        <v>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ствует|развитию|воображения|представлений|транспорте|зделие|выполнено|прочных|материалов</v>
      </c>
      <c r="I780" s="6"/>
      <c r="J780" s="6"/>
    </row>
    <row r="781">
      <c r="A781" s="12" t="s">
        <v>2215</v>
      </c>
      <c r="B781" s="7" t="s">
        <v>2216</v>
      </c>
      <c r="C781" s="7" t="s">
        <v>2217</v>
      </c>
      <c r="D781" s="8">
        <v>9700.0</v>
      </c>
      <c r="E781" s="9">
        <v>1.0</v>
      </c>
      <c r="F781" s="10" t="str">
        <f>IFERROR(__xludf.DUMMYFUNCTION("LOWER(REGEXREPLACE(B781&amp;"" ""&amp;C781,""[^а-яa-z0-9 ]"","" ""))"),"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предста"&amp;"влений о форме  цвете и композиции   рименяются в индивидуальной и групповой работе ")</f>
        <v>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представлений о форме  цвете и композиции   рименяются в индивидуальной и групповой работе </v>
      </c>
      <c r="G781" s="10" t="str">
        <f>IFERROR(__xludf.DUMMYFUNCTION("TEXTJOIN(""|"",TRUE,UNIQUE(FILTER(SPLIT(F781,"" ""),LEN(SPLIT(F781,"" ""))&gt;2)))"),"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amp;"композиции|рименяются|индивидуальной|групповой|работе")</f>
        <v>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композиции|рименяются|индивидуальной|групповой|работе</v>
      </c>
      <c r="I781" s="6"/>
      <c r="J781" s="6"/>
    </row>
    <row r="782">
      <c r="A782" s="12" t="s">
        <v>2218</v>
      </c>
      <c r="B782" s="7" t="s">
        <v>2219</v>
      </c>
      <c r="C782" s="7" t="s">
        <v>2220</v>
      </c>
      <c r="D782" s="8">
        <v>10900.0</v>
      </c>
      <c r="E782" s="9">
        <v>7.0</v>
      </c>
      <c r="F782" s="10" t="str">
        <f>IFERROR(__xludf.DUMMYFUNCTION("LOWER(REGEXREPLACE(B782&amp;"" ""&amp;C782,""[^а-яa-z0-9 ]"","" ""))"),"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закреплят"&amp;"ь содержание произведений и речевые упражнения   атериалы рассчитаны на использование в образовательной практике ")</f>
        <v>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закреплять содержание произведений и речевые упражнения   атериалы рассчитаны на использование в образовательной практике </v>
      </c>
      <c r="G782" s="10" t="str">
        <f>IFERROR(__xludf.DUMMYFUNCTION("TEXTJOIN(""|"",TRUE,UNIQUE(FILTER(SPLIT(F782,"" ""),LEN(SPLIT(F782,"" ""))&gt;2)))"),"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amp;"дений|речевые|упражнения|атериалы|рассчитаны|использование|образовательной|практике")</f>
        <v>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дений|речевые|упражнения|атериалы|рассчитаны|использование|образовательной|практике</v>
      </c>
      <c r="I782" s="6"/>
      <c r="J782" s="6"/>
    </row>
    <row r="783">
      <c r="A783" s="12" t="s">
        <v>2221</v>
      </c>
      <c r="B783" s="7" t="s">
        <v>2222</v>
      </c>
      <c r="C783" s="7" t="s">
        <v>2223</v>
      </c>
      <c r="D783" s="8">
        <v>6200.0</v>
      </c>
      <c r="E783" s="9">
        <v>50.0</v>
      </c>
      <c r="F783" s="10" t="str">
        <f>IFERROR(__xludf.DUMMYFUNCTION("LOWER(REGEXREPLACE(B783&amp;"" ""&amp;C783,""[^а-яa-z0-9 ]"","" ""))"),"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f>
        <v>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v>
      </c>
      <c r="G783" s="10" t="str">
        <f>IFERROR(__xludf.DUMMYFUNCTION("TEXTJOIN(""|"",TRUE,UNIQUE(FILTER(SPLIT(F783,"" ""),LEN(SPLIT(F783,"" ""))&gt;2)))"),"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f>
        <v>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v>
      </c>
      <c r="I783" s="6"/>
      <c r="J783" s="6"/>
    </row>
    <row r="784">
      <c r="A784" s="12" t="s">
        <v>2224</v>
      </c>
      <c r="B784" s="7" t="s">
        <v>2225</v>
      </c>
      <c r="C784" s="7" t="s">
        <v>2226</v>
      </c>
      <c r="D784" s="8">
        <v>2800.0</v>
      </c>
      <c r="E784" s="9">
        <v>5.0</v>
      </c>
      <c r="F784" s="10" t="str">
        <f>IFERROR(__xludf.DUMMYFUNCTION("LOWER(REGEXREPLACE(B784&amp;"" ""&amp;C784,""[^а-яa-z0-9 ]"","" ""))"),"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развив"&amp;"ающих играх ")</f>
        <v>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развивающих играх </v>
      </c>
      <c r="G784" s="10" t="str">
        <f>IFERROR(__xludf.DUMMYFUNCTION("TEXTJOIN(""|"",TRUE,UNIQUE(FILTER(SPLIT(F784,"" ""),LEN(SPLIT(F784,"" ""))&gt;2)))"),"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f>
        <v>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v>
      </c>
      <c r="I784" s="6"/>
      <c r="J784" s="6"/>
    </row>
    <row r="785">
      <c r="A785" s="12" t="s">
        <v>2227</v>
      </c>
      <c r="B785" s="7" t="s">
        <v>2228</v>
      </c>
      <c r="C785" s="7" t="s">
        <v>2229</v>
      </c>
      <c r="D785" s="8">
        <v>2700.0</v>
      </c>
      <c r="E785" s="9">
        <v>1.0</v>
      </c>
      <c r="F785" s="10" t="str">
        <f>IFERROR(__xludf.DUMMYFUNCTION("LOWER(REGEXREPLACE(B785&amp;"" ""&amp;C785,""[^а-яa-z0-9 ]"","" ""))"),"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способст"&amp;"вует развитию наглядно образного мышления и навыков соотнесения   абор включает не менее 11 элементов ")</f>
        <v>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способствует развитию наглядно образного мышления и навыков соотнесения   абор включает не менее 11 элементов </v>
      </c>
      <c r="G785" s="10" t="str">
        <f>IFERROR(__xludf.DUMMYFUNCTION("TEXTJOIN(""|"",TRUE,UNIQUE(FILTER(SPLIT(F785,"" ""),LEN(SPLIT(F785,"" ""))&gt;2)))"),"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amp;"бразного|мышления|навыков|соотнесения|абор|включает|менее|элементов")</f>
        <v>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бразного|мышления|навыков|соотнесения|абор|включает|менее|элементов</v>
      </c>
      <c r="I785" s="6"/>
      <c r="J785" s="6"/>
    </row>
    <row r="786">
      <c r="A786" s="12" t="s">
        <v>2230</v>
      </c>
      <c r="B786" s="7" t="s">
        <v>2231</v>
      </c>
      <c r="C786" s="7" t="s">
        <v>2232</v>
      </c>
      <c r="D786" s="8">
        <v>3500.0</v>
      </c>
      <c r="E786" s="9">
        <v>5.0</v>
      </c>
      <c r="F786" s="10" t="str">
        <f>IFERROR(__xludf.DUMMYFUNCTION("LOWER(REGEXREPLACE(B786&amp;"" ""&amp;C786,""[^а-яa-z0-9 ]"","" ""))"),"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f>
        <v>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v>
      </c>
      <c r="G786" s="10" t="str">
        <f>IFERROR(__xludf.DUMMYFUNCTION("TEXTJOIN(""|"",TRUE,UNIQUE(FILTER(SPLIT(F786,"" ""),LEN(SPLIT(F786,"" ""))&gt;2)))"),"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f>
        <v>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v>
      </c>
      <c r="I786" s="6"/>
      <c r="J786" s="6"/>
    </row>
    <row r="787">
      <c r="A787" s="12" t="s">
        <v>2233</v>
      </c>
      <c r="B787" s="7" t="s">
        <v>2234</v>
      </c>
      <c r="C787" s="7" t="s">
        <v>2235</v>
      </c>
      <c r="D787" s="8">
        <v>3200.0</v>
      </c>
      <c r="E787" s="9">
        <v>7.0</v>
      </c>
      <c r="F787" s="10" t="str">
        <f>IFERROR(__xludf.DUMMYFUNCTION("LOWER(REGEXREPLACE(B787&amp;"" ""&amp;C787,""[^а-яa-z0-9 ]"","" ""))"),"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f>
        <v>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v>
      </c>
      <c r="G787" s="10" t="str">
        <f>IFERROR(__xludf.DUMMYFUNCTION("TEXTJOIN(""|"",TRUE,UNIQUE(FILTER(SPLIT(F787,"" ""),LEN(SPLIT(F787,"" ""))&gt;2)))"),"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f>
        <v>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v>
      </c>
      <c r="I787" s="6"/>
      <c r="J787" s="6"/>
    </row>
    <row r="788">
      <c r="A788" s="12" t="s">
        <v>2236</v>
      </c>
      <c r="B788" s="7" t="s">
        <v>2237</v>
      </c>
      <c r="C788" s="14" t="s">
        <v>2238</v>
      </c>
      <c r="D788" s="8">
        <v>11607.0</v>
      </c>
      <c r="E788" s="9">
        <v>20.0</v>
      </c>
      <c r="F788" s="10" t="str">
        <f>IFERROR(__xludf.DUMMYFUNCTION("LOWER(REGEXREPLACE(B788&amp;"" ""&amp;C788,""[^а-яa-z0-9 ]"","" ""))")," игрометр  игрометр 0 25 градусов")</f>
        <v> игрометр  игрометр 0 25 градусов</v>
      </c>
      <c r="G788" s="10" t="str">
        <f>IFERROR(__xludf.DUMMYFUNCTION("TEXTJOIN(""|"",TRUE,UNIQUE(FILTER(SPLIT(F788,"" ""),LEN(SPLIT(F788,"" ""))&gt;2)))"),"игрометр|игрометр|градусов")</f>
        <v>игрометр|игрометр|градусов</v>
      </c>
      <c r="I788" s="6"/>
      <c r="J788" s="6"/>
    </row>
    <row r="789">
      <c r="A789" s="12" t="s">
        <v>2239</v>
      </c>
      <c r="B789" s="7" t="s">
        <v>2240</v>
      </c>
      <c r="C789" s="7" t="s">
        <v>2241</v>
      </c>
      <c r="D789" s="8">
        <v>95000.0</v>
      </c>
      <c r="E789" s="9">
        <v>4.0</v>
      </c>
      <c r="F789" s="10" t="str">
        <f>IFERROR(__xludf.DUMMYFUNCTION("LOWER(REGEXREPLACE(B789&amp;"" ""&amp;C789,""[^а-яa-z0-9 ]"","" ""))"),"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f>
        <v>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v>
      </c>
      <c r="G789" s="10" t="str">
        <f>IFERROR(__xludf.DUMMYFUNCTION("TEXTJOIN(""|"",TRUE,UNIQUE(FILTER(SPLIT(F789,"" ""),LEN(SPLIT(F789,"" ""))&gt;2)))"),"астения|цветы|еприхотливые|уходе|безопасные|для|детей|растения|имеющие|острых|элементов|токсичных|свойств|ысота|растений|400|800|диаметр|горшка|180|250")</f>
        <v>астения|цветы|еприхотливые|уходе|безопасные|для|детей|растения|имеющие|острых|элементов|токсичных|свойств|ысота|растений|400|800|диаметр|горшка|180|250</v>
      </c>
      <c r="I789" s="6"/>
      <c r="J789" s="6"/>
    </row>
    <row r="790">
      <c r="A790" s="12" t="s">
        <v>2242</v>
      </c>
      <c r="B790" s="7" t="s">
        <v>2243</v>
      </c>
      <c r="C790" s="7" t="s">
        <v>2244</v>
      </c>
      <c r="D790" s="8">
        <v>22800.0</v>
      </c>
      <c r="E790" s="9">
        <v>5.0</v>
      </c>
      <c r="F790" s="10" t="str">
        <f>IFERROR(__xludf.DUMMYFUNCTION("LOWER(REGEXREPLACE(B790&amp;"" ""&amp;C790,""[^а-яa-z0-9 ]"","" ""))"),"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"&amp;"и ознакомлении с окружающим миром   одбираются нетоксичные  безопасные для детей виды  устойчивые к комнатным условиям ")</f>
        <v>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и ознакомлении с окружающим миром   одбираются нетоксичные  безопасные для детей виды  устойчивые к комнатным условиям </v>
      </c>
      <c r="G790" s="10" t="str">
        <f>IFERROR(__xludf.DUMMYFUNCTION("TEXTJOIN(""|"",TRUE,UNIQUE(FILTER(SPLIT(F790,"" ""),LEN(SPLIT(F790,"" ""))&gt;2)))"),"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amp;"ужающим|миром|одбираются|нетоксичные|безопасные|для|детей|виды|устойчивые|комнатным|условиям")</f>
        <v>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ужающим|миром|одбираются|нетоксичные|безопасные|для|детей|виды|устойчивые|комнатным|условиям</v>
      </c>
      <c r="I790" s="6"/>
      <c r="J790" s="6"/>
    </row>
    <row r="791">
      <c r="A791" s="12" t="s">
        <v>2245</v>
      </c>
      <c r="B791" s="7" t="s">
        <v>2246</v>
      </c>
      <c r="C791" s="7" t="s">
        <v>2247</v>
      </c>
      <c r="D791" s="8">
        <v>95000.0</v>
      </c>
      <c r="E791" s="9">
        <v>14.0</v>
      </c>
      <c r="F791" s="10" t="str">
        <f>IFERROR(__xludf.DUMMYFUNCTION("LOWER(REGEXREPLACE(B791&amp;"" ""&amp;C791,""[^а-яa-z0-9 ]"","" ""))"),"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f>
        <v>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v>
      </c>
      <c r="G791" s="10" t="str">
        <f>IFERROR(__xludf.DUMMYFUNCTION("TEXTJOIN(""|"",TRUE,UNIQUE(FILTER(SPLIT(F791,"" ""),LEN(SPLIT(F791,"" ""))&gt;2)))"),"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f>
        <v>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v>
      </c>
      <c r="I791" s="6"/>
      <c r="J791" s="6"/>
    </row>
    <row r="792">
      <c r="A792" s="12" t="s">
        <v>2248</v>
      </c>
      <c r="B792" s="7" t="s">
        <v>2249</v>
      </c>
      <c r="C792" s="7" t="s">
        <v>2250</v>
      </c>
      <c r="D792" s="8">
        <v>22800.0</v>
      </c>
      <c r="E792" s="9">
        <v>2.0</v>
      </c>
      <c r="F792" s="10" t="str">
        <f>IFERROR(__xludf.DUMMYFUNCTION("LOWER(REGEXREPLACE(B792&amp;"" ""&amp;C792,""[^а-яa-z0-9 ]"","" ""))"),"ренаж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инд"&amp;"ивидуальной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f>
        <v>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v>
      </c>
      <c r="G792" s="10" t="str">
        <f>IFERROR(__xludf.DUMMYFUNCTION("TEXTJOIN(""|"",TRUE,UNIQUE(FILTER(SPLIT(F792,"" ""),LEN(SPLIT(F792,"" ""))&gt;2)))"),"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amp;"оте|ерекидные|карточки|соединены|пружиной|что|предотвращает|потерю|ветовая|маркировка|рдых|мягких|согласных|облегчает|восприятие|материала")</f>
        <v>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оте|ерекидные|карточки|соединены|пружиной|что|предотвращает|потерю|ветовая|маркировка|рдых|мягких|согласных|облегчает|восприятие|материала</v>
      </c>
      <c r="I792" s="6"/>
      <c r="J792" s="6"/>
    </row>
    <row r="793">
      <c r="A793" s="12" t="s">
        <v>2251</v>
      </c>
      <c r="B793" s="7" t="s">
        <v>2252</v>
      </c>
      <c r="C793" s="7" t="s">
        <v>2253</v>
      </c>
      <c r="D793" s="8">
        <v>97500.0</v>
      </c>
      <c r="E793" s="9">
        <v>1.0</v>
      </c>
      <c r="F793" s="10" t="str">
        <f>IFERROR(__xludf.DUMMYFUNCTION("LOWER(REGEXREPLACE(B793&amp;"" ""&amp;C793,""[^а-яa-z0-9 ]"","" ""))")," остомер механический напольный      коном   спользуется для измерения роста детей   стойчивый  простой в эксплуатации  соответствует требованиям     ")</f>
        <v> остомер механический напольный      коном   спользуется для измерения роста детей   стойчивый  простой в эксплуатации  соответствует требованиям     </v>
      </c>
      <c r="G793" s="10" t="str">
        <f>IFERROR(__xludf.DUMMYFUNCTION("TEXTJOIN(""|"",TRUE,UNIQUE(FILTER(SPLIT(F793,"" ""),LEN(SPLIT(F793,"" ""))&gt;2)))"),"остомер|механический|напольный|коном|спользуется|для|измерения|роста|детей|стойчивый|простой|эксплуатации|соответствует|требованиям")</f>
        <v>остомер|механический|напольный|коном|спользуется|для|измерения|роста|детей|стойчивый|простой|эксплуатации|соответствует|требованиям</v>
      </c>
      <c r="I793" s="6"/>
      <c r="J793" s="6"/>
    </row>
    <row r="794">
      <c r="A794" s="12" t="s">
        <v>2254</v>
      </c>
      <c r="B794" s="7" t="s">
        <v>2255</v>
      </c>
      <c r="C794" s="7" t="s">
        <v>2256</v>
      </c>
      <c r="D794" s="8">
        <v>8000.0</v>
      </c>
      <c r="E794" s="9">
        <v>91.0</v>
      </c>
      <c r="F794" s="10" t="str">
        <f>IFERROR(__xludf.DUMMYFUNCTION("LOWER(REGEXREPLACE(B794&amp;"" ""&amp;C794,""[^а-яa-z0-9 ]"","" ""))"),"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f>
        <v>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v>
      </c>
      <c r="G794" s="10" t="str">
        <f>IFERROR(__xludf.DUMMYFUNCTION("TEXTJOIN(""|"",TRUE,UNIQUE(FILTER(SPLIT(F794,"" ""),LEN(SPLIT(F794,"" ""))&gt;2)))"),"остомер|настенный|остомер|используется|для|измерения|роста|зготовлен|виде|наклеек|размещаемых|стене|ысота|шкалы|составляет|около|135|атериал|нка")</f>
        <v>остомер|настенный|остомер|используется|для|измерения|роста|зготовлен|виде|наклеек|размещаемых|стене|ысота|шкалы|составляет|около|135|атериал|нка</v>
      </c>
      <c r="I794" s="6"/>
      <c r="J794" s="6"/>
    </row>
    <row r="795">
      <c r="A795" s="12" t="s">
        <v>2257</v>
      </c>
      <c r="B795" s="7" t="s">
        <v>2258</v>
      </c>
      <c r="C795" s="7" t="s">
        <v>2259</v>
      </c>
      <c r="D795" s="8">
        <v>200600.0</v>
      </c>
      <c r="E795" s="9">
        <v>6.0</v>
      </c>
      <c r="F795" s="10" t="str">
        <f>IFERROR(__xludf.DUMMYFUNCTION("LOWER(REGEXREPLACE(B795&amp;"" ""&amp;C795,""[^а-яa-z0-9 ]"","" ""))")," укомойник с коленным управлением ce dke50x40  ержавеющая сталь 430   араметры  500 400 310 mm")</f>
        <v> укомойник с коленным управлением ce dke50x40  ержавеющая сталь 430   араметры  500 400 310 mm</v>
      </c>
      <c r="G795" s="10" t="str">
        <f>IFERROR(__xludf.DUMMYFUNCTION("TEXTJOIN(""|"",TRUE,UNIQUE(FILTER(SPLIT(F795,"" ""),LEN(SPLIT(F795,"" ""))&gt;2)))"),"укомойник|коленным|управлением|dke50x40|ержавеющая|сталь|430|араметры|500|400|310")</f>
        <v>укомойник|коленным|управлением|dke50x40|ержавеющая|сталь|430|араметры|500|400|310</v>
      </c>
      <c r="I795" s="6"/>
      <c r="J795" s="6"/>
    </row>
    <row r="796">
      <c r="A796" s="12" t="s">
        <v>2260</v>
      </c>
      <c r="B796" s="7" t="s">
        <v>2261</v>
      </c>
      <c r="C796" s="7" t="s">
        <v>2262</v>
      </c>
      <c r="D796" s="8">
        <v>15200.0</v>
      </c>
      <c r="E796" s="9">
        <v>1.0</v>
      </c>
      <c r="F796" s="10" t="str">
        <f>IFERROR(__xludf.DUMMYFUNCTION("LOWER(REGEXREPLACE(B796&amp;"" ""&amp;C796,""[^а-яa-z0-9 ]"","" ""))"),"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f>
        <v>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v>
      </c>
      <c r="G796" s="10" t="str">
        <f>IFERROR(__xludf.DUMMYFUNCTION("TEXTJOIN(""|"",TRUE,UNIQUE(FILTER(SPLIT(F796,"" ""),LEN(SPLIT(F796,"" ""))&gt;2)))"),"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f>
        <v>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v>
      </c>
      <c r="I796" s="6"/>
      <c r="J796" s="6"/>
    </row>
    <row r="797">
      <c r="A797" s="12" t="s">
        <v>2263</v>
      </c>
      <c r="B797" s="7" t="s">
        <v>2264</v>
      </c>
      <c r="C797" s="7" t="s">
        <v>2265</v>
      </c>
      <c r="D797" s="8">
        <v>3600.0</v>
      </c>
      <c r="E797" s="9">
        <v>10.0</v>
      </c>
      <c r="F797" s="10" t="str">
        <f>IFERROR(__xludf.DUMMYFUNCTION("LOWER(REGEXREPLACE(B797&amp;"" ""&amp;C797,""[^а-яa-z0-9 ]"","" ""))"),"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f>
        <v>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v>
      </c>
      <c r="G797" s="10" t="str">
        <f>IFERROR(__xludf.DUMMYFUNCTION("TEXTJOIN(""|"",TRUE,UNIQUE(FILTER(SPLIT(F797,"" ""),LEN(SPLIT(F797,"" ""))&gt;2)))"),"алфетки|алфетки|влажные|сухие|предназначены|для|санитарно|гигиенических|нужд|ухода|поверхностями|соблюдения|чистоты|помещениях|дошкольного|учреждения")</f>
        <v>алфетки|алфетки|влажные|сухие|предназначены|для|санитарно|гигиенических|нужд|ухода|поверхностями|соблюдения|чистоты|помещениях|дошкольного|учреждения</v>
      </c>
      <c r="I797" s="6"/>
      <c r="J797" s="6"/>
    </row>
    <row r="798">
      <c r="A798" s="12" t="s">
        <v>2266</v>
      </c>
      <c r="B798" s="7" t="s">
        <v>2267</v>
      </c>
      <c r="C798" s="7" t="s">
        <v>2268</v>
      </c>
      <c r="D798" s="8">
        <v>123500.0</v>
      </c>
      <c r="E798" s="9">
        <v>5.0</v>
      </c>
      <c r="F798" s="10" t="str">
        <f>IFERROR(__xludf.DUMMYFUNCTION("LOWER(REGEXREPLACE(B798&amp;"" ""&amp;C798,""[^а-яa-z0-9 ]"","" ""))"),"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с"&amp;"оставляют не менее 205 205 50 мм   онструкция рассчитана на эксплуатацию в помещениях ")</f>
        <v>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составляют не менее 205 205 50 мм   онструкция рассчитана на эксплуатацию в помещениях </v>
      </c>
      <c r="G798" s="10" t="str">
        <f>IFERROR(__xludf.DUMMYFUNCTION("TEXTJOIN(""|"",TRUE,UNIQUE(FILTER(SPLIT(F798,"" ""),LEN(SPLIT(F798,"" ""))&gt;2)))"),"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amp;"т|менее|205|205|онструкция|рассчитана|эксплуатацию|помещениях")</f>
        <v>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т|менее|205|205|онструкция|рассчитана|эксплуатацию|помещениях</v>
      </c>
      <c r="I798" s="6"/>
      <c r="J798" s="6"/>
    </row>
    <row r="799">
      <c r="A799" s="12" t="s">
        <v>2269</v>
      </c>
      <c r="B799" s="7" t="s">
        <v>2270</v>
      </c>
      <c r="C799" s="7" t="s">
        <v>2271</v>
      </c>
      <c r="D799" s="8">
        <v>24900.0</v>
      </c>
      <c r="E799" s="9">
        <v>1.0</v>
      </c>
      <c r="F799" s="10" t="str">
        <f>IFERROR(__xludf.DUMMYFUNCTION("LOWER(REGEXREPLACE(B799&amp;"" ""&amp;C799,""[^а-яa-z0-9 ]"","" ""))")," ан сауалды  жауабы   нциклопедиясы под ред      ренсис      ьюстон  перевод  арипова    ")</f>
        <v> ан сауалды  жауабы   нциклопедиясы под ред      ренсис      ьюстон  перевод  арипова    </v>
      </c>
      <c r="G799" s="10" t="str">
        <f>IFERROR(__xludf.DUMMYFUNCTION("TEXTJOIN(""|"",TRUE,UNIQUE(FILTER(SPLIT(F799,"" ""),LEN(SPLIT(F799,"" ""))&gt;2)))"),"сауалды|жауабы|нциклопедиясы|под|ред|ренсис|ьюстон|перевод|арипова")</f>
        <v>сауалды|жауабы|нциклопедиясы|под|ред|ренсис|ьюстон|перевод|арипова</v>
      </c>
      <c r="I799" s="6"/>
      <c r="J799" s="6"/>
    </row>
    <row r="800">
      <c r="A800" s="12" t="s">
        <v>2272</v>
      </c>
      <c r="B800" s="7" t="s">
        <v>2273</v>
      </c>
      <c r="C800" s="7" t="s">
        <v>1126</v>
      </c>
      <c r="D800" s="8">
        <v>20000.0</v>
      </c>
      <c r="E800" s="9">
        <v>1.0</v>
      </c>
      <c r="F800" s="10" t="str">
        <f>IFERROR(__xludf.DUMMYFUNCTION("LOWER(REGEXREPLACE(B800&amp;"" ""&amp;C800,""[^а-яa-z0-9 ]"","" ""))")," аят   азахская традиционная охота   рус   англ    инаят   ")</f>
        <v> аят   азахская традиционная охота   рус   англ    инаят   </v>
      </c>
      <c r="G800" s="10" t="str">
        <f>IFERROR(__xludf.DUMMYFUNCTION("TEXTJOIN(""|"",TRUE,UNIQUE(FILTER(SPLIT(F800,"" ""),LEN(SPLIT(F800,"" ""))&gt;2)))"),"аят|азахская|традиционная|охота|рус|англ|инаят")</f>
        <v>аят|азахская|традиционная|охота|рус|англ|инаят</v>
      </c>
      <c r="I800" s="6"/>
      <c r="J800" s="6"/>
    </row>
    <row r="801">
      <c r="A801" s="12" t="s">
        <v>2274</v>
      </c>
      <c r="B801" s="7" t="s">
        <v>2275</v>
      </c>
      <c r="C801" s="7" t="s">
        <v>1126</v>
      </c>
      <c r="D801" s="8">
        <v>20000.0</v>
      </c>
      <c r="E801" s="9">
        <v>1.0</v>
      </c>
      <c r="F801" s="10" t="str">
        <f>IFERROR(__xludf.DUMMYFUNCTION("LOWER(REGEXREPLACE(B801&amp;"" ""&amp;C801,""[^а-яa-z0-9 ]"","" ""))")," аятшылы    аза ты  д стурл  аншылы ы  каз   англ    инаят   ")</f>
        <v> аятшылы    аза ты  д стурл  аншылы ы  каз   англ    инаят   </v>
      </c>
      <c r="G801" s="10" t="str">
        <f>IFERROR(__xludf.DUMMYFUNCTION("TEXTJOIN(""|"",TRUE,UNIQUE(FILTER(SPLIT(F801,"" ""),LEN(SPLIT(F801,"" ""))&gt;2)))"),"аятшылы|аза|стурл|аншылы|каз|англ|инаят")</f>
        <v>аятшылы|аза|стурл|аншылы|каз|англ|инаят</v>
      </c>
      <c r="I801" s="6"/>
      <c r="J801" s="6"/>
    </row>
    <row r="802">
      <c r="A802" s="12" t="s">
        <v>2276</v>
      </c>
      <c r="B802" s="7" t="s">
        <v>2277</v>
      </c>
      <c r="C802" s="7" t="s">
        <v>2278</v>
      </c>
      <c r="D802" s="8">
        <v>34700.0</v>
      </c>
      <c r="E802" s="9">
        <v>5.0</v>
      </c>
      <c r="F802" s="10" t="str">
        <f>IFERROR(__xludf.DUMMYFUNCTION("LOWER(REGEXREPLACE(B802&amp;"" ""&amp;C802,""[^а-яa-z0-9 ]"","" ""))"),"  улетш    гра    улетш   включает в себя 200 шт палочки  инструкцию")</f>
        <v>  улетш    гра    улетш   включает в себя 200 шт палочки  инструкцию</v>
      </c>
      <c r="G802" s="10" t="str">
        <f>IFERROR(__xludf.DUMMYFUNCTION("TEXTJOIN(""|"",TRUE,UNIQUE(FILTER(SPLIT(F802,"" ""),LEN(SPLIT(F802,"" ""))&gt;2)))"),"улетш|гра|улетш|включает|себя|200|палочки|инструкцию")</f>
        <v>улетш|гра|улетш|включает|себя|200|палочки|инструкцию</v>
      </c>
      <c r="I802" s="6"/>
      <c r="J802" s="6"/>
    </row>
    <row r="803">
      <c r="A803" s="12" t="s">
        <v>2279</v>
      </c>
      <c r="B803" s="7" t="s">
        <v>2280</v>
      </c>
      <c r="C803" s="7" t="s">
        <v>2281</v>
      </c>
      <c r="D803" s="8">
        <v>5200.0</v>
      </c>
      <c r="E803" s="9">
        <v>1.0</v>
      </c>
      <c r="F803" s="10" t="str">
        <f>IFERROR(__xludf.DUMMYFUNCTION("LOWER(REGEXREPLACE(B803&amp;"" ""&amp;C803,""[^а-яa-z0-9 ]"","" ""))")," борник стихов к 110 летию поэта   ажибаев      ухани жа  ыру   ажибаев   ")</f>
        <v> борник стихов к 110 летию поэта   ажибаев      ухани жа  ыру   ажибаев   </v>
      </c>
      <c r="G803" s="10" t="str">
        <f>IFERROR(__xludf.DUMMYFUNCTION("TEXTJOIN(""|"",TRUE,UNIQUE(FILTER(SPLIT(F803,"" ""),LEN(SPLIT(F803,"" ""))&gt;2)))"),"борник|стихов|110|летию|поэта|ажибаев|ухани|ыру|ажибаев")</f>
        <v>борник|стихов|110|летию|поэта|ажибаев|ухани|ыру|ажибаев</v>
      </c>
      <c r="I803" s="6"/>
      <c r="J803" s="6"/>
    </row>
    <row r="804">
      <c r="A804" s="12" t="s">
        <v>2282</v>
      </c>
      <c r="B804" s="7" t="s">
        <v>2283</v>
      </c>
      <c r="C804" s="7" t="s">
        <v>2284</v>
      </c>
      <c r="D804" s="8">
        <v>8000.0</v>
      </c>
      <c r="E804" s="9">
        <v>1.0</v>
      </c>
      <c r="F804" s="10" t="str">
        <f>IFERROR(__xludf.DUMMYFUNCTION("LOWER(REGEXREPLACE(B804&amp;"" ""&amp;C804,""[^а-яa-z0-9 ]"","" ""))")," ветлые дни  о    омышулы   хметова   ")</f>
        <v> ветлые дни  о    омышулы   хметова   </v>
      </c>
      <c r="G804" s="10" t="str">
        <f>IFERROR(__xludf.DUMMYFUNCTION("TEXTJOIN(""|"",TRUE,UNIQUE(FILTER(SPLIT(F804,"" ""),LEN(SPLIT(F804,"" ""))&gt;2)))"),"ветлые|дни|омышулы|хметова")</f>
        <v>ветлые|дни|омышулы|хметова</v>
      </c>
      <c r="I804" s="6"/>
      <c r="J804" s="6"/>
    </row>
    <row r="805">
      <c r="A805" s="12" t="s">
        <v>2285</v>
      </c>
      <c r="B805" s="7" t="s">
        <v>2286</v>
      </c>
      <c r="C805" s="7" t="s">
        <v>2287</v>
      </c>
      <c r="D805" s="8">
        <v>2900.0</v>
      </c>
      <c r="E805" s="9">
        <v>60.0</v>
      </c>
      <c r="F805" s="10" t="str">
        <f>IFERROR(__xludf.DUMMYFUNCTION("LOWER(REGEXREPLACE(B805&amp;"" ""&amp;C805,""[^а-яa-z0-9 ]"","" ""))"),"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G805" s="10" t="str">
        <f>IFERROR(__xludf.DUMMYFUNCTION("TEXTJOIN(""|"",TRUE,UNIQUE(FILTER(SPLIT(F805,"" ""),LEN(SPLIT(F805,"" ""))&gt;2)))"),"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I805" s="6"/>
      <c r="J805" s="6"/>
    </row>
    <row r="806">
      <c r="A806" s="12" t="s">
        <v>2288</v>
      </c>
      <c r="B806" s="7" t="s">
        <v>2289</v>
      </c>
      <c r="C806" s="7" t="s">
        <v>2287</v>
      </c>
      <c r="D806" s="8">
        <v>2900.0</v>
      </c>
      <c r="E806" s="9">
        <v>65.0</v>
      </c>
      <c r="F806" s="10" t="str">
        <f>IFERROR(__xludf.DUMMYFUNCTION("LOWER(REGEXREPLACE(B806&amp;"" ""&amp;C806,""[^а-яa-z0-9 ]"","" ""))"),"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G806" s="10" t="str">
        <f>IFERROR(__xludf.DUMMYFUNCTION("TEXTJOIN(""|"",TRUE,UNIQUE(FILTER(SPLIT(F806,"" ""),LEN(SPLIT(F806,"" ""))&gt;2)))"),"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I806" s="6"/>
      <c r="J806" s="6"/>
    </row>
    <row r="807">
      <c r="A807" s="12" t="s">
        <v>2290</v>
      </c>
      <c r="B807" s="7" t="s">
        <v>2291</v>
      </c>
      <c r="C807" s="7" t="s">
        <v>2292</v>
      </c>
      <c r="D807" s="8">
        <v>1600.0</v>
      </c>
      <c r="E807" s="9">
        <v>4.0</v>
      </c>
      <c r="F807" s="10" t="str">
        <f>IFERROR(__xludf.DUMMYFUNCTION("LOWER(REGEXREPLACE(B807&amp;"" ""&amp;C807,""[^а-яa-z0-9 ]"","" ""))"),"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f>
        <v>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v>
      </c>
      <c r="G807" s="10" t="str">
        <f>IFERROR(__xludf.DUMMYFUNCTION("TEXTJOIN(""|"",TRUE,UNIQUE(FILTER(SPLIT(F807,"" ""),LEN(SPLIT(F807,"" ""))&gt;2)))"),"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f>
        <v>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v>
      </c>
      <c r="I807" s="6"/>
      <c r="J807" s="6"/>
    </row>
    <row r="808">
      <c r="A808" s="12" t="s">
        <v>2293</v>
      </c>
      <c r="B808" s="7" t="s">
        <v>2294</v>
      </c>
      <c r="C808" s="7" t="s">
        <v>2295</v>
      </c>
      <c r="D808" s="8">
        <v>67200.0</v>
      </c>
      <c r="E808" s="9">
        <v>1.0</v>
      </c>
      <c r="F808" s="10" t="str">
        <f>IFERROR(__xludf.DUMMYFUNCTION("LOWER(REGEXREPLACE(B808&amp;"" ""&amp;C808,""[^а-яa-z0-9 ]"","" ""))"),"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1"&amp;"00 кг ")</f>
        <v>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100 кг </v>
      </c>
      <c r="G808" s="10" t="str">
        <f>IFERROR(__xludf.DUMMYFUNCTION("TEXTJOIN(""|"",TRUE,UNIQUE(FILTER(SPLIT(F808,"" ""),LEN(SPLIT(F808,"" ""))&gt;2)))"),"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f>
        <v>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v>
      </c>
      <c r="I808" s="6"/>
      <c r="J808" s="6"/>
    </row>
    <row r="809">
      <c r="A809" s="12" t="s">
        <v>2296</v>
      </c>
      <c r="B809" s="7" t="s">
        <v>2297</v>
      </c>
      <c r="C809" s="7" t="s">
        <v>2298</v>
      </c>
      <c r="D809" s="8">
        <v>540000.0</v>
      </c>
      <c r="E809" s="9">
        <v>1.0</v>
      </c>
      <c r="F809" s="10" t="str">
        <f>IFERROR(__xludf.DUMMYFUNCTION("LOWER(REGEXREPLACE(B809&amp;"" ""&amp;C809,""[^а-яa-z0-9 ]"","" ""))"),"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f>
        <v>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v>
      </c>
      <c r="G809" s="10" t="str">
        <f>IFERROR(__xludf.DUMMYFUNCTION("TEXTJOIN(""|"",TRUE,UNIQUE(FILTER(SPLIT(F809,"" ""),LEN(SPLIT(F809,"" ""))&gt;2)))"),"ейф|несгораемый|есгораемый|сейф|предназначен|для|хранения|важных|документов|ценностей|беспечивает|защиту|содержимого|огня|механических|воздействий")</f>
        <v>ейф|несгораемый|есгораемый|сейф|предназначен|для|хранения|важных|документов|ценностей|беспечивает|защиту|содержимого|огня|механических|воздействий</v>
      </c>
      <c r="I809" s="6"/>
      <c r="J809" s="6"/>
    </row>
    <row r="810">
      <c r="A810" s="12" t="s">
        <v>2299</v>
      </c>
      <c r="B810" s="7" t="s">
        <v>2300</v>
      </c>
      <c r="C810" s="7" t="s">
        <v>2301</v>
      </c>
      <c r="D810" s="8">
        <v>10500.0</v>
      </c>
      <c r="E810" s="9">
        <v>1.0</v>
      </c>
      <c r="F810" s="10" t="str">
        <f>IFERROR(__xludf.DUMMYFUNCTION("LOWER(REGEXREPLACE(B810&amp;"" ""&amp;C810,""[^а-яa-z0-9 ]"","" ""))"),"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f>
        <v>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v>
      </c>
      <c r="G810" s="10" t="str">
        <f>IFERROR(__xludf.DUMMYFUNCTION("TEXTJOIN(""|"",TRUE,UNIQUE(FILTER(SPLIT(F810,"" ""),LEN(SPLIT(F810,"" ""))&gt;2)))"),"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f>
        <v>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v>
      </c>
      <c r="I810" s="6"/>
      <c r="J810" s="6"/>
    </row>
    <row r="811">
      <c r="A811" s="12" t="s">
        <v>2302</v>
      </c>
      <c r="B811" s="7" t="s">
        <v>2303</v>
      </c>
      <c r="C811" s="7" t="s">
        <v>2304</v>
      </c>
      <c r="D811" s="8">
        <v>28400.0</v>
      </c>
      <c r="E811" s="9">
        <v>7.0</v>
      </c>
      <c r="F811" s="10" t="str">
        <f>IFERROR(__xludf.DUMMYFUNCTION("LOWER(REGEXREPLACE(B811&amp;"" ""&amp;C811,""[^а-яa-z0-9 ]"","" ""))"),"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сортир"&amp;"овке и выкладыванию   онструкция выполнена из дерева и рассчитана на совместную деятельность ")</f>
        <v>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сортировке и выкладыванию   онструкция выполнена из дерева и рассчитана на совместную деятельность </v>
      </c>
      <c r="G811" s="10" t="str">
        <f>IFERROR(__xludf.DUMMYFUNCTION("TEXTJOIN(""|"",TRUE,UNIQUE(FILTER(SPLIT(F811,"" ""),LEN(SPLIT(F811,"" ""))&gt;2)))"),"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amp;"ю|онструкция|выполнена|дерева|рассчитана|совместную|деятельность")</f>
        <v>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ю|онструкция|выполнена|дерева|рассчитана|совместную|деятельность</v>
      </c>
      <c r="I811" s="6"/>
      <c r="J811" s="6"/>
    </row>
    <row r="812">
      <c r="A812" s="12" t="s">
        <v>2305</v>
      </c>
      <c r="B812" s="7" t="s">
        <v>2306</v>
      </c>
      <c r="C812" s="7" t="s">
        <v>2307</v>
      </c>
      <c r="D812" s="8">
        <v>256900.0</v>
      </c>
      <c r="E812" s="9">
        <v>1.0</v>
      </c>
      <c r="F812" s="10" t="str">
        <f>IFERROR(__xludf.DUMMYFUNCTION("LOWER(REGEXREPLACE(B812&amp;"" ""&amp;C812,""[^а-яa-z0-9 ]"","" ""))"),"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f>
        <v>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v>
      </c>
      <c r="G812" s="10" t="str">
        <f>IFERROR(__xludf.DUMMYFUNCTION("TEXTJOIN(""|"",TRUE,UNIQUE(FILTER(SPLIT(F812,"" ""),LEN(SPLIT(F812,"" ""))&gt;2)))"),"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f>
        <v>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v>
      </c>
      <c r="I812" s="6"/>
      <c r="J812" s="6"/>
    </row>
    <row r="813">
      <c r="A813" s="12" t="s">
        <v>2308</v>
      </c>
      <c r="B813" s="7" t="s">
        <v>2309</v>
      </c>
      <c r="C813" s="7" t="s">
        <v>2310</v>
      </c>
      <c r="D813" s="8">
        <v>12400.0</v>
      </c>
      <c r="E813" s="9">
        <v>1.0</v>
      </c>
      <c r="F813" s="10" t="str">
        <f>IFERROR(__xludf.DUMMYFUNCTION("LOWER(REGEXREPLACE(B813&amp;"" ""&amp;C813,""[^а-яa-z0-9 ]"","" ""))"),"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f>
        <v>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v>
      </c>
      <c r="G813" s="10" t="str">
        <f>IFERROR(__xludf.DUMMYFUNCTION("TEXTJOIN(""|"",TRUE,UNIQUE(FILTER(SPLIT(F813,"" ""),LEN(SPLIT(F813,"" ""))&gt;2)))"),"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f>
        <v>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v>
      </c>
      <c r="I813" s="6"/>
      <c r="J813" s="6"/>
    </row>
    <row r="814">
      <c r="A814" s="12" t="s">
        <v>2311</v>
      </c>
      <c r="B814" s="7" t="s">
        <v>2312</v>
      </c>
      <c r="C814" s="7"/>
      <c r="D814" s="8">
        <v>16300.0</v>
      </c>
      <c r="E814" s="9">
        <v>1.0</v>
      </c>
      <c r="F814" s="10" t="str">
        <f>IFERROR(__xludf.DUMMYFUNCTION("LOWER(REGEXREPLACE(B814&amp;"" ""&amp;C814,""[^а-яa-z0-9 ]"","" ""))")," ерия   ектеп кiтапханасы      кольная библиотека  ")</f>
        <v> ерия   ектеп кiтапханасы      кольная библиотека  </v>
      </c>
      <c r="G814" s="10" t="str">
        <f>IFERROR(__xludf.DUMMYFUNCTION("TEXTJOIN(""|"",TRUE,UNIQUE(FILTER(SPLIT(F814,"" ""),LEN(SPLIT(F814,"" ""))&gt;2)))"),"ерия|ектеп|кiтапханасы|кольная|библиотека")</f>
        <v>ерия|ектеп|кiтапханасы|кольная|библиотека</v>
      </c>
      <c r="I814" s="6"/>
      <c r="J814" s="6"/>
    </row>
    <row r="815">
      <c r="A815" s="12" t="s">
        <v>2313</v>
      </c>
      <c r="B815" s="7" t="s">
        <v>2314</v>
      </c>
      <c r="C815" s="7" t="s">
        <v>2315</v>
      </c>
      <c r="D815" s="8">
        <v>8000.0</v>
      </c>
      <c r="E815" s="9">
        <v>1.0</v>
      </c>
      <c r="F815" s="10" t="str">
        <f>IFERROR(__xludf.DUMMYFUNCTION("LOWER(REGEXREPLACE(B815&amp;"" ""&amp;C815,""[^а-яa-z0-9 ]"","" ""))")," и ырлы математика   атематика  м рд   барлы  саласында  олл  ж ")</f>
        <v> и ырлы математика   атематика  м рд   барлы  саласында  олл  ж </v>
      </c>
      <c r="G815" s="10" t="str">
        <f>IFERROR(__xludf.DUMMYFUNCTION("TEXTJOIN(""|"",TRUE,UNIQUE(FILTER(SPLIT(F815,"" ""),LEN(SPLIT(F815,"" ""))&gt;2)))"),"ырлы|математика|атематика|барлы|саласында|олл")</f>
        <v>ырлы|математика|атематика|барлы|саласында|олл</v>
      </c>
      <c r="I815" s="6"/>
      <c r="J815" s="6"/>
    </row>
    <row r="816">
      <c r="A816" s="12" t="s">
        <v>2316</v>
      </c>
      <c r="B816" s="7" t="s">
        <v>2317</v>
      </c>
      <c r="C816" s="7" t="s">
        <v>2318</v>
      </c>
      <c r="D816" s="8">
        <v>4000.0</v>
      </c>
      <c r="E816" s="9">
        <v>20.0</v>
      </c>
      <c r="F816" s="10" t="str">
        <f>IFERROR(__xludf.DUMMYFUNCTION("LOWER(REGEXREPLACE(B816&amp;"" ""&amp;C816,""[^а-яa-z0-9 ]"","" ""))"),"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f>
        <v>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v>
      </c>
      <c r="G816" s="10" t="str">
        <f>IFERROR(__xludf.DUMMYFUNCTION("TEXTJOIN(""|"",TRUE,UNIQUE(FILTER(SPLIT(F816,"" ""),LEN(SPLIT(F816,"" ""))&gt;2)))"),"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f>
        <v>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v>
      </c>
      <c r="I816" s="6"/>
      <c r="J816" s="6"/>
    </row>
    <row r="817">
      <c r="A817" s="12" t="s">
        <v>2319</v>
      </c>
      <c r="B817" s="7" t="s">
        <v>2320</v>
      </c>
      <c r="C817" s="7" t="s">
        <v>2321</v>
      </c>
      <c r="D817" s="8">
        <v>3000.0</v>
      </c>
      <c r="E817" s="9">
        <v>25.0</v>
      </c>
      <c r="F817" s="10" t="str">
        <f>IFERROR(__xludf.DUMMYFUNCTION("LOWER(REGEXREPLACE(B817&amp;"" ""&amp;C817,""[^а-яa-z0-9 ]"","" ""))"),"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f>
        <v>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v>
      </c>
      <c r="G817" s="10" t="str">
        <f>IFERROR(__xludf.DUMMYFUNCTION("TEXTJOIN(""|"",TRUE,UNIQUE(FILTER(SPLIT(F817,"" ""),LEN(SPLIT(F817,"" ""))&gt;2)))"),"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f>
        <v>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v>
      </c>
      <c r="I817" s="6"/>
      <c r="J817" s="6"/>
    </row>
    <row r="818">
      <c r="A818" s="12" t="s">
        <v>2322</v>
      </c>
      <c r="B818" s="7" t="s">
        <v>2323</v>
      </c>
      <c r="C818" s="7" t="s">
        <v>2324</v>
      </c>
      <c r="D818" s="8">
        <v>4400.0</v>
      </c>
      <c r="E818" s="9">
        <v>10.0</v>
      </c>
      <c r="F818" s="10" t="str">
        <f>IFERROR(__xludf.DUMMYFUNCTION("LOWER(REGEXREPLACE(B818&amp;"" ""&amp;C818,""[^а-яa-z0-9 ]"","" ""))"),"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f>
        <v>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v>
      </c>
      <c r="G818" s="10" t="str">
        <f>IFERROR(__xludf.DUMMYFUNCTION("TEXTJOIN(""|"",TRUE,UNIQUE(FILTER(SPLIT(F818,"" ""),LEN(SPLIT(F818,"" ""))&gt;2)))"),"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f>
        <v>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v>
      </c>
      <c r="I818" s="6"/>
      <c r="J818" s="6"/>
    </row>
    <row r="819">
      <c r="A819" s="12" t="s">
        <v>2325</v>
      </c>
      <c r="B819" s="7" t="s">
        <v>2326</v>
      </c>
      <c r="C819" s="7" t="s">
        <v>2327</v>
      </c>
      <c r="D819" s="8">
        <v>13600.0</v>
      </c>
      <c r="E819" s="9">
        <v>5.0</v>
      </c>
      <c r="F819" s="10" t="str">
        <f>IFERROR(__xludf.DUMMYFUNCTION("LOWER(REGEXREPLACE(B819&amp;"" ""&amp;C819,""[^а-яa-z0-9 ]"","" ""))")," катерть на стол  катерть предназначена для защиты поверхности стола и оформления пространства   зготовлена из износостойкого материала  легко очищается ")</f>
        <v> катерть на стол  катерть предназначена для защиты поверхности стола и оформления пространства   зготовлена из износостойкого материала  легко очищается </v>
      </c>
      <c r="G819" s="10" t="str">
        <f>IFERROR(__xludf.DUMMYFUNCTION("TEXTJOIN(""|"",TRUE,UNIQUE(FILTER(SPLIT(F819,"" ""),LEN(SPLIT(F819,"" ""))&gt;2)))"),"катерть|стол|катерть|предназначена|для|защиты|поверхности|стола|оформления|пространства|зготовлена|износостойкого|материала|легко|очищается")</f>
        <v>катерть|стол|катерть|предназначена|для|защиты|поверхности|стола|оформления|пространства|зготовлена|износостойкого|материала|легко|очищается</v>
      </c>
      <c r="I819" s="6"/>
      <c r="J819" s="6"/>
    </row>
    <row r="820">
      <c r="A820" s="12" t="s">
        <v>2328</v>
      </c>
      <c r="B820" s="7" t="s">
        <v>2329</v>
      </c>
      <c r="C820" s="7" t="s">
        <v>2330</v>
      </c>
      <c r="D820" s="8">
        <v>15400.0</v>
      </c>
      <c r="E820" s="9">
        <v>2.0</v>
      </c>
      <c r="F820" s="10" t="str">
        <f>IFERROR(__xludf.DUMMYFUNCTION("LOWER(REGEXREPLACE(B820&amp;"" ""&amp;C820,""[^а-яa-z0-9 ]"","" ""))"),"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f>
        <v>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v>
      </c>
      <c r="G820" s="10" t="str">
        <f>IFERROR(__xludf.DUMMYFUNCTION("TEXTJOIN(""|"",TRUE,UNIQUE(FILTER(SPLIT(F820,"" ""),LEN(SPLIT(F820,"" ""))&gt;2)))"),"кейтборд|пенниборд|кейтборд|предназначен|для|активного|отдыха|развития|координации|движений|спользуется|под|контролем|взрослых|специально|отвед|нных|зонах")</f>
        <v>кейтборд|пенниборд|кейтборд|предназначен|для|активного|отдыха|развития|координации|движений|спользуется|под|контролем|взрослых|специально|отвед|нных|зонах</v>
      </c>
      <c r="I820" s="6"/>
      <c r="J820" s="6"/>
    </row>
    <row r="821">
      <c r="A821" s="12" t="s">
        <v>2331</v>
      </c>
      <c r="B821" s="7" t="s">
        <v>2332</v>
      </c>
      <c r="C821" s="7" t="s">
        <v>2333</v>
      </c>
      <c r="D821" s="8">
        <v>2000.0</v>
      </c>
      <c r="E821" s="9">
        <v>1.0</v>
      </c>
      <c r="F821" s="10" t="str">
        <f>IFERROR(__xludf.DUMMYFUNCTION("LOWER(REGEXREPLACE(B821&amp;"" ""&amp;C821,""[^а-яa-z0-9 ]"","" ""))")," коро в школу  лубаев   ")</f>
        <v> коро в школу  лубаев   </v>
      </c>
      <c r="G821" s="10" t="str">
        <f>IFERROR(__xludf.DUMMYFUNCTION("TEXTJOIN(""|"",TRUE,UNIQUE(FILTER(SPLIT(F821,"" ""),LEN(SPLIT(F821,"" ""))&gt;2)))"),"коро|школу|лубаев")</f>
        <v>коро|школу|лубаев</v>
      </c>
      <c r="I821" s="6"/>
      <c r="J821" s="6"/>
    </row>
    <row r="822">
      <c r="A822" s="12" t="s">
        <v>2334</v>
      </c>
      <c r="B822" s="7" t="s">
        <v>2335</v>
      </c>
      <c r="C822" s="7" t="s">
        <v>2336</v>
      </c>
      <c r="D822" s="8">
        <v>15000.0</v>
      </c>
      <c r="E822" s="9">
        <v>7.0</v>
      </c>
      <c r="F822" s="10" t="str">
        <f>IFERROR(__xludf.DUMMYFUNCTION("LOWER(REGEXREPLACE(B822&amp;"" ""&amp;C822,""[^а-яa-z0-9 ]"","" ""))"),"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f>
        <v>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v>
      </c>
      <c r="G822" s="10" t="str">
        <f>IFERROR(__xludf.DUMMYFUNCTION("TEXTJOIN(""|"",TRUE,UNIQUE(FILTER(SPLIT(F822,"" ""),LEN(SPLIT(F822,"" ""))&gt;2)))"),"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f>
        <v>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v>
      </c>
      <c r="I822" s="6"/>
      <c r="J822" s="6"/>
    </row>
    <row r="823">
      <c r="A823" s="12" t="s">
        <v>2337</v>
      </c>
      <c r="B823" s="7" t="s">
        <v>2338</v>
      </c>
      <c r="C823" s="7" t="s">
        <v>2339</v>
      </c>
      <c r="D823" s="8">
        <v>65600.0</v>
      </c>
      <c r="E823" s="9">
        <v>10.0</v>
      </c>
      <c r="F823" s="10" t="str">
        <f>IFERROR(__xludf.DUMMYFUNCTION("LOWER(REGEXREPLACE(B823&amp;"" ""&amp;C823,""[^а-яa-z0-9 ]"","" ""))"),"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моделиро"&amp;"ванию и развитию мелкой моторики ")</f>
        <v>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моделированию и развитию мелкой моторики </v>
      </c>
      <c r="G823" s="10" t="str">
        <f>IFERROR(__xludf.DUMMYFUNCTION("TEXTJOIN(""|"",TRUE,UNIQUE(FILTER(SPLIT(F823,"" ""),LEN(SPLIT(F823,"" ""))&gt;2)))"),"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f>
        <v>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v>
      </c>
      <c r="I823" s="6"/>
      <c r="J823" s="6"/>
    </row>
    <row r="824">
      <c r="A824" s="12" t="s">
        <v>2340</v>
      </c>
      <c r="B824" s="7" t="s">
        <v>2341</v>
      </c>
      <c r="C824" s="7" t="s">
        <v>2342</v>
      </c>
      <c r="D824" s="8">
        <v>200.0</v>
      </c>
      <c r="E824" s="9">
        <v>2000.0</v>
      </c>
      <c r="F824" s="10" t="str">
        <f>IFERROR(__xludf.DUMMYFUNCTION("LOWER(REGEXREPLACE(B824&amp;"" ""&amp;C824,""[^а-яa-z0-9 ]"","" ""))"),"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f>
        <v>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G824" s="10" t="str">
        <f>IFERROR(__xludf.DUMMYFUNCTION("TEXTJOIN(""|"",TRUE,UNIQUE(FILTER(SPLIT(F824,"" ""),LEN(SPLIT(F824,"" ""))&gt;2)))"),"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v>
      </c>
      <c r="I824" s="6"/>
      <c r="J824" s="6"/>
    </row>
    <row r="825">
      <c r="A825" s="12" t="s">
        <v>2343</v>
      </c>
      <c r="B825" s="7" t="s">
        <v>2344</v>
      </c>
      <c r="C825" s="7" t="s">
        <v>2342</v>
      </c>
      <c r="D825" s="8">
        <v>200.0</v>
      </c>
      <c r="E825" s="9">
        <v>2000.0</v>
      </c>
      <c r="F825" s="10" t="str">
        <f>IFERROR(__xludf.DUMMYFUNCTION("LOWER(REGEXREPLACE(B825&amp;"" ""&amp;C825,""[^а-яa-z0-9 ]"","" ""))"),"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f>
        <v>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G825" s="10" t="str">
        <f>IFERROR(__xludf.DUMMYFUNCTION("TEXTJOIN(""|"",TRUE,UNIQUE(FILTER(SPLIT(F825,"" ""),LEN(SPLIT(F825,"" ""))&gt;2)))"),"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v>
      </c>
      <c r="I825" s="6"/>
      <c r="J825" s="6"/>
    </row>
    <row r="826">
      <c r="A826" s="12" t="s">
        <v>2345</v>
      </c>
      <c r="B826" s="7" t="s">
        <v>2346</v>
      </c>
      <c r="C826" s="7" t="s">
        <v>2347</v>
      </c>
      <c r="D826" s="8">
        <v>15300.0</v>
      </c>
      <c r="E826" s="9">
        <v>50.0</v>
      </c>
      <c r="F826" s="10" t="str">
        <f>IFERROR(__xludf.DUMMYFUNCTION("LOWER(REGEXREPLACE(B826&amp;"" ""&amp;C826,""[^а-яa-z0-9 ]"","" ""))"),"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зелены"&amp;"е   6 шт    желтые   6 шт    синие   6 шт    розовые   6 шт    красные   6 шт    инструкция   1 шт ствии с инструкцией  ")</f>
        <v>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 ствии с инструкцией  </v>
      </c>
      <c r="G826" s="10" t="str">
        <f>IFERROR(__xludf.DUMMYFUNCTION("TEXTJOIN(""|"",TRUE,UNIQUE(FILTER(SPLIT(F826,"" ""),LEN(SPLIT(F826,"" ""))&gt;2)))"),"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amp;"нструкцией")</f>
        <v>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нструкцией</v>
      </c>
      <c r="I826" s="6"/>
      <c r="J826" s="6"/>
    </row>
    <row r="827">
      <c r="A827" s="12" t="s">
        <v>2348</v>
      </c>
      <c r="B827" s="7" t="s">
        <v>2349</v>
      </c>
      <c r="C827" s="7" t="s">
        <v>2350</v>
      </c>
      <c r="D827" s="8">
        <v>32800.0</v>
      </c>
      <c r="E827" s="9">
        <v>7.0</v>
      </c>
      <c r="F827" s="10" t="str">
        <f>IFERROR(__xludf.DUMMYFUNCTION("LOWER(REGEXREPLACE(B827&amp;"" ""&amp;C827,""[^а-яa-z0-9 ]"","" ""))"),"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наст"&amp;"ольного размещения ")</f>
        <v>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настольного размещения </v>
      </c>
      <c r="G827" s="10" t="str">
        <f>IFERROR(__xludf.DUMMYFUNCTION("TEXTJOIN(""|"",TRUE,UNIQUE(FILTER(SPLIT(F827,"" ""),LEN(SPLIT(F827,"" ""))&gt;2)))"),"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f>
        <v>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v>
      </c>
      <c r="I827" s="6"/>
      <c r="J827" s="6"/>
    </row>
    <row r="828">
      <c r="A828" s="12" t="s">
        <v>2351</v>
      </c>
      <c r="B828" s="7" t="s">
        <v>2352</v>
      </c>
      <c r="C828" s="7" t="s">
        <v>2353</v>
      </c>
      <c r="D828" s="8">
        <v>28500.0</v>
      </c>
      <c r="E828" s="9">
        <v>1.0</v>
      </c>
      <c r="F828" s="10" t="str">
        <f>IFERROR(__xludf.DUMMYFUNCTION("LOWER(REGEXREPLACE(B828&amp;"" ""&amp;C828,""[^а-яa-z0-9 ]"","" ""))")," ортер   номики   еревянный сортер предназначен для развития логического мышления  мелкой моторики и навыков сортировки по цвету и форме ")</f>
        <v> ортер   номики   еревянный сортер предназначен для развития логического мышления  мелкой моторики и навыков сортировки по цвету и форме </v>
      </c>
      <c r="G828" s="10" t="str">
        <f>IFERROR(__xludf.DUMMYFUNCTION("TEXTJOIN(""|"",TRUE,UNIQUE(FILTER(SPLIT(F828,"" ""),LEN(SPLIT(F828,"" ""))&gt;2)))"),"ортер|номики|еревянный|сортер|предназначен|для|развития|логического|мышления|мелкой|моторики|навыков|сортировки|цвету|форме")</f>
        <v>ортер|номики|еревянный|сортер|предназначен|для|развития|логического|мышления|мелкой|моторики|навыков|сортировки|цвету|форме</v>
      </c>
      <c r="I828" s="6"/>
      <c r="J828" s="6"/>
    </row>
    <row r="829">
      <c r="A829" s="12" t="s">
        <v>2354</v>
      </c>
      <c r="B829" s="7" t="s">
        <v>2355</v>
      </c>
      <c r="C829" s="7" t="s">
        <v>2356</v>
      </c>
      <c r="D829" s="8">
        <v>9500.0</v>
      </c>
      <c r="E829" s="9">
        <v>7.0</v>
      </c>
      <c r="F829" s="10" t="str">
        <f>IFERROR(__xludf.DUMMYFUNCTION("LOWER(REGEXREPLACE(B829&amp;"" ""&amp;C829,""[^а-яa-z0-9 ]"","" ""))")," ортер   есное дерево   азвивающая игра в форме дерева с фигурками животных и птиц   спользуется для развития логики  моторики и познавательных навыков ")</f>
        <v> ортер   есное дерево   азвивающая игра в форме дерева с фигурками животных и птиц   спользуется для развития логики  моторики и познавательных навыков </v>
      </c>
      <c r="G829" s="10" t="str">
        <f>IFERROR(__xludf.DUMMYFUNCTION("TEXTJOIN(""|"",TRUE,UNIQUE(FILTER(SPLIT(F829,"" ""),LEN(SPLIT(F829,"" ""))&gt;2)))"),"ортер|есное|дерево|азвивающая|игра|форме|дерева|фигурками|животных|птиц|спользуется|для|развития|логики|моторики|познавательных|навыков")</f>
        <v>ортер|есное|дерево|азвивающая|игра|форме|дерева|фигурками|животных|птиц|спользуется|для|развития|логики|моторики|познавательных|навыков</v>
      </c>
      <c r="I829" s="6"/>
      <c r="J829" s="6"/>
    </row>
    <row r="830">
      <c r="A830" s="12" t="s">
        <v>2357</v>
      </c>
      <c r="B830" s="7" t="s">
        <v>2358</v>
      </c>
      <c r="C830" s="7" t="s">
        <v>2359</v>
      </c>
      <c r="D830" s="8">
        <v>8600.0</v>
      </c>
      <c r="E830" s="9">
        <v>1.0</v>
      </c>
      <c r="F830" s="10" t="str">
        <f>IFERROR(__xludf.DUMMYFUNCTION("LOWER(REGEXREPLACE(B830&amp;"" ""&amp;C830,""[^а-яa-z0-9 ]"","" ""))")," ортер   ыбалка   агнитный сортер предназначен для развития координации рук  внимания и точности движений ")</f>
        <v> ортер   ыбалка   агнитный сортер предназначен для развития координации рук  внимания и точности движений </v>
      </c>
      <c r="G830" s="10" t="str">
        <f>IFERROR(__xludf.DUMMYFUNCTION("TEXTJOIN(""|"",TRUE,UNIQUE(FILTER(SPLIT(F830,"" ""),LEN(SPLIT(F830,"" ""))&gt;2)))"),"ортер|ыбалка|агнитный|сортер|предназначен|для|развития|координации|рук|внимания|точности|движений")</f>
        <v>ортер|ыбалка|агнитный|сортер|предназначен|для|развития|координации|рук|внимания|точности|движений</v>
      </c>
      <c r="I830" s="6"/>
      <c r="J830" s="6"/>
    </row>
    <row r="831">
      <c r="A831" s="12" t="s">
        <v>2360</v>
      </c>
      <c r="B831" s="7" t="s">
        <v>2361</v>
      </c>
      <c r="C831" s="7" t="s">
        <v>2362</v>
      </c>
      <c r="D831" s="8">
        <v>3400.0</v>
      </c>
      <c r="E831" s="9">
        <v>14.0</v>
      </c>
      <c r="F831" s="10" t="str">
        <f>IFERROR(__xludf.DUMMYFUNCTION("LOWER(REGEXREPLACE(B831&amp;"" ""&amp;C831,""[^а-яa-z0-9 ]"","" ""))"),"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f>
        <v>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v>
      </c>
      <c r="G831" s="10" t="str">
        <f>IFERROR(__xludf.DUMMYFUNCTION("TEXTJOIN(""|"",TRUE,UNIQUE(FILTER(SPLIT(F831,"" ""),LEN(SPLIT(F831,"" ""))&gt;2)))"),"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f>
        <v>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v>
      </c>
      <c r="I831" s="6"/>
      <c r="J831" s="6"/>
    </row>
    <row r="832">
      <c r="A832" s="12" t="s">
        <v>2363</v>
      </c>
      <c r="B832" s="7" t="s">
        <v>2364</v>
      </c>
      <c r="C832" s="7" t="s">
        <v>2365</v>
      </c>
      <c r="D832" s="8">
        <v>10500.0</v>
      </c>
      <c r="E832" s="9">
        <v>7.0</v>
      </c>
      <c r="F832" s="10" t="str">
        <f>IFERROR(__xludf.DUMMYFUNCTION("LOWER(REGEXREPLACE(B832&amp;"" ""&amp;C832,""[^а-яa-z0-9 ]"","" ""))")," ортер для шариков  еревянный сортер предназначен для развития координации движений  внимания и навыков сортировки ")</f>
        <v> ортер для шариков  еревянный сортер предназначен для развития координации движений  внимания и навыков сортировки </v>
      </c>
      <c r="G832" s="10" t="str">
        <f>IFERROR(__xludf.DUMMYFUNCTION("TEXTJOIN(""|"",TRUE,UNIQUE(FILTER(SPLIT(F832,"" ""),LEN(SPLIT(F832,"" ""))&gt;2)))"),"ортер|для|шариков|еревянный|сортер|предназначен|для|развития|координации|движений|внимания|навыков|сортировки")</f>
        <v>ортер|для|шариков|еревянный|сортер|предназначен|для|развития|координации|движений|внимания|навыков|сортировки</v>
      </c>
      <c r="I832" s="6"/>
      <c r="J832" s="6"/>
    </row>
    <row r="833">
      <c r="A833" s="12" t="s">
        <v>2366</v>
      </c>
      <c r="B833" s="7" t="s">
        <v>2367</v>
      </c>
      <c r="C833" s="7" t="s">
        <v>2368</v>
      </c>
      <c r="D833" s="8">
        <v>7600.0</v>
      </c>
      <c r="E833" s="9">
        <v>1.0</v>
      </c>
      <c r="F833" s="10" t="str">
        <f>IFERROR(__xludf.DUMMYFUNCTION("LOWER(REGEXREPLACE(B833&amp;"" ""&amp;C833,""[^а-яa-z0-9 ]"","" ""))")," ортер разноцветные фигурки  ортер предназначен для обучения сортировке по цвету и форме   азвивает внимание и мелкую моторику ")</f>
        <v> ортер разноцветные фигурки  ортер предназначен для обучения сортировке по цвету и форме   азвивает внимание и мелкую моторику </v>
      </c>
      <c r="G833" s="10" t="str">
        <f>IFERROR(__xludf.DUMMYFUNCTION("TEXTJOIN(""|"",TRUE,UNIQUE(FILTER(SPLIT(F833,"" ""),LEN(SPLIT(F833,"" ""))&gt;2)))"),"ортер|разноцветные|фигурки|ортер|предназначен|для|обучения|сортировке|цвету|форме|азвивает|внимание|мелкую|моторику")</f>
        <v>ортер|разноцветные|фигурки|ортер|предназначен|для|обучения|сортировке|цвету|форме|азвивает|внимание|мелкую|моторику</v>
      </c>
      <c r="I833" s="6"/>
      <c r="J833" s="6"/>
    </row>
    <row r="834">
      <c r="A834" s="12" t="s">
        <v>2369</v>
      </c>
      <c r="B834" s="7" t="s">
        <v>2370</v>
      </c>
      <c r="C834" s="7" t="s">
        <v>2371</v>
      </c>
      <c r="D834" s="8">
        <v>8600.0</v>
      </c>
      <c r="E834" s="9">
        <v>1.0</v>
      </c>
      <c r="F834" s="10" t="str">
        <f>IFERROR(__xludf.DUMMYFUNCTION("LOWER(REGEXREPLACE(B834&amp;"" ""&amp;C834,""[^а-яa-z0-9 ]"","" ""))")," ортер фигур  еревянный сортер с платформой и геометрическими фигурками   спользуется для развития логического мышления и моторики ")</f>
        <v> ортер фигур  еревянный сортер с платформой и геометрическими фигурками   спользуется для развития логического мышления и моторики </v>
      </c>
      <c r="G834" s="10" t="str">
        <f>IFERROR(__xludf.DUMMYFUNCTION("TEXTJOIN(""|"",TRUE,UNIQUE(FILTER(SPLIT(F834,"" ""),LEN(SPLIT(F834,"" ""))&gt;2)))"),"ортер|фигур|еревянный|сортер|платформой|геометрическими|фигурками|спользуется|для|развития|логического|мышления|моторики")</f>
        <v>ортер|фигур|еревянный|сортер|платформой|геометрическими|фигурками|спользуется|для|развития|логического|мышления|моторики</v>
      </c>
      <c r="I834" s="6"/>
      <c r="J834" s="6"/>
    </row>
    <row r="835">
      <c r="A835" s="12" t="s">
        <v>2372</v>
      </c>
      <c r="B835" s="7" t="s">
        <v>2373</v>
      </c>
      <c r="C835" s="7" t="s">
        <v>2374</v>
      </c>
      <c r="D835" s="8">
        <v>11400.0</v>
      </c>
      <c r="E835" s="9">
        <v>1.0</v>
      </c>
      <c r="F835" s="10" t="str">
        <f>IFERROR(__xludf.DUMMYFUNCTION("LOWER(REGEXREPLACE(B835&amp;"" ""&amp;C835,""[^а-яa-z0-9 ]"","" ""))")," ортировочный набор  абор предназначен для обучения сортировке и захвату предметов   ключает деревянные стаканчики  шары  ложку и пинцет ")</f>
        <v> ортировочный набор  абор предназначен для обучения сортировке и захвату предметов   ключает деревянные стаканчики  шары  ложку и пинцет </v>
      </c>
      <c r="G835" s="10" t="str">
        <f>IFERROR(__xludf.DUMMYFUNCTION("TEXTJOIN(""|"",TRUE,UNIQUE(FILTER(SPLIT(F835,"" ""),LEN(SPLIT(F835,"" ""))&gt;2)))"),"ортировочный|набор|абор|предназначен|для|обучения|сортировке|захвату|предметов|ключает|деревянные|стаканчики|шары|ложку|пинцет")</f>
        <v>ортировочный|набор|абор|предназначен|для|обучения|сортировке|захвату|предметов|ключает|деревянные|стаканчики|шары|ложку|пинцет</v>
      </c>
      <c r="I835" s="6"/>
      <c r="J835" s="6"/>
    </row>
    <row r="836">
      <c r="A836" s="12" t="s">
        <v>2375</v>
      </c>
      <c r="B836" s="7" t="s">
        <v>2376</v>
      </c>
      <c r="C836" s="7" t="s">
        <v>2377</v>
      </c>
      <c r="D836" s="8">
        <v>27400.0</v>
      </c>
      <c r="E836" s="9">
        <v>5.0</v>
      </c>
      <c r="F836" s="10" t="str">
        <f>IFERROR(__xludf.DUMMYFUNCTION("LOWER(REGEXREPLACE(B836&amp;"" ""&amp;C836,""[^а-яa-z0-9 ]"","" ""))"),"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f>
        <v>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v>
      </c>
      <c r="G836" s="10" t="str">
        <f>IFERROR(__xludf.DUMMYFUNCTION("TEXTJOIN(""|"",TRUE,UNIQUE(FILTER(SPLIT(F836,"" ""),LEN(SPLIT(F836,"" ""))&gt;2)))"),"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f>
        <v>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v>
      </c>
      <c r="I836" s="6"/>
      <c r="J836" s="6"/>
    </row>
    <row r="837">
      <c r="A837" s="12" t="s">
        <v>2378</v>
      </c>
      <c r="B837" s="7" t="s">
        <v>2379</v>
      </c>
      <c r="C837" s="7" t="s">
        <v>2380</v>
      </c>
      <c r="D837" s="8">
        <v>1200.0</v>
      </c>
      <c r="E837" s="9">
        <v>10.0</v>
      </c>
      <c r="F837" s="10" t="str">
        <f>IFERROR(__xludf.DUMMYFUNCTION("LOWER(REGEXREPLACE(B837&amp;"" ""&amp;C837,""[^а-яa-z0-9 ]"","" ""))"),"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f>
        <v>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v>
      </c>
      <c r="G837" s="10" t="str">
        <f>IFERROR(__xludf.DUMMYFUNCTION("TEXTJOIN(""|"",TRUE,UNIQUE(FILTER(SPLIT(F837,"" ""),LEN(SPLIT(F837,"" ""))&gt;2)))"),"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f>
        <v>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v>
      </c>
      <c r="I837" s="6"/>
      <c r="J837" s="6"/>
    </row>
    <row r="838">
      <c r="A838" s="12" t="s">
        <v>2381</v>
      </c>
      <c r="B838" s="7" t="s">
        <v>2382</v>
      </c>
      <c r="C838" s="7" t="s">
        <v>2383</v>
      </c>
      <c r="D838" s="8">
        <v>24700.0</v>
      </c>
      <c r="E838" s="9">
        <v>7.0</v>
      </c>
      <c r="F838" s="10" t="str">
        <f>IFERROR(__xludf.DUMMYFUNCTION("LOWER(REGEXREPLACE(B838&amp;"" ""&amp;C838,""[^а-яa-z0-9 ]"","" ""))"),"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"&amp;"выполнены из дерева ")</f>
        <v>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выполнены из дерева </v>
      </c>
      <c r="G838" s="10" t="str">
        <f>IFERROR(__xludf.DUMMYFUNCTION("TEXTJOIN(""|"",TRUE,UNIQUE(FILTER(SPLIT(F838,"" ""),LEN(SPLIT(F838,"" ""))&gt;2)))"),"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f>
        <v>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v>
      </c>
      <c r="I838" s="6"/>
      <c r="J838" s="6"/>
    </row>
    <row r="839">
      <c r="A839" s="12" t="s">
        <v>2384</v>
      </c>
      <c r="B839" s="7" t="s">
        <v>2385</v>
      </c>
      <c r="C839" s="7" t="s">
        <v>2386</v>
      </c>
      <c r="D839" s="8">
        <v>133000.0</v>
      </c>
      <c r="E839" s="9">
        <v>10.0</v>
      </c>
      <c r="F839" s="10" t="str">
        <f>IFERROR(__xludf.DUMMYFUNCTION("LOWER(REGEXREPLACE(B839&amp;"" ""&amp;C839,""[^а-яa-z0-9 ]"","" ""))"),"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f>
        <v>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v>
      </c>
      <c r="G839" s="10" t="str">
        <f>IFERROR(__xludf.DUMMYFUNCTION("TEXTJOIN(""|"",TRUE,UNIQUE(FILTER(SPLIT(F839,"" ""),LEN(SPLIT(F839,"" ""))&gt;2)))"),"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f>
        <v>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v>
      </c>
      <c r="I839" s="6"/>
      <c r="J839" s="6"/>
    </row>
    <row r="840">
      <c r="A840" s="12" t="s">
        <v>2387</v>
      </c>
      <c r="B840" s="7" t="s">
        <v>2388</v>
      </c>
      <c r="C840" s="7" t="s">
        <v>2389</v>
      </c>
      <c r="D840" s="8">
        <v>9000.0</v>
      </c>
      <c r="E840" s="9">
        <v>4.0</v>
      </c>
      <c r="F840" s="10" t="str">
        <f>IFERROR(__xludf.DUMMYFUNCTION("LOWER(REGEXREPLACE(B840&amp;"" ""&amp;C840,""[^а-яa-z0-9 ]"","" ""))"),"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G840" s="10" t="str">
        <f>IFERROR(__xludf.DUMMYFUNCTION("TEXTJOIN(""|"",TRUE,UNIQUE(FILTER(SPLIT(F840,"" ""),LEN(SPLIT(F840,"" ""))&gt;2)))"),"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v>
      </c>
      <c r="I840" s="6"/>
      <c r="J840" s="6"/>
    </row>
    <row r="841">
      <c r="A841" s="12" t="s">
        <v>2390</v>
      </c>
      <c r="B841" s="7" t="s">
        <v>2391</v>
      </c>
      <c r="C841" s="7" t="s">
        <v>2389</v>
      </c>
      <c r="D841" s="8">
        <v>17600.0</v>
      </c>
      <c r="E841" s="9">
        <v>48.0</v>
      </c>
      <c r="F841" s="10" t="str">
        <f>IFERROR(__xludf.DUMMYFUNCTION("LOWER(REGEXREPLACE(B841&amp;"" ""&amp;C841,""[^а-яa-z0-9 ]"","" ""))"),"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G841" s="10" t="str">
        <f>IFERROR(__xludf.DUMMYFUNCTION("TEXTJOIN(""|"",TRUE,UNIQUE(FILTER(SPLIT(F841,"" ""),LEN(SPLIT(F841,"" ""))&gt;2)))"),"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v>
      </c>
      <c r="I841" s="6"/>
      <c r="J841" s="6"/>
    </row>
    <row r="842">
      <c r="A842" s="12" t="s">
        <v>2392</v>
      </c>
      <c r="B842" s="7" t="s">
        <v>2393</v>
      </c>
      <c r="C842" s="7" t="s">
        <v>2394</v>
      </c>
      <c r="D842" s="8">
        <v>34800.0</v>
      </c>
      <c r="E842" s="9">
        <v>2.0</v>
      </c>
      <c r="F842" s="10" t="str">
        <f>IFERROR(__xludf.DUMMYFUNCTION("LOWER(REGEXREPLACE(B842&amp;"" ""&amp;C842,""[^а-яa-z0-9 ]"","" ""))"),"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f>
        <v>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v>
      </c>
      <c r="G842" s="10" t="str">
        <f>IFERROR(__xludf.DUMMYFUNCTION("TEXTJOIN(""|"",TRUE,UNIQUE(FILTER(SPLIT(F842,"" ""),LEN(SPLIT(F842,"" ""))&gt;2)))"),"теп|платформа|детская|етская|степ|платформа|размером|спользуется|для|физических|упражнений|развития|координации|выносливости|двигательной|активности")</f>
        <v>теп|платформа|детская|етская|степ|платформа|размером|спользуется|для|физических|упражнений|развития|координации|выносливости|двигательной|активности</v>
      </c>
      <c r="I842" s="6"/>
      <c r="J842" s="6"/>
    </row>
    <row r="843">
      <c r="A843" s="12" t="s">
        <v>2395</v>
      </c>
      <c r="B843" s="7" t="s">
        <v>2396</v>
      </c>
      <c r="C843" s="7" t="s">
        <v>2397</v>
      </c>
      <c r="D843" s="8">
        <v>10500.0</v>
      </c>
      <c r="E843" s="9">
        <v>2.0</v>
      </c>
      <c r="F843" s="10" t="str">
        <f>IFERROR(__xludf.DUMMYFUNCTION("LOWER(REGEXREPLACE(B843&amp;"" ""&amp;C843,""[^а-яa-z0-9 ]"","" ""))")," тетоскоп  едицинский инструмент для прослушивания дыхания и сердечных тонов ")</f>
        <v> тетоскоп  едицинский инструмент для прослушивания дыхания и сердечных тонов </v>
      </c>
      <c r="G843" s="10" t="str">
        <f>IFERROR(__xludf.DUMMYFUNCTION("TEXTJOIN(""|"",TRUE,UNIQUE(FILTER(SPLIT(F843,"" ""),LEN(SPLIT(F843,"" ""))&gt;2)))"),"тетоскоп|едицинский|инструмент|для|прослушивания|дыхания|сердечных|тонов")</f>
        <v>тетоскоп|едицинский|инструмент|для|прослушивания|дыхания|сердечных|тонов</v>
      </c>
      <c r="I843" s="6"/>
      <c r="J843" s="6"/>
    </row>
    <row r="844">
      <c r="A844" s="12" t="s">
        <v>2398</v>
      </c>
      <c r="B844" s="7" t="s">
        <v>2399</v>
      </c>
      <c r="C844" s="7" t="s">
        <v>2400</v>
      </c>
      <c r="D844" s="8">
        <v>35800.0</v>
      </c>
      <c r="E844" s="9">
        <v>5.0</v>
      </c>
      <c r="F844" s="10" t="str">
        <f>IFERROR(__xludf.DUMMYFUNCTION("LOWER(REGEXREPLACE(B844&amp;"" ""&amp;C844,""[^а-яa-z0-9 ]"","" ""))"),"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"&amp;"игр ")</f>
        <v>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игр </v>
      </c>
      <c r="G844" s="10" t="str">
        <f>IFERROR(__xludf.DUMMYFUNCTION("TEXTJOIN(""|"",TRUE,UNIQUE(FILTER(SPLIT(F844,"" ""),LEN(SPLIT(F844,"" ""))&gt;2)))"),"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f>
        <v>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v>
      </c>
      <c r="I844" s="6"/>
      <c r="J844" s="6"/>
    </row>
    <row r="845">
      <c r="A845" s="12" t="s">
        <v>2401</v>
      </c>
      <c r="B845" s="7" t="s">
        <v>2402</v>
      </c>
      <c r="C845" s="7" t="s">
        <v>2403</v>
      </c>
      <c r="D845" s="8">
        <v>11500.0</v>
      </c>
      <c r="E845" s="9">
        <v>5.0</v>
      </c>
      <c r="F845" s="10" t="str">
        <f>IFERROR(__xludf.DUMMYFUNCTION("LOWER(REGEXREPLACE(B845&amp;"" ""&amp;C845,""[^а-яa-z0-9 ]"","" ""))"),"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f>
        <v>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v>
      </c>
      <c r="G845" s="10" t="str">
        <f>IFERROR(__xludf.DUMMYFUNCTION("TEXTJOIN(""|"",TRUE,UNIQUE(FILTER(SPLIT(F845,"" ""),LEN(SPLIT(F845,"" ""))&gt;2)))"),"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f>
        <v>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v>
      </c>
      <c r="I845" s="6"/>
      <c r="J845" s="6"/>
    </row>
    <row r="846">
      <c r="A846" s="12" t="s">
        <v>2404</v>
      </c>
      <c r="B846" s="7" t="s">
        <v>2405</v>
      </c>
      <c r="C846" s="7" t="s">
        <v>2406</v>
      </c>
      <c r="D846" s="8">
        <v>6300.0</v>
      </c>
      <c r="E846" s="9">
        <v>5.0</v>
      </c>
      <c r="F846" s="10" t="str">
        <f>IFERROR(__xludf.DUMMYFUNCTION("LOWER(REGEXREPLACE(B846&amp;"" ""&amp;C846,""[^а-яa-z0-9 ]"","" ""))"),"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раз"&amp;"витие пространственного мышления и координации движений    комплект входит не менее 49 элементов различной формы и цвета   атериал изготовления   пластик ")</f>
        <v>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развитие пространственного мышления и координации движений    комплект входит не менее 49 элементов различной формы и цвета   атериал изготовления   пластик </v>
      </c>
      <c r="G846" s="10" t="str">
        <f>IFERROR(__xludf.DUMMYFUNCTION("TEXTJOIN(""|"",TRUE,UNIQUE(FILTER(SPLIT(F846,"" ""),LEN(SPLIT(F846,"" ""))&gt;2)))"),"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amp;"го|мышления|координации|движений|комплект|входит|менее|элементов|различной|формы|цвета|атериал|изготовления|пластик")</f>
        <v>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го|мышления|координации|движений|комплект|входит|менее|элементов|различной|формы|цвета|атериал|изготовления|пластик</v>
      </c>
      <c r="I846" s="6"/>
      <c r="J846" s="6"/>
    </row>
    <row r="847">
      <c r="A847" s="12" t="s">
        <v>2407</v>
      </c>
      <c r="B847" s="7" t="s">
        <v>2408</v>
      </c>
      <c r="C847" s="7" t="s">
        <v>2409</v>
      </c>
      <c r="D847" s="8">
        <v>7500.0</v>
      </c>
      <c r="E847" s="9">
        <v>5.0</v>
      </c>
      <c r="F847" s="10" t="str">
        <f>IFERROR(__xludf.DUMMYFUNCTION("LOWER(REGEXREPLACE(B847&amp;"" ""&amp;C847,""[^а-яa-z0-9 ]"","" ""))"),"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f>
        <v>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v>
      </c>
      <c r="G847" s="10" t="str">
        <f>IFERROR(__xludf.DUMMYFUNCTION("TEXTJOIN(""|"",TRUE,UNIQUE(FILTER(SPLIT(F847,"" ""),LEN(SPLIT(F847,"" ""))&gt;2)))"),"умка|для|девочек|етская|сумка|предназначена|для|сюжетно|ролевых|игр|повседневного|использования|детском|саду|атериал|экокожа|вет|розовый|серебристый|азмер")</f>
        <v>умка|для|девочек|етская|сумка|предназначена|для|сюжетно|ролевых|игр|повседневного|использования|детском|саду|атериал|экокожа|вет|розовый|серебристый|азмер</v>
      </c>
      <c r="I847" s="6"/>
      <c r="J847" s="6"/>
    </row>
    <row r="848">
      <c r="A848" s="12" t="s">
        <v>2410</v>
      </c>
      <c r="B848" s="7" t="s">
        <v>2411</v>
      </c>
      <c r="C848" s="7" t="s">
        <v>2412</v>
      </c>
      <c r="D848" s="8">
        <v>49400.0</v>
      </c>
      <c r="E848" s="9">
        <v>70.0</v>
      </c>
      <c r="F848" s="10" t="str">
        <f>IFERROR(__xludf.DUMMYFUNCTION("LOWER(REGEXREPLACE(B848&amp;"" ""&amp;C848,""[^а-яa-z0-9 ]"","" ""))"),"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f>
        <v>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v>
      </c>
      <c r="G848" s="10" t="str">
        <f>IFERROR(__xludf.DUMMYFUNCTION("TEXTJOIN(""|"",TRUE,UNIQUE(FILTER(SPLIT(F848,"" ""),LEN(SPLIT(F848,"" ""))&gt;2)))"),"умка|ручками|етская|сумка|ручками|предназначена|для|использования|детском|саду|переноска|личных|вещей|сменной|одежды|пособий|атериал|азмер")</f>
        <v>умка|ручками|етская|сумка|ручками|предназначена|для|использования|детском|саду|переноска|личных|вещей|сменной|одежды|пособий|атериал|азмер</v>
      </c>
      <c r="I848" s="6"/>
      <c r="J848" s="6"/>
    </row>
    <row r="849">
      <c r="A849" s="12" t="s">
        <v>2413</v>
      </c>
      <c r="B849" s="7" t="s">
        <v>2414</v>
      </c>
      <c r="C849" s="7" t="s">
        <v>2415</v>
      </c>
      <c r="D849" s="8">
        <v>29700.0</v>
      </c>
      <c r="E849" s="9">
        <v>6.0</v>
      </c>
      <c r="F849" s="10" t="str">
        <f>IFERROR(__xludf.DUMMYFUNCTION("LOWER(REGEXREPLACE(B849&amp;"" ""&amp;C849,""[^а-яa-z0-9 ]"","" ""))"),"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абота"&amp;" с кругом способствует развитию координации движений и творческого мышления   онструкция рассчитана на безопасное использование ")</f>
        <v>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 с кругом способствует развитию координации движений и творческого мышления   онструкция рассчитана на безопасное использование </v>
      </c>
      <c r="G849" s="10" t="str">
        <f>IFERROR(__xludf.DUMMYFUNCTION("TEXTJOIN(""|"",TRUE,UNIQUE(FILTER(SPLIT(F849,"" ""),LEN(SPLIT(F849,"" ""))&gt;2)))"),"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amp;"ует|развитию|координации|движений|творческого|мышления|онструкция|рассчитана|безопасное|использование")</f>
        <v>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ует|развитию|координации|движений|творческого|мышления|онструкция|рассчитана|безопасное|использование</v>
      </c>
      <c r="I849" s="6"/>
      <c r="J849" s="6"/>
    </row>
    <row r="850">
      <c r="A850" s="12" t="s">
        <v>2416</v>
      </c>
      <c r="B850" s="7" t="s">
        <v>2417</v>
      </c>
      <c r="C850" s="7" t="s">
        <v>2418</v>
      </c>
      <c r="D850" s="8">
        <v>17100.0</v>
      </c>
      <c r="E850" s="9">
        <v>14.0</v>
      </c>
      <c r="F850" s="10" t="str">
        <f>IFERROR(__xludf.DUMMYFUNCTION("LOWER(REGEXREPLACE(B850&amp;"" ""&amp;C850,""[^а-яa-z0-9 ]"","" ""))"),"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f>
        <v>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v>
      </c>
      <c r="G850" s="10" t="str">
        <f>IFERROR(__xludf.DUMMYFUNCTION("TEXTJOIN(""|"",TRUE,UNIQUE(FILTER(SPLIT(F850,"" ""),LEN(SPLIT(F850,"" ""))&gt;2)))"),"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f>
        <v>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v>
      </c>
      <c r="I850" s="6"/>
      <c r="J850" s="6"/>
    </row>
    <row r="851">
      <c r="A851" s="12" t="s">
        <v>2419</v>
      </c>
      <c r="B851" s="7" t="s">
        <v>2420</v>
      </c>
      <c r="C851" s="7" t="s">
        <v>2421</v>
      </c>
      <c r="D851" s="8">
        <v>66500.0</v>
      </c>
      <c r="E851" s="9">
        <v>1.0</v>
      </c>
      <c r="F851" s="10" t="str">
        <f>IFERROR(__xludf.DUMMYFUNCTION("LOWER(REGEXREPLACE(B851&amp;"" ""&amp;C851,""[^а-яa-z0-9 ]"","" ""))")," ундук  санды    екоративный сундук для хранения книг  настольных игр и текстильных элементов   спользуется также как интерьерный элемент   атериал   дерево или      ")</f>
        <v> ундук  санды    екоративный сундук для хранения книг  настольных игр и текстильных элементов   спользуется также как интерьерный элемент   атериал   дерево или      </v>
      </c>
      <c r="G851" s="10" t="str">
        <f>IFERROR(__xludf.DUMMYFUNCTION("TEXTJOIN(""|"",TRUE,UNIQUE(FILTER(SPLIT(F851,"" ""),LEN(SPLIT(F851,"" ""))&gt;2)))"),"ундук|санды|екоративный|сундук|для|хранения|книг|настольных|игр|текстильных|элементов|спользуется|также|как|интерьерный|элемент|атериал|дерево|или")</f>
        <v>ундук|санды|екоративный|сундук|для|хранения|книг|настольных|игр|текстильных|элементов|спользуется|также|как|интерьерный|элемент|атериал|дерево|или</v>
      </c>
      <c r="I851" s="6"/>
      <c r="J851" s="6"/>
    </row>
    <row r="852">
      <c r="A852" s="12" t="s">
        <v>2422</v>
      </c>
      <c r="B852" s="7" t="s">
        <v>2423</v>
      </c>
      <c r="C852" s="7" t="s">
        <v>2424</v>
      </c>
      <c r="D852" s="8">
        <v>2118500.0</v>
      </c>
      <c r="E852" s="9">
        <v>1.0</v>
      </c>
      <c r="F852" s="10" t="str">
        <f>IFERROR(__xludf.DUMMYFUNCTION("LOWER(REGEXREPLACE(B852&amp;"" ""&amp;C852,""[^а-яa-z0-9 ]"","" ""))"),"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вст"&amp;"роенный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f>
        <v>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v>
      </c>
      <c r="G852" s="10" t="str">
        <f>IFERROR(__xludf.DUMMYFUNCTION("TEXTJOIN(""|"",TRUE,UNIQUE(FILTER(SPLIT(F852,"" ""),LEN(SPLIT(F852,"" ""))&gt;2)))"),"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amp;"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f>
        <v>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v>
      </c>
      <c r="I852" s="6"/>
      <c r="J852" s="6"/>
    </row>
    <row r="853">
      <c r="A853" s="12" t="s">
        <v>2425</v>
      </c>
      <c r="B853" s="7" t="s">
        <v>2426</v>
      </c>
      <c r="C853" s="7" t="s">
        <v>2427</v>
      </c>
      <c r="D853" s="8">
        <v>564300.0</v>
      </c>
      <c r="E853" s="9">
        <v>1.0</v>
      </c>
      <c r="F853" s="10" t="str">
        <f>IFERROR(__xludf.DUMMYFUNCTION("LOWER(REGEXREPLACE(B853&amp;"" ""&amp;C853,""[^а-яa-z0-9 ]"","" ""))"),"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f>
        <v>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v>
      </c>
      <c r="G853" s="10" t="str">
        <f>IFERROR(__xludf.DUMMYFUNCTION("TEXTJOIN(""|"",TRUE,UNIQUE(FILTER(SPLIT(F853,"" ""),LEN(SPLIT(F853,"" ""))&gt;2)))"),"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f>
        <v>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v>
      </c>
      <c r="I853" s="6"/>
      <c r="J853" s="6"/>
    </row>
    <row r="854">
      <c r="A854" s="12" t="s">
        <v>2428</v>
      </c>
      <c r="B854" s="7" t="s">
        <v>2429</v>
      </c>
      <c r="C854" s="7" t="s">
        <v>2430</v>
      </c>
      <c r="D854" s="8">
        <v>279300.0</v>
      </c>
      <c r="E854" s="9">
        <v>1.0</v>
      </c>
      <c r="F854" s="10" t="str">
        <f>IFERROR(__xludf.DUMMYFUNCTION("LOWER(REGEXREPLACE(B854&amp;"" ""&amp;C854,""[^а-яa-z0-9 ]"","" ""))"),"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f>
        <v>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v>
      </c>
      <c r="G854" s="10" t="str">
        <f>IFERROR(__xludf.DUMMYFUNCTION("TEXTJOIN(""|"",TRUE,UNIQUE(FILTER(SPLIT(F854,"" ""),LEN(SPLIT(F854,"" ""))&gt;2)))"),"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f>
        <v>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v>
      </c>
      <c r="I854" s="6"/>
      <c r="J854" s="6"/>
    </row>
    <row r="855">
      <c r="A855" s="12" t="s">
        <v>2431</v>
      </c>
      <c r="B855" s="7" t="s">
        <v>2432</v>
      </c>
      <c r="C855" s="7" t="s">
        <v>2046</v>
      </c>
      <c r="D855" s="8">
        <v>3000.0</v>
      </c>
      <c r="E855" s="9">
        <v>1.0</v>
      </c>
      <c r="F855" s="10" t="str">
        <f>IFERROR(__xludf.DUMMYFUNCTION("LOWER(REGEXREPLACE(B855&amp;"" ""&amp;C855,""[^а-яa-z0-9 ]"","" ""))"),"  р к жек   ртег   ояма    растар ан  ужикова   ")</f>
        <v>  р к жек   ртег   ояма    растар ан  ужикова   </v>
      </c>
      <c r="G855" s="10" t="str">
        <f>IFERROR(__xludf.DUMMYFUNCTION("TEXTJOIN(""|"",TRUE,UNIQUE(FILTER(SPLIT(F855,"" ""),LEN(SPLIT(F855,"" ""))&gt;2)))"),"жек|ртег|ояма|растар|ужикова")</f>
        <v>жек|ртег|ояма|растар|ужикова</v>
      </c>
      <c r="I855" s="6"/>
      <c r="J855" s="6"/>
    </row>
    <row r="856">
      <c r="A856" s="12" t="s">
        <v>2433</v>
      </c>
      <c r="B856" s="7" t="s">
        <v>2434</v>
      </c>
      <c r="C856" s="7" t="s">
        <v>2435</v>
      </c>
      <c r="D856" s="8">
        <v>3500.0</v>
      </c>
      <c r="E856" s="9">
        <v>75.0</v>
      </c>
      <c r="F856" s="10" t="str">
        <f>IFERROR(__xludf.DUMMYFUNCTION("LOWER(REGEXREPLACE(B856&amp;"" ""&amp;C856,""[^а-яa-z0-9 ]"","" ""))"),"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f>
        <v>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v>
      </c>
      <c r="G856" s="10" t="str">
        <f>IFERROR(__xludf.DUMMYFUNCTION("TEXTJOIN(""|"",TRUE,UNIQUE(FILTER(SPLIT(F856,"" ""),LEN(SPLIT(F856,"" ""))&gt;2)))"),"тные|палочки|тные|палочки|количестве|спользуются|для|обучения|развитию|математических|представлений|логического|мышления|атериал|безопасный|пластик")</f>
        <v>тные|палочки|тные|палочки|количестве|спользуются|для|обучения|развитию|математических|представлений|логического|мышления|атериал|безопасный|пластик</v>
      </c>
      <c r="I856" s="6"/>
      <c r="J856" s="6"/>
    </row>
    <row r="857">
      <c r="A857" s="12" t="s">
        <v>2436</v>
      </c>
      <c r="B857" s="7" t="s">
        <v>2437</v>
      </c>
      <c r="C857" s="7" t="s">
        <v>2438</v>
      </c>
      <c r="D857" s="8">
        <v>2600.0</v>
      </c>
      <c r="E857" s="9">
        <v>175.0</v>
      </c>
      <c r="F857" s="10" t="str">
        <f>IFERROR(__xludf.DUMMYFUNCTION("LOWER(REGEXREPLACE(B857&amp;"" ""&amp;C857,""[^а-яa-z0-9 ]"","" ""))")," ч тный материал  асса цифр и сч тных материалов предназначена для обучения детей основам сч та   атериал   пластик  элементы безопасны для использования в     ")</f>
        <v> ч тный материал  асса цифр и сч тных материалов предназначена для обучения детей основам сч та   атериал   пластик  элементы безопасны для использования в     </v>
      </c>
      <c r="G857" s="10" t="str">
        <f>IFERROR(__xludf.DUMMYFUNCTION("TEXTJOIN(""|"",TRUE,UNIQUE(FILTER(SPLIT(F857,"" ""),LEN(SPLIT(F857,"" ""))&gt;2)))"),"тный|материал|асса|цифр|тных|материалов|предназначена|для|обучения|детей|основам|атериал|пластик|элементы|безопасны|для|использования")</f>
        <v>тный|материал|асса|цифр|тных|материалов|предназначена|для|обучения|детей|основам|атериал|пластик|элементы|безопасны|для|использования</v>
      </c>
      <c r="I857" s="6"/>
      <c r="J857" s="6"/>
    </row>
    <row r="858">
      <c r="A858" s="12" t="s">
        <v>2439</v>
      </c>
      <c r="B858" s="7" t="s">
        <v>2440</v>
      </c>
      <c r="C858" s="7" t="s">
        <v>2441</v>
      </c>
      <c r="D858" s="8">
        <v>9700.0</v>
      </c>
      <c r="E858" s="9">
        <v>5.0</v>
      </c>
      <c r="F858" s="10" t="str">
        <f>IFERROR(__xludf.DUMMYFUNCTION("LOWER(REGEXREPLACE(B858&amp;"" ""&amp;C858,""[^а-яa-z0-9 ]"","" ""))"),"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рименяет"&amp;"ся в учебно игровой деятельности ")</f>
        <v>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рименяется в учебно игровой деятельности </v>
      </c>
      <c r="G858" s="10" t="str">
        <f>IFERROR(__xludf.DUMMYFUNCTION("TEXTJOIN(""|"",TRUE,UNIQUE(FILTER(SPLIT(F858,"" ""),LEN(SPLIT(F858,"" ""))&gt;2)))"),"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f>
        <v>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v>
      </c>
      <c r="I858" s="6"/>
      <c r="J858" s="6"/>
    </row>
    <row r="859">
      <c r="A859" s="12" t="s">
        <v>2442</v>
      </c>
      <c r="B859" s="7" t="s">
        <v>2443</v>
      </c>
      <c r="C859" s="7" t="s">
        <v>2444</v>
      </c>
      <c r="D859" s="8">
        <v>45600.0</v>
      </c>
      <c r="E859" s="9">
        <v>5.0</v>
      </c>
      <c r="F859" s="10" t="str">
        <f>IFERROR(__xludf.DUMMYFUNCTION("LOWER(REGEXREPLACE(B859&amp;"" ""&amp;C859,""[^а-яa-z0-9 ]"","" ""))"),"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воспри"&amp;"ятия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f>
        <v>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v>
      </c>
      <c r="G859" s="10" t="str">
        <f>IFERROR(__xludf.DUMMYFUNCTION("TEXTJOIN(""|"",TRUE,UNIQUE(FILTER(SPLIT(F859,"" ""),LEN(SPLIT(F859,"" ""))&gt;2)))"),"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amp;"х|растений|азмещаются|помещениях|декоративных|мкостях|требуют|сложного|ухода|подходят|для|эксплуатации|закрытых|пространствах")</f>
        <v>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х|растений|азмещаются|помещениях|декоративных|мкостях|требуют|сложного|ухода|подходят|для|эксплуатации|закрытых|пространствах</v>
      </c>
      <c r="I859" s="6"/>
      <c r="J859" s="6"/>
    </row>
    <row r="860">
      <c r="A860" s="12" t="s">
        <v>2445</v>
      </c>
      <c r="B860" s="7" t="s">
        <v>2446</v>
      </c>
      <c r="C860" s="7" t="s">
        <v>2447</v>
      </c>
      <c r="D860" s="8">
        <v>13000.0</v>
      </c>
      <c r="E860" s="9">
        <v>10.0</v>
      </c>
      <c r="F860" s="10" t="str">
        <f>IFERROR(__xludf.DUMMYFUNCTION("LOWER(REGEXREPLACE(B860&amp;"" ""&amp;C860,""[^а-яa-z0-9 ]"","" ""))"),"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деятельност"&amp;"ь способствует освоению операций сч та и развитию внимания   онструкция рассчитана на многократное использование ")</f>
        <v>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деятельность способствует освоению операций сч та и развитию внимания   онструкция рассчитана на многократное использование </v>
      </c>
      <c r="G860" s="10" t="str">
        <f>IFERROR(__xludf.DUMMYFUNCTION("TEXTJOIN(""|"",TRUE,UNIQUE(FILTER(SPLIT(F860,"" ""),LEN(SPLIT(F860,"" ""))&gt;2)))"),"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amp;"тию|внимания|онструкция|рассчитана|многократное|использование")</f>
        <v>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тию|внимания|онструкция|рассчитана|многократное|использование</v>
      </c>
      <c r="I860" s="6"/>
      <c r="J860" s="6"/>
    </row>
    <row r="861">
      <c r="A861" s="12" t="s">
        <v>2448</v>
      </c>
      <c r="B861" s="7" t="s">
        <v>2449</v>
      </c>
      <c r="C861" s="7" t="s">
        <v>2450</v>
      </c>
      <c r="D861" s="8">
        <v>7300.0</v>
      </c>
      <c r="E861" s="9">
        <v>21.0</v>
      </c>
      <c r="F861" s="10" t="str">
        <f>IFERROR(__xludf.DUMMYFUNCTION("LOWER(REGEXREPLACE(B861&amp;"" ""&amp;C861,""[^а-яa-z0-9 ]"","" ""))")," южетные картинки  абор сюжетных картинок используется для развития речи  мышления и воображения детей   рименяется в индивидуальной и групповой работе ")</f>
        <v> южетные картинки  абор сюжетных картинок используется для развития речи  мышления и воображения детей   рименяется в индивидуальной и групповой работе </v>
      </c>
      <c r="G861" s="10" t="str">
        <f>IFERROR(__xludf.DUMMYFUNCTION("TEXTJOIN(""|"",TRUE,UNIQUE(FILTER(SPLIT(F861,"" ""),LEN(SPLIT(F861,"" ""))&gt;2)))"),"южетные|картинки|абор|сюжетных|картинок|используется|для|развития|речи|мышления|воображения|детей|рименяется|индивидуальной|групповой|работе")</f>
        <v>южетные|картинки|абор|сюжетных|картинок|используется|для|развития|речи|мышления|воображения|детей|рименяется|индивидуальной|групповой|работе</v>
      </c>
      <c r="I861" s="6"/>
      <c r="J861" s="6"/>
    </row>
    <row r="862">
      <c r="A862" s="12" t="s">
        <v>2451</v>
      </c>
      <c r="B862" s="7" t="s">
        <v>2452</v>
      </c>
      <c r="C862" s="7" t="s">
        <v>2453</v>
      </c>
      <c r="D862" s="8">
        <v>9500.0</v>
      </c>
      <c r="E862" s="9">
        <v>1.0</v>
      </c>
      <c r="F862" s="10" t="str">
        <f>IFERROR(__xludf.DUMMYFUNCTION("LOWER(REGEXREPLACE(B862&amp;"" ""&amp;C862,""[^а-яa-z0-9 ]"","" ""))")," южетные картинки   комплекты  абор сюжетных картинок по теме   кружающий мир    атериал   бумага  картон   спользуется в образовательной деятельности     ")</f>
        <v> южетные картинки   комплекты  абор сюжетных картинок по теме   кружающий мир    атериал   бумага  картон   спользуется в образовательной деятельности     </v>
      </c>
      <c r="G862" s="10" t="str">
        <f>IFERROR(__xludf.DUMMYFUNCTION("TEXTJOIN(""|"",TRUE,UNIQUE(FILTER(SPLIT(F862,"" ""),LEN(SPLIT(F862,"" ""))&gt;2)))"),"южетные|картинки|комплекты|абор|сюжетных|картинок|теме|кружающий|мир|атериал|бумага|картон|спользуется|образовательной|деятельности")</f>
        <v>южетные|картинки|комплекты|абор|сюжетных|картинок|теме|кружающий|мир|атериал|бумага|картон|спользуется|образовательной|деятельности</v>
      </c>
      <c r="I862" s="6"/>
      <c r="J862" s="6"/>
    </row>
    <row r="863">
      <c r="A863" s="12" t="s">
        <v>2454</v>
      </c>
      <c r="B863" s="7" t="s">
        <v>2455</v>
      </c>
      <c r="C863" s="7" t="s">
        <v>2456</v>
      </c>
      <c r="D863" s="8">
        <v>5700.0</v>
      </c>
      <c r="E863" s="9">
        <v>7.0</v>
      </c>
      <c r="F863" s="10" t="str">
        <f>IFERROR(__xludf.DUMMYFUNCTION("LOWER(REGEXREPLACE(B863&amp;"" ""&amp;C863,""[^а-яa-z0-9 ]"","" ""))"),"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f>
        <v>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v>
      </c>
      <c r="G863" s="10" t="str">
        <f>IFERROR(__xludf.DUMMYFUNCTION("TEXTJOIN(""|"",TRUE,UNIQUE(FILTER(SPLIT(F863,"" ""),LEN(SPLIT(F863,"" ""))&gt;2)))"),"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f>
        <v>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v>
      </c>
      <c r="I863" s="6"/>
      <c r="J863" s="6"/>
    </row>
    <row r="864">
      <c r="A864" s="12" t="s">
        <v>2457</v>
      </c>
      <c r="B864" s="7" t="s">
        <v>2458</v>
      </c>
      <c r="C864" s="7"/>
      <c r="D864" s="8">
        <v>6400.0</v>
      </c>
      <c r="E864" s="9">
        <v>1.0</v>
      </c>
      <c r="F864" s="10" t="str">
        <f>IFERROR(__xludf.DUMMYFUNCTION("LOWER(REGEXREPLACE(B864&amp;"" ""&amp;C864,""[^а-яa-z0-9 ]"","" ""))")," аза м нс з асыл с з           асырларда ы жырауларды   ")</f>
        <v> аза м нс з асыл с з           асырларда ы жырауларды   </v>
      </c>
      <c r="G864" s="10" t="str">
        <f>IFERROR(__xludf.DUMMYFUNCTION("TEXTJOIN(""|"",TRUE,UNIQUE(FILTER(SPLIT(F864,"" ""),LEN(SPLIT(F864,"" ""))&gt;2)))"),"аза|асыл|асырларда|жырауларды")</f>
        <v>аза|асыл|асырларда|жырауларды</v>
      </c>
      <c r="I864" s="6"/>
      <c r="J864" s="6"/>
    </row>
    <row r="865">
      <c r="A865" s="12" t="s">
        <v>2459</v>
      </c>
      <c r="B865" s="7" t="s">
        <v>2460</v>
      </c>
      <c r="C865" s="7" t="s">
        <v>2461</v>
      </c>
      <c r="D865" s="8">
        <v>375400.0</v>
      </c>
      <c r="E865" s="9">
        <v>1.0</v>
      </c>
      <c r="F865" s="10" t="str">
        <f>IFERROR(__xludf.DUMMYFUNCTION("LOWER(REGEXREPLACE(B865&amp;"" ""&amp;C865,""[^а-яa-z0-9 ]"","" ""))"),"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кисточк"&amp;"и  колесики  шершавые поверхности ")</f>
        <v>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 </v>
      </c>
      <c r="G865" s="10" t="str">
        <f>IFERROR(__xludf.DUMMYFUNCTION("TEXTJOIN(""|"",TRUE,UNIQUE(FILTER(SPLIT(F865,"" ""),LEN(SPLIT(F865,"" ""))&gt;2)))"),"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amp;"и")</f>
        <v>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и</v>
      </c>
      <c r="I865" s="6"/>
      <c r="J865" s="6"/>
    </row>
    <row r="866">
      <c r="A866" s="12" t="s">
        <v>2462</v>
      </c>
      <c r="B866" s="7" t="s">
        <v>2463</v>
      </c>
      <c r="C866" s="7" t="s">
        <v>2464</v>
      </c>
      <c r="D866" s="8">
        <v>10500.0</v>
      </c>
      <c r="E866" s="9">
        <v>2.0</v>
      </c>
      <c r="F866" s="10" t="str">
        <f>IFERROR(__xludf.DUMMYFUNCTION("LOWER(REGEXREPLACE(B866&amp;"" ""&amp;C866,""[^а-яa-z0-9 ]"","" ""))")," актильные   ячики пищалки   гравой набор сенсорной  тактильных мячиков 6 штук   атериал резина")</f>
        <v> актильные   ячики пищалки   гравой набор сенсорной  тактильных мячиков 6 штук   атериал резина</v>
      </c>
      <c r="G866" s="10" t="str">
        <f>IFERROR(__xludf.DUMMYFUNCTION("TEXTJOIN(""|"",TRUE,UNIQUE(FILTER(SPLIT(F866,"" ""),LEN(SPLIT(F866,"" ""))&gt;2)))"),"актильные|ячики|пищалки|гравой|набор|сенсорной|тактильных|мячиков|штук|атериал|резина")</f>
        <v>актильные|ячики|пищалки|гравой|набор|сенсорной|тактильных|мячиков|штук|атериал|резина</v>
      </c>
      <c r="I866" s="6"/>
      <c r="J866" s="6"/>
    </row>
    <row r="867">
      <c r="A867" s="12" t="s">
        <v>2465</v>
      </c>
      <c r="B867" s="7" t="s">
        <v>2466</v>
      </c>
      <c r="C867" s="7" t="s">
        <v>2467</v>
      </c>
      <c r="D867" s="8">
        <v>292800.0</v>
      </c>
      <c r="E867" s="9">
        <v>2.0</v>
      </c>
      <c r="F867" s="10" t="str">
        <f>IFERROR(__xludf.DUMMYFUNCTION("LOWER(REGEXREPLACE(B867&amp;"" ""&amp;C867,""[^а-яa-z0-9 ]"","" ""))"),"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f>
        <v>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v>
      </c>
      <c r="G867" s="10" t="str">
        <f>IFERROR(__xludf.DUMMYFUNCTION("TEXTJOIN(""|"",TRUE,UNIQUE(FILTER(SPLIT(F867,"" ""),LEN(SPLIT(F867,"" ""))&gt;2)))"),"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f>
        <v>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v>
      </c>
      <c r="I867" s="6"/>
      <c r="J867" s="6"/>
    </row>
    <row r="868">
      <c r="A868" s="12" t="s">
        <v>2468</v>
      </c>
      <c r="B868" s="7" t="s">
        <v>2469</v>
      </c>
      <c r="C868" s="7" t="s">
        <v>2470</v>
      </c>
      <c r="D868" s="8">
        <v>5300.0</v>
      </c>
      <c r="E868" s="9">
        <v>1.0</v>
      </c>
      <c r="F868" s="10" t="str">
        <f>IFERROR(__xludf.DUMMYFUNCTION("LOWER(REGEXREPLACE(B868&amp;"" ""&amp;C868,""[^а-яa-z0-9 ]"","" ""))")," актильные карточки  актильные карточки используются для развития сенсорного восприятия  речи и мелкой моторики у детей дошкольного возраста ")</f>
        <v> актильные карточки  актильные карточки используются для развития сенсорного восприятия  речи и мелкой моторики у детей дошкольного возраста </v>
      </c>
      <c r="G868" s="10" t="str">
        <f>IFERROR(__xludf.DUMMYFUNCTION("TEXTJOIN(""|"",TRUE,UNIQUE(FILTER(SPLIT(F868,"" ""),LEN(SPLIT(F868,"" ""))&gt;2)))"),"актильные|карточки|актильные|карточки|используются|для|развития|сенсорного|восприятия|речи|мелкой|моторики|детей|дошкольного|возраста")</f>
        <v>актильные|карточки|актильные|карточки|используются|для|развития|сенсорного|восприятия|речи|мелкой|моторики|детей|дошкольного|возраста</v>
      </c>
      <c r="I868" s="6"/>
      <c r="J868" s="6"/>
    </row>
    <row r="869">
      <c r="A869" s="12" t="s">
        <v>2471</v>
      </c>
      <c r="B869" s="7" t="s">
        <v>2472</v>
      </c>
      <c r="C869" s="7" t="s">
        <v>2473</v>
      </c>
      <c r="D869" s="8">
        <v>20400.0</v>
      </c>
      <c r="E869" s="9">
        <v>5.0</v>
      </c>
      <c r="F869" s="10" t="str">
        <f>IFERROR(__xludf.DUMMYFUNCTION("LOWER(REGEXREPLACE(B869&amp;"" ""&amp;C869,""[^а-яa-z0-9 ]"","" ""))"),"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формировани"&amp;"ю мелкой моторики  воображения  координации движений и навыков взаимодействия между детьми ")</f>
        <v>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 </v>
      </c>
      <c r="G869" s="10" t="str">
        <f>IFERROR(__xludf.DUMMYFUNCTION("TEXTJOIN(""|"",TRUE,UNIQUE(FILTER(SPLIT(F869,"" ""),LEN(SPLIT(F869,"" ""))&gt;2)))"),"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amp;"и|движений|навыков|взаимодействия|между|детьми")</f>
        <v>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и|движений|навыков|взаимодействия|между|детьми</v>
      </c>
      <c r="I869" s="6"/>
      <c r="J869" s="6"/>
    </row>
    <row r="870">
      <c r="A870" s="12" t="s">
        <v>2474</v>
      </c>
      <c r="B870" s="7" t="s">
        <v>2475</v>
      </c>
      <c r="C870" s="7" t="s">
        <v>2476</v>
      </c>
      <c r="D870" s="8">
        <v>11400.0</v>
      </c>
      <c r="E870" s="9">
        <v>10.0</v>
      </c>
      <c r="F870" s="10" t="str">
        <f>IFERROR(__xludf.DUMMYFUNCTION("LOWER(REGEXREPLACE(B870&amp;"" ""&amp;C870,""[^а-яa-z0-9 ]"","" ""))"),"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диам"&amp;"етром 6 см   2 шт   атериалы безопасные и прочные ")</f>
        <v>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диаметром 6 см   2 шт   атериалы безопасные и прочные </v>
      </c>
      <c r="G870" s="10" t="str">
        <f>IFERROR(__xludf.DUMMYFUNCTION("TEXTJOIN(""|"",TRUE,UNIQUE(FILTER(SPLIT(F870,"" ""),LEN(SPLIT(F870,"" ""))&gt;2)))"),"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f>
        <v>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v>
      </c>
      <c r="I870" s="6"/>
      <c r="J870" s="6"/>
    </row>
    <row r="871">
      <c r="A871" s="12" t="s">
        <v>2477</v>
      </c>
      <c r="B871" s="7" t="s">
        <v>2478</v>
      </c>
      <c r="C871" s="7" t="s">
        <v>2479</v>
      </c>
      <c r="D871" s="8">
        <v>21900.0</v>
      </c>
      <c r="E871" s="9">
        <v>1.0</v>
      </c>
      <c r="F871" s="10" t="str">
        <f>IFERROR(__xludf.DUMMYFUNCTION("LOWER(REGEXREPLACE(B871&amp;"" ""&amp;C871,""[^а-яa-z0-9 ]"","" ""))")," арихи тул алар    огысбаев     ужикова")</f>
        <v> арихи тул алар    огысбаев     ужикова</v>
      </c>
      <c r="G871" s="10" t="str">
        <f>IFERROR(__xludf.DUMMYFUNCTION("TEXTJOIN(""|"",TRUE,UNIQUE(FILTER(SPLIT(F871,"" ""),LEN(SPLIT(F871,"" ""))&gt;2)))"),"арихи|тул|алар|огысбаев|ужикова")</f>
        <v>арихи|тул|алар|огысбаев|ужикова</v>
      </c>
      <c r="I871" s="6"/>
      <c r="J871" s="6"/>
    </row>
    <row r="872">
      <c r="A872" s="12" t="s">
        <v>2480</v>
      </c>
      <c r="B872" s="7" t="s">
        <v>2481</v>
      </c>
      <c r="C872" s="7" t="s">
        <v>2482</v>
      </c>
      <c r="D872" s="8">
        <v>11400.0</v>
      </c>
      <c r="E872" s="9">
        <v>1.0</v>
      </c>
      <c r="F872" s="10" t="str">
        <f>IFERROR(__xludf.DUMMYFUNCTION("LOWER(REGEXREPLACE(B872&amp;"" ""&amp;C872,""[^а-яa-z0-9 ]"","" ""))")," ая шалар  нтеллектум  ")</f>
        <v> ая шалар  нтеллектум  </v>
      </c>
      <c r="G872" s="10" t="str">
        <f>IFERROR(__xludf.DUMMYFUNCTION("TEXTJOIN(""|"",TRUE,UNIQUE(FILTER(SPLIT(F872,"" ""),LEN(SPLIT(F872,"" ""))&gt;2)))"),"шалар|нтеллектум")</f>
        <v>шалар|нтеллектум</v>
      </c>
      <c r="I872" s="6"/>
      <c r="J872" s="6"/>
    </row>
    <row r="873">
      <c r="A873" s="12" t="s">
        <v>2483</v>
      </c>
      <c r="B873" s="7" t="s">
        <v>2484</v>
      </c>
      <c r="C873" s="7" t="s">
        <v>416</v>
      </c>
      <c r="D873" s="8">
        <v>11400.0</v>
      </c>
      <c r="E873" s="9">
        <v>75.0</v>
      </c>
      <c r="F873" s="10" t="str">
        <f>IFERROR(__xludf.DUMMYFUNCTION("LOWER(REGEXREPLACE(B873&amp;"" ""&amp;C873,""[^а-яa-z0-9 ]"","" ""))")," ая шалар   нтеллектум")</f>
        <v> ая шалар   нтеллектум</v>
      </c>
      <c r="G873" s="10" t="str">
        <f>IFERROR(__xludf.DUMMYFUNCTION("TEXTJOIN(""|"",TRUE,UNIQUE(FILTER(SPLIT(F873,"" ""),LEN(SPLIT(F873,"" ""))&gt;2)))"),"шалар|нтеллектум")</f>
        <v>шалар|нтеллектум</v>
      </c>
      <c r="I873" s="6"/>
      <c r="J873" s="6"/>
    </row>
    <row r="874">
      <c r="A874" s="12" t="s">
        <v>2485</v>
      </c>
      <c r="B874" s="7" t="s">
        <v>2486</v>
      </c>
      <c r="C874" s="7" t="s">
        <v>2487</v>
      </c>
      <c r="D874" s="8">
        <v>34400.0</v>
      </c>
      <c r="E874" s="9">
        <v>5.0</v>
      </c>
      <c r="F874" s="10" t="str">
        <f>IFERROR(__xludf.DUMMYFUNCTION("LOWER(REGEXREPLACE(B874&amp;"" ""&amp;C874,""[^а-яa-z0-9 ]"","" ""))"),"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выразител"&amp;"ьности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f>
        <v>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v>
      </c>
      <c r="G874" s="10" t="str">
        <f>IFERROR(__xludf.DUMMYFUNCTION("TEXTJOIN(""|"",TRUE,UNIQUE(FILTER(SPLIT(F874,"" ""),LEN(SPLIT(F874,"" ""))&gt;2)))"),"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amp;"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f>
        <v>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v>
      </c>
      <c r="I874" s="6"/>
      <c r="J874" s="6"/>
    </row>
    <row r="875">
      <c r="A875" s="12" t="s">
        <v>2488</v>
      </c>
      <c r="B875" s="7" t="s">
        <v>2489</v>
      </c>
      <c r="C875" s="7" t="s">
        <v>416</v>
      </c>
      <c r="D875" s="8">
        <v>10800.0</v>
      </c>
      <c r="E875" s="9">
        <v>75.0</v>
      </c>
      <c r="F875" s="10" t="str">
        <f>IFERROR(__xludf.DUMMYFUNCTION("LOWER(REGEXREPLACE(B875&amp;"" ""&amp;C875,""[^а-яa-z0-9 ]"","" ""))"),"тез тап   нтеллектум")</f>
        <v>тез тап   нтеллектум</v>
      </c>
      <c r="G875" s="10" t="str">
        <f>IFERROR(__xludf.DUMMYFUNCTION("TEXTJOIN(""|"",TRUE,UNIQUE(FILTER(SPLIT(F875,"" ""),LEN(SPLIT(F875,"" ""))&gt;2)))"),"тез|тап|нтеллектум")</f>
        <v>тез|тап|нтеллектум</v>
      </c>
      <c r="I875" s="6"/>
      <c r="J875" s="6"/>
    </row>
    <row r="876">
      <c r="A876" s="12" t="s">
        <v>2490</v>
      </c>
      <c r="B876" s="7" t="s">
        <v>2491</v>
      </c>
      <c r="C876" s="7" t="s">
        <v>2492</v>
      </c>
      <c r="D876" s="8">
        <v>123500.0</v>
      </c>
      <c r="E876" s="9">
        <v>1.0</v>
      </c>
      <c r="F876" s="10" t="str">
        <f>IFERROR(__xludf.DUMMYFUNCTION("LOWER(REGEXREPLACE(B876&amp;"" ""&amp;C876,""[^а-яa-z0-9 ]"","" ""))"),"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"&amp;"безопасные для эксплуатации в детских учреждениях ")</f>
        <v>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безопасные для эксплуатации в детских учреждениях </v>
      </c>
      <c r="G876" s="10" t="str">
        <f>IFERROR(__xludf.DUMMYFUNCTION("TEXTJOIN(""|"",TRUE,UNIQUE(FILTER(SPLIT(F876,"" ""),LEN(SPLIT(F876,"" ""))&gt;2)))"),"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amp;"сплуатации|детских|учреждениях")</f>
        <v>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сплуатации|детских|учреждениях</v>
      </c>
      <c r="I876" s="6"/>
      <c r="J876" s="6"/>
    </row>
    <row r="877">
      <c r="A877" s="12" t="s">
        <v>2493</v>
      </c>
      <c r="B877" s="7" t="s">
        <v>2494</v>
      </c>
      <c r="C877" s="7" t="s">
        <v>2495</v>
      </c>
      <c r="D877" s="8">
        <v>96400.0</v>
      </c>
      <c r="E877" s="9">
        <v>2.0</v>
      </c>
      <c r="F877" s="10" t="str">
        <f>IFERROR(__xludf.DUMMYFUNCTION("LOWER(REGEXREPLACE(B877&amp;"" ""&amp;C877,""[^а-яa-z0-9 ]"","" ""))")," ележка для белья tekne 2700k  нешние размеры  640x1040x790h мм   нутренние размеры  590x930x515h мм   рузоподъемность  250 кг")</f>
        <v> ележка для белья tekne 2700k  нешние размеры  640x1040x790h мм   нутренние размеры  590x930x515h мм   рузоподъемность  250 кг</v>
      </c>
      <c r="G877" s="10" t="str">
        <f>IFERROR(__xludf.DUMMYFUNCTION("TEXTJOIN(""|"",TRUE,UNIQUE(FILTER(SPLIT(F877,"" ""),LEN(SPLIT(F877,"" ""))&gt;2)))"),"ележка|для|белья|tekne|2700k|нешние|размеры|640x1040x790h|нутренние|размеры|590x930x515h|рузоподъемность|250")</f>
        <v>ележка|для|белья|tekne|2700k|нешние|размеры|640x1040x790h|нутренние|размеры|590x930x515h|рузоподъемность|250</v>
      </c>
      <c r="I877" s="6"/>
      <c r="J877" s="6"/>
    </row>
    <row r="878">
      <c r="A878" s="12" t="s">
        <v>2496</v>
      </c>
      <c r="B878" s="7" t="s">
        <v>2497</v>
      </c>
      <c r="C878" s="7" t="s">
        <v>2498</v>
      </c>
      <c r="D878" s="8">
        <v>281500.0</v>
      </c>
      <c r="E878" s="9">
        <v>1.0</v>
      </c>
      <c r="F878" s="10" t="str">
        <f>IFERROR(__xludf.DUMMYFUNCTION("LOWER(REGEXREPLACE(B878&amp;"" ""&amp;C878,""[^а-яa-z0-9 ]"","" ""))")," ележка для гастроемкостей 1 1 ce agn1 1x16  ержавеющая сталь      430   местимость тележки  16   азмеры подноса     1 1   араметры  383x530x1650 mm")</f>
        <v> ележка для гастроемкостей 1 1 ce agn1 1x16  ержавеющая сталь      430   местимость тележки  16   азмеры подноса     1 1   араметры  383x530x1650 mm</v>
      </c>
      <c r="G878" s="10" t="str">
        <f>IFERROR(__xludf.DUMMYFUNCTION("TEXTJOIN(""|"",TRUE,UNIQUE(FILTER(SPLIT(F878,"" ""),LEN(SPLIT(F878,"" ""))&gt;2)))"),"ележка|для|гастроемкостей|agn1|1x16|ержавеющая|сталь|430|местимость|тележки|азмеры|подноса|араметры|383x530x1650")</f>
        <v>ележка|для|гастроемкостей|agn1|1x16|ержавеющая|сталь|430|местимость|тележки|азмеры|подноса|араметры|383x530x1650</v>
      </c>
      <c r="I878" s="6"/>
      <c r="J878" s="6"/>
    </row>
    <row r="879">
      <c r="A879" s="12" t="s">
        <v>2499</v>
      </c>
      <c r="B879" s="7" t="s">
        <v>2500</v>
      </c>
      <c r="C879" s="7" t="s">
        <v>2501</v>
      </c>
      <c r="D879" s="8">
        <v>208600.0</v>
      </c>
      <c r="E879" s="9">
        <v>1.0</v>
      </c>
      <c r="F879" s="10" t="str">
        <f>IFERROR(__xludf.DUMMYFUNCTION("LOWER(REGEXREPLACE(B879&amp;"" ""&amp;C879,""[^а-яa-z0-9 ]"","" ""))"),"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изно"&amp;"состойкие и безопасные ")</f>
        <v>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износостойкие и безопасные </v>
      </c>
      <c r="G879" s="10" t="str">
        <f>IFERROR(__xludf.DUMMYFUNCTION("TEXTJOIN(""|"",TRUE,UNIQUE(FILTER(SPLIT(F879,"" ""),LEN(SPLIT(F879,"" ""))&gt;2)))"),"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amp;"ые")</f>
        <v>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ые</v>
      </c>
      <c r="I879" s="6"/>
      <c r="J879" s="6"/>
    </row>
    <row r="880">
      <c r="A880" s="12" t="s">
        <v>2502</v>
      </c>
      <c r="B880" s="7" t="s">
        <v>2503</v>
      </c>
      <c r="C880" s="7" t="s">
        <v>2504</v>
      </c>
      <c r="D880" s="8">
        <v>11900.0</v>
      </c>
      <c r="E880" s="9">
        <v>25.0</v>
      </c>
      <c r="F880" s="10" t="str">
        <f>IFERROR(__xludf.DUMMYFUNCTION("LOWER(REGEXREPLACE(B880&amp;"" ""&amp;C880,""[^а-яa-z0-9 ]"","" ""))"),"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изобраз"&amp;"ительной деятельности и творческих работ ")</f>
        <v>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изобразительной деятельности и творческих работ </v>
      </c>
      <c r="G880" s="10" t="str">
        <f>IFERROR(__xludf.DUMMYFUNCTION("TEXTJOIN(""|"",TRUE,UNIQUE(FILTER(SPLIT(F880,"" ""),LEN(SPLIT(F880,"" ""))&gt;2)))"),"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amp;"ти|творческих|работ")</f>
        <v>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ти|творческих|работ</v>
      </c>
      <c r="I880" s="6"/>
      <c r="J880" s="6"/>
    </row>
    <row r="881">
      <c r="A881" s="12" t="s">
        <v>2505</v>
      </c>
      <c r="B881" s="7" t="s">
        <v>2506</v>
      </c>
      <c r="C881" s="7" t="s">
        <v>2507</v>
      </c>
      <c r="D881" s="8">
        <v>254900.0</v>
      </c>
      <c r="E881" s="9">
        <v>2.0</v>
      </c>
      <c r="F881" s="10" t="str">
        <f>IFERROR(__xludf.DUMMYFUNCTION("LOWER(REGEXREPLACE(B881&amp;"" ""&amp;C881,""[^а-яa-z0-9 ]"","" ""))")," ележка сервисная 2 ур  ce asi55x86x2  ержавеющая сталь      430    2 полками  и 4 колесами   араметры  550x860x900 mm")</f>
        <v> ележка сервисная 2 ур  ce asi55x86x2  ержавеющая сталь      430    2 полками  и 4 колесами   араметры  550x860x900 mm</v>
      </c>
      <c r="G881" s="10" t="str">
        <f>IFERROR(__xludf.DUMMYFUNCTION("TEXTJOIN(""|"",TRUE,UNIQUE(FILTER(SPLIT(F881,"" ""),LEN(SPLIT(F881,"" ""))&gt;2)))"),"ележка|сервисная|asi55x86x2|ержавеющая|сталь|430|полками|колесами|араметры|550x860x900")</f>
        <v>ележка|сервисная|asi55x86x2|ержавеющая|сталь|430|полками|колесами|араметры|550x860x900</v>
      </c>
      <c r="I881" s="6"/>
      <c r="J881" s="6"/>
    </row>
    <row r="882">
      <c r="A882" s="12" t="s">
        <v>2508</v>
      </c>
      <c r="B882" s="7" t="s">
        <v>2509</v>
      </c>
      <c r="C882" s="7" t="s">
        <v>2510</v>
      </c>
      <c r="D882" s="8">
        <v>5700.0</v>
      </c>
      <c r="E882" s="9">
        <v>1.0</v>
      </c>
      <c r="F882" s="10" t="str">
        <f>IFERROR(__xludf.DUMMYFUNCTION("LOWER(REGEXREPLACE(B882&amp;"" ""&amp;C882,""[^а-яa-z0-9 ]"","" ""))"),"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атер"&amp;"иал   безопасный пластик ")</f>
        <v>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атериал   безопасный пластик </v>
      </c>
      <c r="G882" s="10" t="str">
        <f>IFERROR(__xludf.DUMMYFUNCTION("TEXTJOIN(""|"",TRUE,UNIQUE(FILTER(SPLIT(F882,"" ""),LEN(SPLIT(F882,"" ""))&gt;2)))"),"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amp;"|пластик")</f>
        <v>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пластик</v>
      </c>
      <c r="I882" s="6"/>
      <c r="J882" s="6"/>
    </row>
    <row r="883">
      <c r="A883" s="12" t="s">
        <v>2511</v>
      </c>
      <c r="B883" s="7" t="s">
        <v>2512</v>
      </c>
      <c r="C883" s="7" t="s">
        <v>2513</v>
      </c>
      <c r="D883" s="8">
        <v>11400.0</v>
      </c>
      <c r="E883" s="9">
        <v>25.0</v>
      </c>
      <c r="F883" s="10" t="str">
        <f>IFERROR(__xludf.DUMMYFUNCTION("LOWER(REGEXREPLACE(B883&amp;"" ""&amp;C883,""[^а-яa-z0-9 ]"","" ""))"),"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за"&amp;"нятий творчеством и хозяйственных нужд ")</f>
        <v>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занятий творчеством и хозяйственных нужд </v>
      </c>
      <c r="G883" s="10" t="str">
        <f>IFERROR(__xludf.DUMMYFUNCTION("TEXTJOIN(""|"",TRUE,UNIQUE(FILTER(SPLIT(F883,"" ""),LEN(SPLIT(F883,"" ""))&gt;2)))"),"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amp;"нужд")</f>
        <v>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нужд</v>
      </c>
      <c r="I883" s="6"/>
      <c r="J883" s="6"/>
    </row>
    <row r="884">
      <c r="A884" s="12" t="s">
        <v>2514</v>
      </c>
      <c r="B884" s="7" t="s">
        <v>2515</v>
      </c>
      <c r="C884" s="7" t="s">
        <v>2516</v>
      </c>
      <c r="D884" s="8">
        <v>107900.0</v>
      </c>
      <c r="E884" s="9">
        <v>1.0</v>
      </c>
      <c r="F884" s="10" t="str">
        <f>IFERROR(__xludf.DUMMYFUNCTION("LOWER(REGEXREPLACE(B884&amp;"" ""&amp;C884,""[^а-яa-z0-9 ]"","" ""))")," ермоконтейнер  онтейнер для временного хранения и транспортировки медикаментов с поддержанием температурного режима ")</f>
        <v> ермоконтейнер  онтейнер для временного хранения и транспортировки медикаментов с поддержанием температурного режима </v>
      </c>
      <c r="G884" s="10" t="str">
        <f>IFERROR(__xludf.DUMMYFUNCTION("TEXTJOIN(""|"",TRUE,UNIQUE(FILTER(SPLIT(F884,"" ""),LEN(SPLIT(F884,"" ""))&gt;2)))"),"ермоконтейнер|онтейнер|для|временного|хранения|транспортировки|медикаментов|поддержанием|температурного|режима")</f>
        <v>ермоконтейнер|онтейнер|для|временного|хранения|транспортировки|медикаментов|поддержанием|температурного|режима</v>
      </c>
      <c r="I884" s="6"/>
      <c r="J884" s="6"/>
    </row>
    <row r="885">
      <c r="A885" s="12" t="s">
        <v>2517</v>
      </c>
      <c r="B885" s="7" t="s">
        <v>63</v>
      </c>
      <c r="C885" s="7" t="s">
        <v>2518</v>
      </c>
      <c r="D885" s="8">
        <v>3000.0</v>
      </c>
      <c r="E885" s="9">
        <v>5.0</v>
      </c>
      <c r="F885" s="10" t="str">
        <f>IFERROR(__xludf.DUMMYFUNCTION("LOWER(REGEXREPLACE(B885&amp;"" ""&amp;C885,""[^а-яa-z0-9 ]"","" ""))")," ермометр  рибор для измерения температуры тела   спользуется в медицинском кабинете     ")</f>
        <v> ермометр  рибор для измерения температуры тела   спользуется в медицинском кабинете     </v>
      </c>
      <c r="G885" s="10" t="str">
        <f>IFERROR(__xludf.DUMMYFUNCTION("TEXTJOIN(""|"",TRUE,UNIQUE(FILTER(SPLIT(F885,"" ""),LEN(SPLIT(F885,"" ""))&gt;2)))"),"ермометр|рибор|для|измерения|температуры|тела|спользуется|медицинском|кабинете")</f>
        <v>ермометр|рибор|для|измерения|температуры|тела|спользуется|медицинском|кабинете</v>
      </c>
      <c r="I885" s="6"/>
      <c r="J885" s="6"/>
    </row>
    <row r="886">
      <c r="A886" s="12" t="s">
        <v>2519</v>
      </c>
      <c r="B886" s="7" t="s">
        <v>2520</v>
      </c>
      <c r="C886" s="7" t="s">
        <v>2521</v>
      </c>
      <c r="D886" s="8">
        <v>329600.0</v>
      </c>
      <c r="E886" s="9">
        <v>1.0</v>
      </c>
      <c r="F886" s="10" t="str">
        <f>IFERROR(__xludf.DUMMYFUNCTION("LOWER(REGEXREPLACE(B886&amp;"" ""&amp;C886,""[^а-яa-z0-9 ]"","" ""))")," ехническая раковина ce me50x58  ержавеющая сталь      430   ойка 40x40x25 см   араметры  500x580x800 мм")</f>
        <v> ехническая раковина ce me50x58  ержавеющая сталь      430   ойка 40x40x25 см   араметры  500x580x800 мм</v>
      </c>
      <c r="G886" s="10" t="str">
        <f>IFERROR(__xludf.DUMMYFUNCTION("TEXTJOIN(""|"",TRUE,UNIQUE(FILTER(SPLIT(F886,"" ""),LEN(SPLIT(F886,"" ""))&gt;2)))"),"ехническая|раковина|me50x58|ержавеющая|сталь|430|ойка|40x40x25|араметры|500x580x800")</f>
        <v>ехническая|раковина|me50x58|ержавеющая|сталь|430|ойка|40x40x25|араметры|500x580x800</v>
      </c>
      <c r="I886" s="6"/>
      <c r="J886" s="6"/>
    </row>
    <row r="887">
      <c r="A887" s="12" t="s">
        <v>2522</v>
      </c>
      <c r="B887" s="7" t="s">
        <v>2523</v>
      </c>
      <c r="C887" s="7" t="s">
        <v>2524</v>
      </c>
      <c r="D887" s="8">
        <v>15000.0</v>
      </c>
      <c r="E887" s="9">
        <v>1.0</v>
      </c>
      <c r="F887" s="10" t="str">
        <f>IFERROR(__xludf.DUMMYFUNCTION("LOWER(REGEXREPLACE(B887&amp;"" ""&amp;C887,""[^а-яa-z0-9 ]"","" ""))"),"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"&amp;"  атериалы мягкие  безопасные  износостойкие ")</f>
        <v>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атериалы мягкие  безопасные  износостойкие </v>
      </c>
      <c r="G887" s="10" t="str">
        <f>IFERROR(__xludf.DUMMYFUNCTION("TEXTJOIN(""|"",TRUE,UNIQUE(FILTER(SPLIT(F887,"" ""),LEN(SPLIT(F887,"" ""))&gt;2)))"),"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amp;"|безопасные|износостойкие")</f>
        <v>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безопасные|износостойкие</v>
      </c>
      <c r="I887" s="6"/>
      <c r="J887" s="6"/>
    </row>
    <row r="888">
      <c r="A888" s="12" t="s">
        <v>2525</v>
      </c>
      <c r="B888" s="7" t="s">
        <v>2526</v>
      </c>
      <c r="C888" s="7" t="s">
        <v>2527</v>
      </c>
      <c r="D888" s="8">
        <v>9000.0</v>
      </c>
      <c r="E888" s="9">
        <v>10.0</v>
      </c>
      <c r="F888" s="10" t="str">
        <f>IFERROR(__xludf.DUMMYFUNCTION("LOWER(REGEXREPLACE(B888&amp;"" ""&amp;C888,""[^а-яa-z0-9 ]"","" ""))"),"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f>
        <v>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v>
      </c>
      <c r="G888" s="10" t="str">
        <f>IFERROR(__xludf.DUMMYFUNCTION("TEXTJOIN(""|"",TRUE,UNIQUE(FILTER(SPLIT(F888,"" ""),LEN(SPLIT(F888,"" ""))&gt;2)))"),"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f>
        <v>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v>
      </c>
      <c r="I888" s="6"/>
      <c r="J888" s="6"/>
    </row>
    <row r="889">
      <c r="A889" s="12" t="s">
        <v>2528</v>
      </c>
      <c r="B889" s="7" t="s">
        <v>2529</v>
      </c>
      <c r="C889" s="7" t="s">
        <v>2530</v>
      </c>
      <c r="D889" s="8">
        <v>1800.0</v>
      </c>
      <c r="E889" s="9">
        <v>12.0</v>
      </c>
      <c r="F889" s="10" t="str">
        <f>IFERROR(__xludf.DUMMYFUNCTION("LOWER(REGEXREPLACE(B889&amp;"" ""&amp;C889,""[^а-яa-z0-9 ]"","" ""))"),"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f>
        <v>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v>
      </c>
      <c r="G889" s="10" t="str">
        <f>IFERROR(__xludf.DUMMYFUNCTION("TEXTJOIN(""|"",TRUE,UNIQUE(FILTER(SPLIT(F889,"" ""),LEN(SPLIT(F889,"" ""))&gt;2)))"),"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f>
        <v>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v>
      </c>
      <c r="I889" s="6"/>
      <c r="J889" s="6"/>
    </row>
    <row r="890">
      <c r="A890" s="12" t="s">
        <v>2531</v>
      </c>
      <c r="B890" s="7" t="s">
        <v>2532</v>
      </c>
      <c r="C890" s="7" t="s">
        <v>2533</v>
      </c>
      <c r="D890" s="8">
        <v>100700.0</v>
      </c>
      <c r="E890" s="9">
        <v>4.0</v>
      </c>
      <c r="F890" s="10" t="str">
        <f>IFERROR(__xludf.DUMMYFUNCTION("LOWER(REGEXREPLACE(B890&amp;"" ""&amp;C890,""[^а-яa-z0-9 ]"","" ""))"),"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безопасны"&amp;" для детей ")</f>
        <v>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 для детей </v>
      </c>
      <c r="G890" s="10" t="str">
        <f>IFERROR(__xludf.DUMMYFUNCTION("TEXTJOIN(""|"",TRUE,UNIQUE(FILTER(SPLIT(F890,"" ""),LEN(SPLIT(F890,"" ""))&gt;2)))"),"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f>
        <v>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v>
      </c>
      <c r="I890" s="6"/>
      <c r="J890" s="6"/>
    </row>
    <row r="891">
      <c r="A891" s="12" t="s">
        <v>2534</v>
      </c>
      <c r="B891" s="7" t="s">
        <v>2535</v>
      </c>
      <c r="C891" s="7" t="s">
        <v>2536</v>
      </c>
      <c r="D891" s="8">
        <v>5700.0</v>
      </c>
      <c r="E891" s="9">
        <v>10.0</v>
      </c>
      <c r="F891" s="10" t="str">
        <f>IFERROR(__xludf.DUMMYFUNCTION("LOWER(REGEXREPLACE(B891&amp;"" ""&amp;C891,""[^а-яa-z0-9 ]"","" ""))"),"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каждого"&amp;" этапа позволяет сохранять чистоту изделий    комплект входит не менее 12 губок ")</f>
        <v>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 этапа позволяет сохранять чистоту изделий    комплект входит не менее 12 губок </v>
      </c>
      <c r="G891" s="10" t="str">
        <f>IFERROR(__xludf.DUMMYFUNCTION("TEXTJOIN(""|"",TRUE,UNIQUE(FILTER(SPLIT(F891,"" ""),LEN(SPLIT(F891,"" ""))&gt;2)))"),"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amp;"охранять|чистоту|изделий|комплект|входит|менее|губок")</f>
        <v>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охранять|чистоту|изделий|комплект|входит|менее|губок</v>
      </c>
      <c r="I891" s="6"/>
      <c r="J891" s="6"/>
    </row>
    <row r="892">
      <c r="A892" s="12" t="s">
        <v>2537</v>
      </c>
      <c r="B892" s="7" t="s">
        <v>2538</v>
      </c>
      <c r="C892" s="7" t="s">
        <v>2539</v>
      </c>
      <c r="D892" s="8">
        <v>17800.0</v>
      </c>
      <c r="E892" s="9">
        <v>2.0</v>
      </c>
      <c r="F892" s="10" t="str">
        <f>IFERROR(__xludf.DUMMYFUNCTION("LOWER(REGEXREPLACE(B892&amp;"" ""&amp;C892,""[^а-яa-z0-9 ]"","" ""))")," онометр  рибор для измерения артериального давления  используется при медицинских осмотрах детей и персонала ")</f>
        <v> онометр  рибор для измерения артериального давления  используется при медицинских осмотрах детей и персонала </v>
      </c>
      <c r="G892" s="10" t="str">
        <f>IFERROR(__xludf.DUMMYFUNCTION("TEXTJOIN(""|"",TRUE,UNIQUE(FILTER(SPLIT(F892,"" ""),LEN(SPLIT(F892,"" ""))&gt;2)))"),"онометр|рибор|для|измерения|артериального|давления|используется|при|медицинских|осмотрах|детей|персонала")</f>
        <v>онометр|рибор|для|измерения|артериального|давления|используется|при|медицинских|осмотрах|детей|персонала</v>
      </c>
      <c r="I892" s="6"/>
      <c r="J892" s="6"/>
    </row>
    <row r="893">
      <c r="A893" s="12" t="s">
        <v>2540</v>
      </c>
      <c r="B893" s="7" t="s">
        <v>2541</v>
      </c>
      <c r="C893" s="7" t="s">
        <v>2333</v>
      </c>
      <c r="D893" s="8">
        <v>7000.0</v>
      </c>
      <c r="E893" s="9">
        <v>1.0</v>
      </c>
      <c r="F893" s="10" t="str">
        <f>IFERROR(__xludf.DUMMYFUNCTION("LOWER(REGEXREPLACE(B893&amp;"" ""&amp;C893,""[^а-яa-z0-9 ]"","" ""))"),"  рт т л к с зд г   лубаев   ")</f>
        <v>  рт т л к с зд г   лубаев   </v>
      </c>
      <c r="G893" s="10" t="str">
        <f>IFERROR(__xludf.DUMMYFUNCTION("TEXTJOIN(""|"",TRUE,UNIQUE(FILTER(SPLIT(F893,"" ""),LEN(SPLIT(F893,"" ""))&gt;2)))"),"лубаев")</f>
        <v>лубаев</v>
      </c>
      <c r="I893" s="6"/>
      <c r="J893" s="6"/>
    </row>
    <row r="894">
      <c r="A894" s="12" t="s">
        <v>2542</v>
      </c>
      <c r="B894" s="7" t="s">
        <v>2543</v>
      </c>
      <c r="C894" s="7" t="s">
        <v>2544</v>
      </c>
      <c r="D894" s="8">
        <v>45600.0</v>
      </c>
      <c r="E894" s="9">
        <v>5.0</v>
      </c>
      <c r="F894" s="10" t="str">
        <f>IFERROR(__xludf.DUMMYFUNCTION("LOWER(REGEXREPLACE(B894&amp;"" ""&amp;C894,""[^а-яa-z0-9 ]"","" ""))"),"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f>
        <v>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v>
      </c>
      <c r="G894" s="10" t="str">
        <f>IFERROR(__xludf.DUMMYFUNCTION("TEXTJOIN(""|"",TRUE,UNIQUE(FILTER(SPLIT(F894,"" ""),LEN(SPLIT(F894,"" ""))&gt;2)))"),"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f>
        <v>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v>
      </c>
      <c r="I894" s="6"/>
      <c r="J894" s="6"/>
    </row>
    <row r="895">
      <c r="A895" s="12" t="s">
        <v>2545</v>
      </c>
      <c r="B895" s="7" t="s">
        <v>2546</v>
      </c>
      <c r="C895" s="7" t="s">
        <v>2547</v>
      </c>
      <c r="D895" s="8">
        <v>19800.0</v>
      </c>
      <c r="E895" s="9">
        <v>7.0</v>
      </c>
      <c r="F895" s="10" t="str">
        <f>IFERROR(__xludf.DUMMYFUNCTION("LOWER(REGEXREPLACE(B895&amp;"" ""&amp;C895,""[^а-яa-z0-9 ]"","" ""))"),"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f>
        <v>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v>
      </c>
      <c r="G895" s="10" t="str">
        <f>IFERROR(__xludf.DUMMYFUNCTION("TEXTJOIN(""|"",TRUE,UNIQUE(FILTER(SPLIT(F895,"" ""),LEN(SPLIT(F895,"" ""))&gt;2)))"),"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f>
        <v>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v>
      </c>
      <c r="I895" s="6"/>
      <c r="J895" s="6"/>
    </row>
    <row r="896">
      <c r="A896" s="12" t="s">
        <v>2548</v>
      </c>
      <c r="B896" s="7" t="s">
        <v>2549</v>
      </c>
      <c r="C896" s="7"/>
      <c r="D896" s="8">
        <v>2000.0</v>
      </c>
      <c r="E896" s="9">
        <v>1.0</v>
      </c>
      <c r="F896" s="10" t="str">
        <f>IFERROR(__xludf.DUMMYFUNCTION("LOWER(REGEXREPLACE(B896&amp;"" ""&amp;C896,""[^а-яa-z0-9 ]"","" ""))")," ри задачи   казка ")</f>
        <v> ри задачи   казка </v>
      </c>
      <c r="G896" s="10" t="str">
        <f>IFERROR(__xludf.DUMMYFUNCTION("TEXTJOIN(""|"",TRUE,UNIQUE(FILTER(SPLIT(F896,"" ""),LEN(SPLIT(F896,"" ""))&gt;2)))"),"задачи|казка")</f>
        <v>задачи|казка</v>
      </c>
      <c r="I896" s="6"/>
      <c r="J896" s="6"/>
    </row>
    <row r="897">
      <c r="A897" s="12" t="s">
        <v>2550</v>
      </c>
      <c r="B897" s="7" t="s">
        <v>2551</v>
      </c>
      <c r="C897" s="7" t="s">
        <v>2552</v>
      </c>
      <c r="D897" s="8">
        <v>22800.0</v>
      </c>
      <c r="E897" s="9">
        <v>5.0</v>
      </c>
      <c r="F897" s="10" t="str">
        <f>IFERROR(__xludf.DUMMYFUNCTION("LOWER(REGEXREPLACE(B897&amp;"" ""&amp;C897,""[^а-яa-z0-9 ]"","" ""))"),"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образоват"&amp;"ельной деятельности   атериалы безопасные  легко очищаемые ")</f>
        <v>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образовательной деятельности   атериалы безопасные  легко очищаемые </v>
      </c>
      <c r="G897" s="10" t="str">
        <f>IFERROR(__xludf.DUMMYFUNCTION("TEXTJOIN(""|"",TRUE,UNIQUE(FILTER(SPLIT(F897,"" ""),LEN(SPLIT(F897,"" ""))&gt;2)))"),"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amp;"атериалы|безопасные|легко|очищаемые")</f>
        <v>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атериалы|безопасные|легко|очищаемые</v>
      </c>
      <c r="I897" s="6"/>
      <c r="J897" s="6"/>
    </row>
    <row r="898">
      <c r="A898" s="12" t="s">
        <v>2553</v>
      </c>
      <c r="B898" s="7" t="s">
        <v>2554</v>
      </c>
      <c r="C898" s="7" t="s">
        <v>2555</v>
      </c>
      <c r="D898" s="8">
        <v>126000.0</v>
      </c>
      <c r="E898" s="9">
        <v>5.0</v>
      </c>
      <c r="F898" s="10" t="str">
        <f>IFERROR(__xludf.DUMMYFUNCTION("LOWER(REGEXREPLACE(B898&amp;"" ""&amp;C898,""[^а-яa-z0-9 ]"","" ""))"),"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f>
        <v>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v>
      </c>
      <c r="G898" s="10" t="str">
        <f>IFERROR(__xludf.DUMMYFUNCTION("TEXTJOIN(""|"",TRUE,UNIQUE(FILTER(SPLIT(F898,"" ""),LEN(SPLIT(F898,"" ""))&gt;2)))"),"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f>
        <v>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v>
      </c>
      <c r="I898" s="6"/>
      <c r="J898" s="6"/>
    </row>
    <row r="899">
      <c r="A899" s="12" t="s">
        <v>2556</v>
      </c>
      <c r="B899" s="7" t="s">
        <v>2557</v>
      </c>
      <c r="C899" s="14" t="s">
        <v>2558</v>
      </c>
      <c r="D899" s="8">
        <v>326250.0</v>
      </c>
      <c r="E899" s="9">
        <v>13.0</v>
      </c>
      <c r="F899" s="10" t="str">
        <f>IFERROR(__xludf.DUMMYFUNCTION("LOWER(REGEXREPLACE(B899&amp;"" ""&amp;C899,""[^а-яa-z0-9 ]"","" ""))")," умба для кухонного гарнитура с полкой  тол тумба купе       8 6     800 600 850 870 мм ")</f>
        <v> умба для кухонного гарнитура с полкой  тол тумба купе       8 6     800 600 850 870 мм </v>
      </c>
      <c r="G899" s="10" t="str">
        <f>IFERROR(__xludf.DUMMYFUNCTION("TEXTJOIN(""|"",TRUE,UNIQUE(FILTER(SPLIT(F899,"" ""),LEN(SPLIT(F899,"" ""))&gt;2)))"),"умба|для|кухонного|гарнитура|полкой|тол|тумба|купе|800|600|850|870")</f>
        <v>умба|для|кухонного|гарнитура|полкой|тол|тумба|купе|800|600|850|870</v>
      </c>
      <c r="I899" s="6"/>
      <c r="J899" s="6"/>
    </row>
    <row r="900">
      <c r="A900" s="12" t="s">
        <v>2559</v>
      </c>
      <c r="B900" s="7" t="s">
        <v>2560</v>
      </c>
      <c r="C900" s="7" t="s">
        <v>2561</v>
      </c>
      <c r="D900" s="8">
        <v>20500.0</v>
      </c>
      <c r="E900" s="9">
        <v>76.0</v>
      </c>
      <c r="F900" s="10" t="str">
        <f>IFERROR(__xludf.DUMMYFUNCTION("LOWER(REGEXREPLACE(B900&amp;"" ""&amp;C900,""[^а-яa-z0-9 ]"","" ""))"),"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f>
        <v>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v>
      </c>
      <c r="G900" s="10" t="str">
        <f>IFERROR(__xludf.DUMMYFUNCTION("TEXTJOIN(""|"",TRUE,UNIQUE(FILTER(SPLIT(F900,"" ""),LEN(SPLIT(F900,"" ""))&gt;2)))"),"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f>
        <v>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v>
      </c>
      <c r="I900" s="6"/>
      <c r="J900" s="6"/>
    </row>
    <row r="901">
      <c r="A901" s="12" t="s">
        <v>2562</v>
      </c>
      <c r="B901" s="7" t="s">
        <v>2563</v>
      </c>
      <c r="C901" s="7" t="s">
        <v>2564</v>
      </c>
      <c r="D901" s="8">
        <v>6600.0</v>
      </c>
      <c r="E901" s="9">
        <v>1.0</v>
      </c>
      <c r="F901" s="10" t="str">
        <f>IFERROR(__xludf.DUMMYFUNCTION("LOWER(REGEXREPLACE(B901&amp;"" ""&amp;C901,""[^а-яa-z0-9 ]"","" ""))"),"  н ыштар     м сбаев")</f>
        <v>  н ыштар     м сбаев</v>
      </c>
      <c r="G901" s="10" t="str">
        <f>IFERROR(__xludf.DUMMYFUNCTION("TEXTJOIN(""|"",TRUE,UNIQUE(FILTER(SPLIT(F901,"" ""),LEN(SPLIT(F901,"" ""))&gt;2)))"),"ыштар|сбаев")</f>
        <v>ыштар|сбаев</v>
      </c>
      <c r="I901" s="6"/>
      <c r="J901" s="6"/>
    </row>
    <row r="902">
      <c r="A902" s="12" t="s">
        <v>2565</v>
      </c>
      <c r="B902" s="7" t="s">
        <v>2566</v>
      </c>
      <c r="C902" s="7"/>
      <c r="D902" s="8">
        <v>900.0</v>
      </c>
      <c r="E902" s="9">
        <v>1.0</v>
      </c>
      <c r="F902" s="10" t="str">
        <f>IFERROR(__xludf.DUMMYFUNCTION("LOWER(REGEXREPLACE(B902&amp;"" ""&amp;C902,""[^а-яa-z0-9 ]"","" ""))"),"  румен кей пкерлермен б рге о ып    йренем з   артоп мырза  ")</f>
        <v>  румен кей пкерлермен б рге о ып    йренем з   артоп мырза  </v>
      </c>
      <c r="G902" s="10" t="str">
        <f>IFERROR(__xludf.DUMMYFUNCTION("TEXTJOIN(""|"",TRUE,UNIQUE(FILTER(SPLIT(F902,"" ""),LEN(SPLIT(F902,"" ""))&gt;2)))"),"румен|кей|пкерлермен|рге|йренем|артоп|мырза")</f>
        <v>румен|кей|пкерлермен|рге|йренем|артоп|мырза</v>
      </c>
      <c r="I902" s="6"/>
      <c r="J902" s="6"/>
    </row>
    <row r="903">
      <c r="A903" s="12" t="s">
        <v>2567</v>
      </c>
      <c r="B903" s="7" t="s">
        <v>2568</v>
      </c>
      <c r="C903" s="7" t="s">
        <v>2569</v>
      </c>
      <c r="D903" s="8">
        <v>102600.0</v>
      </c>
      <c r="E903" s="9">
        <v>8.0</v>
      </c>
      <c r="F903" s="10" t="str">
        <f>IFERROR(__xludf.DUMMYFUNCTION("LOWER(REGEXREPLACE(B903&amp;"" ""&amp;C903,""[^а-яa-z0-9 ]"","" ""))"),"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спо"&amp;"льзуется детьми с раннего возраста ")</f>
        <v>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спользуется детьми с раннего возраста </v>
      </c>
      <c r="G903" s="10" t="str">
        <f>IFERROR(__xludf.DUMMYFUNCTION("TEXTJOIN(""|"",TRUE,UNIQUE(FILTER(SPLIT(F903,"" ""),LEN(SPLIT(F903,"" ""))&gt;2)))"),"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amp;"раста")</f>
        <v>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раста</v>
      </c>
      <c r="I903" s="6"/>
      <c r="J903" s="6"/>
    </row>
    <row r="904">
      <c r="A904" s="12" t="s">
        <v>2570</v>
      </c>
      <c r="B904" s="7" t="s">
        <v>2571</v>
      </c>
      <c r="C904" s="7" t="s">
        <v>2572</v>
      </c>
      <c r="D904" s="8">
        <v>361000.0</v>
      </c>
      <c r="E904" s="9">
        <v>1.0</v>
      </c>
      <c r="F904" s="10" t="str">
        <f>IFERROR(__xludf.DUMMYFUNCTION("LOWER(REGEXREPLACE(B904&amp;"" ""&amp;C904,""[^а-яa-z0-9 ]"","" ""))"),"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f>
        <v>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v>
      </c>
      <c r="G904" s="10" t="str">
        <f>IFERROR(__xludf.DUMMYFUNCTION("TEXTJOIN(""|"",TRUE,UNIQUE(FILTER(SPLIT(F904,"" ""),LEN(SPLIT(F904,"" ""))&gt;2)))"),"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f>
        <v>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v>
      </c>
      <c r="I904" s="6"/>
      <c r="J904" s="6"/>
    </row>
    <row r="905">
      <c r="A905" s="12" t="s">
        <v>2573</v>
      </c>
      <c r="B905" s="7" t="s">
        <v>2574</v>
      </c>
      <c r="C905" s="7" t="s">
        <v>2575</v>
      </c>
      <c r="D905" s="8">
        <v>475000.0</v>
      </c>
      <c r="E905" s="9">
        <v>12.0</v>
      </c>
      <c r="F905" s="10" t="str">
        <f>IFERROR(__xludf.DUMMYFUNCTION("LOWER(REGEXREPLACE(B905&amp;"" ""&amp;C905,""[^а-яa-z0-9 ]"","" ""))"),"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f>
        <v>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v>
      </c>
      <c r="G905" s="10" t="str">
        <f>IFERROR(__xludf.DUMMYFUNCTION("TEXTJOIN(""|"",TRUE,UNIQUE(FILTER(SPLIT(F905,"" ""),LEN(SPLIT(F905,"" ""))&gt;2)))"),"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f>
        <v>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v>
      </c>
      <c r="I905" s="6"/>
      <c r="J905" s="6"/>
    </row>
    <row r="906">
      <c r="A906" s="12" t="s">
        <v>2576</v>
      </c>
      <c r="B906" s="7" t="s">
        <v>2577</v>
      </c>
      <c r="C906" s="7" t="s">
        <v>2578</v>
      </c>
      <c r="D906" s="8">
        <v>5400.0</v>
      </c>
      <c r="E906" s="9">
        <v>7.0</v>
      </c>
      <c r="F906" s="10" t="str">
        <f>IFERROR(__xludf.DUMMYFUNCTION("LOWER(REGEXREPLACE(B906&amp;"" ""&amp;C906,""[^а-яa-z0-9 ]"","" ""))"),"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младшег"&amp;"о школьного возраста ")</f>
        <v>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младшего школьного возраста </v>
      </c>
      <c r="G906" s="10" t="str">
        <f>IFERROR(__xludf.DUMMYFUNCTION("TEXTJOIN(""|"",TRUE,UNIQUE(FILTER(SPLIT(F906,"" ""),LEN(SPLIT(F906,"" ""))&gt;2)))"),"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f>
        <v>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v>
      </c>
      <c r="I906" s="6"/>
      <c r="J906" s="6"/>
    </row>
    <row r="907">
      <c r="A907" s="12" t="s">
        <v>2579</v>
      </c>
      <c r="B907" s="7" t="s">
        <v>2580</v>
      </c>
      <c r="C907" s="7" t="s">
        <v>2581</v>
      </c>
      <c r="D907" s="8">
        <v>6100.0</v>
      </c>
      <c r="E907" s="9">
        <v>5.0</v>
      </c>
      <c r="F907" s="10" t="str">
        <f>IFERROR(__xludf.DUMMYFUNCTION("LOWER(REGEXREPLACE(B907&amp;"" ""&amp;C907,""[^а-яa-z0-9 ]"","" ""))"),"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"&amp;"нагрузку при упражнениях  способствуют развитию силы  выносливости  координации движений и общей физической активности детей ")</f>
        <v>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 </v>
      </c>
      <c r="G907" s="10" t="str">
        <f>IFERROR(__xludf.DUMMYFUNCTION("TEXTJOIN(""|"",TRUE,UNIQUE(FILTER(SPLIT(F907,"" ""),LEN(SPLIT(F907,"" ""))&gt;2)))"),"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amp;"азвитию|силы|выносливости|координации|движений|общей|физической|активности|детей")</f>
        <v>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азвитию|силы|выносливости|координации|движений|общей|физической|активности|детей</v>
      </c>
      <c r="I907" s="6"/>
      <c r="J907" s="6"/>
    </row>
    <row r="908">
      <c r="A908" s="12" t="s">
        <v>2582</v>
      </c>
      <c r="B908" s="7" t="s">
        <v>2583</v>
      </c>
      <c r="C908" s="7" t="s">
        <v>2584</v>
      </c>
      <c r="D908" s="8">
        <v>37400.0</v>
      </c>
      <c r="E908" s="9">
        <v>5.0</v>
      </c>
      <c r="F908" s="10" t="str">
        <f>IFERROR(__xludf.DUMMYFUNCTION("LOWER(REGEXREPLACE(B908&amp;"" ""&amp;C908,""[^а-яa-z0-9 ]"","" ""))"),"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100"&amp;"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принадле"&amp;"жности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"&amp;"исследованию  развитию наблюдательности и умения сравнивать признаки объектов ")</f>
        <v>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исследованию  развитию наблюдательности и умения сравнивать признаки объектов </v>
      </c>
      <c r="G908" s="10" t="str">
        <f>IFERROR(__xludf.DUMMYFUNCTION("TEXTJOIN(""|"",TRUE,UNIQUE(FILTER(SPLIT(F908,"" ""),LEN(SPLIT(F908,"" ""))&gt;2)))"),"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amp;"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amp;"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amp;"|признаки|объектов")</f>
        <v>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признаки|объектов</v>
      </c>
      <c r="I908" s="6"/>
      <c r="J908" s="6"/>
    </row>
    <row r="909">
      <c r="A909" s="12" t="s">
        <v>2585</v>
      </c>
      <c r="B909" s="7" t="s">
        <v>2586</v>
      </c>
      <c r="C909" s="7"/>
      <c r="D909" s="8">
        <v>900.0</v>
      </c>
      <c r="E909" s="9">
        <v>6.0</v>
      </c>
      <c r="F909" s="10" t="str">
        <f>IFERROR(__xludf.DUMMYFUNCTION("LOWER(REGEXREPLACE(B909&amp;"" ""&amp;C909,""[^а-яa-z0-9 ]"","" ""))")," чимся вместе с героями   витаминами   алышка  лубника  ")</f>
        <v> чимся вместе с героями   витаминами   алышка  лубника  </v>
      </c>
      <c r="G909" s="10" t="str">
        <f>IFERROR(__xludf.DUMMYFUNCTION("TEXTJOIN(""|"",TRUE,UNIQUE(FILTER(SPLIT(F909,"" ""),LEN(SPLIT(F909,"" ""))&gt;2)))"),"чимся|вместе|героями|витаминами|алышка|лубника")</f>
        <v>чимся|вместе|героями|витаминами|алышка|лубника</v>
      </c>
      <c r="I909" s="6"/>
      <c r="J909" s="6"/>
    </row>
    <row r="910">
      <c r="A910" s="12" t="s">
        <v>2587</v>
      </c>
      <c r="B910" s="7" t="s">
        <v>2588</v>
      </c>
      <c r="C910" s="7"/>
      <c r="D910" s="8">
        <v>900.0</v>
      </c>
      <c r="E910" s="9">
        <v>6.0</v>
      </c>
      <c r="F910" s="10" t="str">
        <f>IFERROR(__xludf.DUMMYFUNCTION("LOWER(REGEXREPLACE(B910&amp;"" ""&amp;C910,""[^а-яa-z0-9 ]"","" ""))")," чимся вместе с героями   витаминами   исс  орковка  ")</f>
        <v> чимся вместе с героями   витаминами   исс  орковка  </v>
      </c>
      <c r="G910" s="10" t="str">
        <f>IFERROR(__xludf.DUMMYFUNCTION("TEXTJOIN(""|"",TRUE,UNIQUE(FILTER(SPLIT(F910,"" ""),LEN(SPLIT(F910,"" ""))&gt;2)))"),"чимся|вместе|героями|витаминами|исс|орковка")</f>
        <v>чимся|вместе|героями|витаминами|исс|орковка</v>
      </c>
      <c r="I910" s="6"/>
      <c r="J910" s="6"/>
    </row>
    <row r="911">
      <c r="A911" s="12" t="s">
        <v>2589</v>
      </c>
      <c r="B911" s="7" t="s">
        <v>2590</v>
      </c>
      <c r="C911" s="7"/>
      <c r="D911" s="8">
        <v>900.0</v>
      </c>
      <c r="E911" s="9">
        <v>6.0</v>
      </c>
      <c r="F911" s="10" t="str">
        <f>IFERROR(__xludf.DUMMYFUNCTION("LOWER(REGEXREPLACE(B911&amp;"" ""&amp;C911,""[^а-яa-z0-9 ]"","" ""))")," чимся вместе с героями   витаминами   истер  артофель  ")</f>
        <v> чимся вместе с героями   витаминами   истер  артофель  </v>
      </c>
      <c r="G911" s="10" t="str">
        <f>IFERROR(__xludf.DUMMYFUNCTION("TEXTJOIN(""|"",TRUE,UNIQUE(FILTER(SPLIT(F911,"" ""),LEN(SPLIT(F911,"" ""))&gt;2)))"),"чимся|вместе|героями|витаминами|истер|артофель")</f>
        <v>чимся|вместе|героями|витаминами|истер|артофель</v>
      </c>
      <c r="I911" s="6"/>
      <c r="J911" s="6"/>
    </row>
    <row r="912">
      <c r="A912" s="12" t="s">
        <v>2591</v>
      </c>
      <c r="B912" s="7" t="s">
        <v>2592</v>
      </c>
      <c r="C912" s="7"/>
      <c r="D912" s="8">
        <v>900.0</v>
      </c>
      <c r="E912" s="9">
        <v>6.0</v>
      </c>
      <c r="F912" s="10" t="str">
        <f>IFERROR(__xludf.DUMMYFUNCTION("LOWER(REGEXREPLACE(B912&amp;"" ""&amp;C912,""[^а-яa-z0-9 ]"","" ""))")," чимся вместе с героями   витаминами   истер  блоко  ")</f>
        <v> чимся вместе с героями   витаминами   истер  блоко  </v>
      </c>
      <c r="G912" s="10" t="str">
        <f>IFERROR(__xludf.DUMMYFUNCTION("TEXTJOIN(""|"",TRUE,UNIQUE(FILTER(SPLIT(F912,"" ""),LEN(SPLIT(F912,"" ""))&gt;2)))"),"чимся|вместе|героями|витаминами|истер|блоко")</f>
        <v>чимся|вместе|героями|витаминами|истер|блоко</v>
      </c>
      <c r="I912" s="6"/>
      <c r="J912" s="6"/>
    </row>
    <row r="913">
      <c r="A913" s="12" t="s">
        <v>2593</v>
      </c>
      <c r="B913" s="7" t="s">
        <v>2594</v>
      </c>
      <c r="C913" s="7" t="s">
        <v>2595</v>
      </c>
      <c r="D913" s="8">
        <v>28700.0</v>
      </c>
      <c r="E913" s="9">
        <v>5.0</v>
      </c>
      <c r="F913" s="10" t="str">
        <f>IFERROR(__xludf.DUMMYFUNCTION("LOWER(REGEXREPLACE(B913&amp;"" ""&amp;C913,""[^а-яa-z0-9 ]"","" ""))"),"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опора"&amp;"х со стопорами   ожет использоваться как перегородка или элемент игрового пространства   абариты стенда   не менее 1000 480 1420 мм ")</f>
        <v>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опорах со стопорами   ожет использоваться как перегородка или элемент игрового пространства   абариты стенда   не менее 1000 480 1420 мм </v>
      </c>
      <c r="G913" s="10" t="str">
        <f>IFERROR(__xludf.DUMMYFUNCTION("TEXTJOIN(""|"",TRUE,UNIQUE(FILTER(SPLIT(F913,"" ""),LEN(SPLIT(F913,"" ""))&gt;2)))"),"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amp;"спользоваться|как|перегородка|или|элемент|игрового|пространства|абариты|стенда|менее|1000|480|1420")</f>
        <v>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спользоваться|как|перегородка|или|элемент|игрового|пространства|абариты|стенда|менее|1000|480|1420</v>
      </c>
      <c r="I913" s="6"/>
      <c r="J913" s="6"/>
    </row>
    <row r="914">
      <c r="A914" s="12" t="s">
        <v>2596</v>
      </c>
      <c r="B914" s="7" t="s">
        <v>2597</v>
      </c>
      <c r="C914" s="7" t="s">
        <v>2598</v>
      </c>
      <c r="D914" s="8">
        <v>3500.0</v>
      </c>
      <c r="E914" s="9">
        <v>13.0</v>
      </c>
      <c r="F914" s="10" t="str">
        <f>IFERROR(__xludf.DUMMYFUNCTION("LOWER(REGEXREPLACE(B914&amp;"" ""&amp;C914,""[^а-яa-z0-9 ]"","" ""))"),"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инди"&amp;"видуальной и групповой работы с детьми дошкольного возраста ")</f>
        <v>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индивидуальной и групповой работы с детьми дошкольного возраста </v>
      </c>
      <c r="G914" s="10" t="str">
        <f>IFERROR(__xludf.DUMMYFUNCTION("TEXTJOIN(""|"",TRUE,UNIQUE(FILTER(SPLIT(F914,"" ""),LEN(SPLIT(F914,"" ""))&gt;2)))"),"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amp;"етьми|дошкольного|возраста")</f>
        <v>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етьми|дошкольного|возраста</v>
      </c>
      <c r="I914" s="6"/>
      <c r="J914" s="6"/>
    </row>
    <row r="915">
      <c r="A915" s="12" t="s">
        <v>2599</v>
      </c>
      <c r="B915" s="7" t="s">
        <v>2600</v>
      </c>
      <c r="C915" s="7" t="s">
        <v>2601</v>
      </c>
      <c r="D915" s="8">
        <v>3600.0</v>
      </c>
      <c r="E915" s="9">
        <v>1.0</v>
      </c>
      <c r="F915" s="10" t="str">
        <f>IFERROR(__xludf.DUMMYFUNCTION("LOWER(REGEXREPLACE(B915&amp;"" ""&amp;C915,""[^а-яa-z0-9 ]"","" ""))")," лы  скенд р   лександр  еликий   lexander the  reat  каз   рус   англ яз      ингхэм  перевод  ужикова      ернебекова    ")</f>
        <v> лы  скенд р   лександр  еликий   lexander the  reat  каз   рус   англ яз      ингхэм  перевод  ужикова      ернебекова    </v>
      </c>
      <c r="G915" s="10" t="str">
        <f>IFERROR(__xludf.DUMMYFUNCTION("TEXTJOIN(""|"",TRUE,UNIQUE(FILTER(SPLIT(F915,"" ""),LEN(SPLIT(F915,"" ""))&gt;2)))"),"скенд|лександр|еликий|lexander|the|reat|каз|рус|англ|ингхэм|перевод|ужикова|ернебекова")</f>
        <v>скенд|лександр|еликий|lexander|the|reat|каз|рус|англ|ингхэм|перевод|ужикова|ернебекова</v>
      </c>
      <c r="I915" s="6"/>
      <c r="J915" s="6"/>
    </row>
    <row r="916">
      <c r="A916" s="12" t="s">
        <v>2602</v>
      </c>
      <c r="B916" s="7" t="s">
        <v>2603</v>
      </c>
      <c r="C916" s="7" t="s">
        <v>2604</v>
      </c>
      <c r="D916" s="8">
        <v>21900.0</v>
      </c>
      <c r="E916" s="9">
        <v>1.0</v>
      </c>
      <c r="F916" s="10" t="str">
        <f>IFERROR(__xludf.DUMMYFUNCTION("LOWER(REGEXREPLACE(B916&amp;"" ""&amp;C916,""[^а-яa-z0-9 ]"","" ""))")," лы   бек жолы   еликий  елковый путь   he  reat  ilk  oad  каз   рус   англ яз    амраимов   ")</f>
        <v> лы   бек жолы   еликий  елковый путь   he  reat  ilk  oad  каз   рус   англ яз    амраимов   </v>
      </c>
      <c r="G916" s="10" t="str">
        <f>IFERROR(__xludf.DUMMYFUNCTION("TEXTJOIN(""|"",TRUE,UNIQUE(FILTER(SPLIT(F916,"" ""),LEN(SPLIT(F916,"" ""))&gt;2)))"),"бек|жолы|еликий|елковый|путь|reat|ilk|oad|каз|рус|англ|амраимов")</f>
        <v>бек|жолы|еликий|елковый|путь|reat|ilk|oad|каз|рус|англ|амраимов</v>
      </c>
      <c r="I916" s="6"/>
      <c r="J916" s="6"/>
    </row>
    <row r="917">
      <c r="A917" s="12" t="s">
        <v>2605</v>
      </c>
      <c r="B917" s="7" t="s">
        <v>2606</v>
      </c>
      <c r="C917" s="7" t="s">
        <v>2607</v>
      </c>
      <c r="D917" s="8">
        <v>5400.0</v>
      </c>
      <c r="E917" s="9">
        <v>25.0</v>
      </c>
      <c r="F917" s="10" t="str">
        <f>IFERROR(__xludf.DUMMYFUNCTION("LOWER(REGEXREPLACE(B917&amp;"" ""&amp;C917,""[^а-яa-z0-9 ]"","" ""))"),"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f>
        <v>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v>
      </c>
      <c r="G917" s="10" t="str">
        <f>IFERROR(__xludf.DUMMYFUNCTION("TEXTJOIN(""|"",TRUE,UNIQUE(FILTER(SPLIT(F917,"" ""),LEN(SPLIT(F917,"" ""))&gt;2)))"),"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f>
        <v>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v>
      </c>
      <c r="I917" s="6"/>
      <c r="J917" s="6"/>
    </row>
    <row r="918">
      <c r="A918" s="12" t="s">
        <v>2608</v>
      </c>
      <c r="B918" s="7" t="s">
        <v>2609</v>
      </c>
      <c r="C918" s="7" t="s">
        <v>2610</v>
      </c>
      <c r="D918" s="8">
        <v>3100.0</v>
      </c>
      <c r="E918" s="9">
        <v>10.0</v>
      </c>
      <c r="F918" s="10" t="str">
        <f>IFERROR(__xludf.DUMMYFUNCTION("LOWER(REGEXREPLACE(B918&amp;"" ""&amp;C918,""[^а-яa-z0-9 ]"","" ""))"),"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регулируе"&amp;"мых ремней    комплект входят нарукавники из плащевой ткани с резинками   азмер фартука   51 44 см  нарукавников   11 25 см ")</f>
        <v>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регулируемых ремней    комплект входят нарукавники из плащевой ткани с резинками   азмер фартука   51 44 см  нарукавников   11 25 см </v>
      </c>
      <c r="G918" s="10" t="str">
        <f>IFERROR(__xludf.DUMMYFUNCTION("TEXTJOIN(""|"",TRUE,UNIQUE(FILTER(SPLIT(F918,"" ""),LEN(SPLIT(F918,"" ""))&gt;2)))"),"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amp;"укавники|плащевой|ткани|резинками|азмер|фартука|нарукавников")</f>
        <v>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укавники|плащевой|ткани|резинками|азмер|фартука|нарукавников</v>
      </c>
      <c r="I918" s="6"/>
      <c r="J918" s="6"/>
    </row>
    <row r="919">
      <c r="A919" s="12" t="s">
        <v>2611</v>
      </c>
      <c r="B919" s="7" t="s">
        <v>2612</v>
      </c>
      <c r="C919" s="7" t="s">
        <v>2613</v>
      </c>
      <c r="D919" s="8">
        <v>3800.0</v>
      </c>
      <c r="E919" s="9">
        <v>16.0</v>
      </c>
      <c r="F919" s="10" t="str">
        <f>IFERROR(__xludf.DUMMYFUNCTION("LOWER(REGEXREPLACE(B919&amp;"" ""&amp;C919,""[^а-яa-z0-9 ]"","" ""))"),"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f>
        <v>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v>
      </c>
      <c r="G919" s="10" t="str">
        <f>IFERROR(__xludf.DUMMYFUNCTION("TEXTJOIN(""|"",TRUE,UNIQUE(FILTER(SPLIT(F919,"" ""),LEN(SPLIT(F919,"" ""))&gt;2)))"),"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f>
        <v>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v>
      </c>
      <c r="I919" s="6"/>
      <c r="J919" s="6"/>
    </row>
    <row r="920">
      <c r="A920" s="12" t="s">
        <v>2614</v>
      </c>
      <c r="B920" s="7" t="s">
        <v>2615</v>
      </c>
      <c r="C920" s="7" t="s">
        <v>2616</v>
      </c>
      <c r="D920" s="8">
        <v>760000.0</v>
      </c>
      <c r="E920" s="9">
        <v>1.0</v>
      </c>
      <c r="F920" s="10" t="str">
        <f>IFERROR(__xludf.DUMMYFUNCTION("LOWER(REGEXREPLACE(B920&amp;"" ""&amp;C920,""[^а-яa-z0-9 ]"","" ""))"),"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разгр"&amp;"узки детей   азмер 1200 900 800 мм   атериалы  винилискожа  пенополиуретан  карпет ")</f>
        <v>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разгрузки детей   азмер 1200 900 800 мм   атериалы  винилискожа  пенополиуретан  карпет </v>
      </c>
      <c r="G920" s="10" t="str">
        <f>IFERROR(__xludf.DUMMYFUNCTION("TEXTJOIN(""|"",TRUE,UNIQUE(FILTER(SPLIT(F920,"" ""),LEN(SPLIT(F920,"" ""))&gt;2)))"),"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amp;"|800|атериалы|винилискожа|пенополиуретан|карпет")</f>
        <v>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800|атериалы|винилискожа|пенополиуретан|карпет</v>
      </c>
      <c r="I920" s="6"/>
      <c r="J920" s="6"/>
    </row>
    <row r="921">
      <c r="A921" s="12" t="s">
        <v>2617</v>
      </c>
      <c r="B921" s="7" t="s">
        <v>2618</v>
      </c>
      <c r="C921" s="7" t="s">
        <v>2619</v>
      </c>
      <c r="D921" s="8">
        <v>52000.0</v>
      </c>
      <c r="E921" s="9">
        <v>2.0</v>
      </c>
      <c r="F921" s="10" t="str">
        <f>IFERROR(__xludf.DUMMYFUNCTION("LOWER(REGEXREPLACE(B921&amp;"" ""&amp;C921,""[^а-яa-z0-9 ]"","" ""))"),"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к"&amp;"рая закругл нные ")</f>
        <v>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края закругл нные </v>
      </c>
      <c r="G921" s="10" t="str">
        <f>IFERROR(__xludf.DUMMYFUNCTION("TEXTJOIN(""|"",TRUE,UNIQUE(FILTER(SPLIT(F921,"" ""),LEN(SPLIT(F921,"" ""))&gt;2)))"),"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f>
        <v>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v>
      </c>
      <c r="I921" s="6"/>
      <c r="J921" s="6"/>
    </row>
    <row r="922">
      <c r="A922" s="12" t="s">
        <v>2620</v>
      </c>
      <c r="B922" s="7" t="s">
        <v>2621</v>
      </c>
      <c r="C922" s="7" t="s">
        <v>2622</v>
      </c>
      <c r="D922" s="8">
        <v>9600.0</v>
      </c>
      <c r="E922" s="9">
        <v>5.0</v>
      </c>
      <c r="F922" s="10" t="str">
        <f>IFERROR(__xludf.DUMMYFUNCTION("LOWER(REGEXREPLACE(B922&amp;"" ""&amp;C922,""[^а-яa-z0-9 ]"","" ""))"),"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индивидуаль"&amp;"ной и групповой работе ")</f>
        <v>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индивидуальной и групповой работе </v>
      </c>
      <c r="G922" s="10" t="str">
        <f>IFERROR(__xludf.DUMMYFUNCTION("TEXTJOIN(""|"",TRUE,UNIQUE(FILTER(SPLIT(F922,"" ""),LEN(SPLIT(F922,"" ""))&gt;2)))"),"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amp;"работе")</f>
        <v>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работе</v>
      </c>
      <c r="I922" s="6"/>
      <c r="J922" s="6"/>
    </row>
    <row r="923">
      <c r="A923" s="12" t="s">
        <v>2623</v>
      </c>
      <c r="B923" s="7" t="s">
        <v>2624</v>
      </c>
      <c r="C923" s="7" t="s">
        <v>2625</v>
      </c>
      <c r="D923" s="8">
        <v>15000.0</v>
      </c>
      <c r="E923" s="9">
        <v>1.0</v>
      </c>
      <c r="F923" s="10" t="str">
        <f>IFERROR(__xludf.DUMMYFUNCTION("LOWER(REGEXREPLACE(B923&amp;"" ""&amp;C923,""[^а-яa-z0-9 ]"","" ""))")," изика    ай  р  же  л под ред      орган  перевод  усатай    ")</f>
        <v> изика    ай  р  же  л под ред      орган  перевод  усатай    </v>
      </c>
      <c r="G923" s="10" t="str">
        <f>IFERROR(__xludf.DUMMYFUNCTION("TEXTJOIN(""|"",TRUE,UNIQUE(FILTER(SPLIT(F923,"" ""),LEN(SPLIT(F923,"" ""))&gt;2)))"),"изика|под|ред|орган|перевод|усатай")</f>
        <v>изика|под|ред|орган|перевод|усатай</v>
      </c>
      <c r="I923" s="6"/>
      <c r="J923" s="6"/>
    </row>
    <row r="924">
      <c r="A924" s="12" t="s">
        <v>2626</v>
      </c>
      <c r="B924" s="7" t="s">
        <v>2627</v>
      </c>
      <c r="C924" s="7" t="s">
        <v>2628</v>
      </c>
      <c r="D924" s="8">
        <v>102600.0</v>
      </c>
      <c r="E924" s="9">
        <v>5.0</v>
      </c>
      <c r="F924" s="10" t="str">
        <f>IFERROR(__xludf.DUMMYFUNCTION("LOWER(REGEXREPLACE(B924&amp;"" ""&amp;C924,""[^а-яa-z0-9 ]"","" ""))"),"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f>
        <v>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v>
      </c>
      <c r="G924" s="10" t="str">
        <f>IFERROR(__xludf.DUMMYFUNCTION("TEXTJOIN(""|"",TRUE,UNIQUE(FILTER(SPLIT(F924,"" ""),LEN(SPLIT(F924,"" ""))&gt;2)))"),"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f>
        <v>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v>
      </c>
      <c r="I924" s="6"/>
      <c r="J924" s="6"/>
    </row>
    <row r="925">
      <c r="A925" s="12" t="s">
        <v>2629</v>
      </c>
      <c r="B925" s="7" t="s">
        <v>2630</v>
      </c>
      <c r="C925" s="7" t="s">
        <v>2631</v>
      </c>
      <c r="D925" s="8">
        <v>15000.0</v>
      </c>
      <c r="E925" s="9">
        <v>1.0</v>
      </c>
      <c r="F925" s="10" t="str">
        <f>IFERROR(__xludf.DUMMYFUNCTION("LOWER(REGEXREPLACE(B925&amp;"" ""&amp;C925,""[^а-яa-z0-9 ]"","" ""))")," изика   росто и легко под ред      орган  перевод  едрук      ")</f>
        <v> изика   росто и легко под ред      орган  перевод  едрук      </v>
      </c>
      <c r="G925" s="10" t="str">
        <f>IFERROR(__xludf.DUMMYFUNCTION("TEXTJOIN(""|"",TRUE,UNIQUE(FILTER(SPLIT(F925,"" ""),LEN(SPLIT(F925,"" ""))&gt;2)))"),"изика|росто|легко|под|ред|орган|перевод|едрук")</f>
        <v>изика|росто|легко|под|ред|орган|перевод|едрук</v>
      </c>
      <c r="I925" s="6"/>
      <c r="J925" s="6"/>
    </row>
    <row r="926">
      <c r="A926" s="12" t="s">
        <v>2632</v>
      </c>
      <c r="B926" s="7" t="s">
        <v>2633</v>
      </c>
      <c r="C926" s="7" t="s">
        <v>2634</v>
      </c>
      <c r="D926" s="8">
        <v>5400.0</v>
      </c>
      <c r="E926" s="9">
        <v>1.0</v>
      </c>
      <c r="F926" s="10" t="str">
        <f>IFERROR(__xludf.DUMMYFUNCTION("LOWER(REGEXREPLACE(B926&amp;"" ""&amp;C926,""[^а-яa-z0-9 ]"","" ""))"),"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f>
        <v>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v>
      </c>
      <c r="G926" s="10" t="str">
        <f>IFERROR(__xludf.DUMMYFUNCTION("TEXTJOIN(""|"",TRUE,UNIQUE(FILTER(SPLIT(F926,"" ""),LEN(SPLIT(F926,"" ""))&gt;2)))"),"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f>
        <v>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v>
      </c>
      <c r="I926" s="6"/>
      <c r="J926" s="6"/>
    </row>
    <row r="927">
      <c r="A927" s="12" t="s">
        <v>2635</v>
      </c>
      <c r="B927" s="7" t="s">
        <v>2636</v>
      </c>
      <c r="C927" s="7" t="s">
        <v>2637</v>
      </c>
      <c r="D927" s="8">
        <v>68400.0</v>
      </c>
      <c r="E927" s="9">
        <v>5.0</v>
      </c>
      <c r="F927" s="10" t="str">
        <f>IFERROR(__xludf.DUMMYFUNCTION("LOWER(REGEXREPLACE(B927&amp;"" ""&amp;C927,""[^а-яa-z0-9 ]"","" ""))"),"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f>
        <v>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v>
      </c>
      <c r="G927" s="10" t="str">
        <f>IFERROR(__xludf.DUMMYFUNCTION("TEXTJOIN(""|"",TRUE,UNIQUE(FILTER(SPLIT(F927,"" ""),LEN(SPLIT(F927,"" ""))&gt;2)))"),"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f>
        <v>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v>
      </c>
      <c r="I927" s="6"/>
      <c r="J927" s="6"/>
    </row>
    <row r="928">
      <c r="A928" s="12" t="s">
        <v>2638</v>
      </c>
      <c r="B928" s="7" t="s">
        <v>2639</v>
      </c>
      <c r="C928" s="7" t="s">
        <v>2640</v>
      </c>
      <c r="D928" s="8">
        <v>7000.0</v>
      </c>
      <c r="E928" s="9">
        <v>21.0</v>
      </c>
      <c r="F928" s="10" t="str">
        <f>IFERROR(__xludf.DUMMYFUNCTION("LOWER(REGEXREPLACE(B928&amp;"" ""&amp;C928,""[^а-яa-z0-9 ]"","" ""))"),"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ра"&amp;"звитию координации движений  равновесия  силы и общей физической активности детей от 3 лет ")</f>
        <v>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 </v>
      </c>
      <c r="G928" s="10" t="str">
        <f>IFERROR(__xludf.DUMMYFUNCTION("TEXTJOIN(""|"",TRUE,UNIQUE(FILTER(SPLIT(F928,"" ""),LEN(SPLIT(F928,"" ""))&gt;2)))"),"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amp;"щей|физической|активности|детей|лет")</f>
        <v>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щей|физической|активности|детей|лет</v>
      </c>
      <c r="I928" s="6"/>
      <c r="J928" s="6"/>
    </row>
    <row r="929">
      <c r="A929" s="12" t="s">
        <v>2641</v>
      </c>
      <c r="B929" s="7" t="s">
        <v>2642</v>
      </c>
      <c r="C929" s="7" t="s">
        <v>2643</v>
      </c>
      <c r="D929" s="8">
        <v>1000.0</v>
      </c>
      <c r="E929" s="9">
        <v>25.0</v>
      </c>
      <c r="F929" s="10" t="str">
        <f>IFERROR(__xludf.DUMMYFUNCTION("LOWER(REGEXREPLACE(B929&amp;"" ""&amp;C929,""[^а-яa-z0-9 ]"","" ""))"),"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f>
        <v>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v>
      </c>
      <c r="G929" s="10" t="str">
        <f>IFERROR(__xludf.DUMMYFUNCTION("TEXTJOIN(""|"",TRUE,UNIQUE(FILTER(SPLIT(F929,"" ""),LEN(SPLIT(F929,"" ""))&gt;2)))"),"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f>
        <v>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v>
      </c>
      <c r="I929" s="6"/>
      <c r="J929" s="6"/>
    </row>
    <row r="930">
      <c r="A930" s="12" t="s">
        <v>2644</v>
      </c>
      <c r="B930" s="7" t="s">
        <v>2645</v>
      </c>
      <c r="C930" s="7" t="s">
        <v>2646</v>
      </c>
      <c r="D930" s="8">
        <v>1100.0</v>
      </c>
      <c r="E930" s="9">
        <v>10.0</v>
      </c>
      <c r="F930" s="10" t="str">
        <f>IFERROR(__xludf.DUMMYFUNCTION("LOWER(REGEXREPLACE(B930&amp;"" ""&amp;C930,""[^а-яa-z0-9 ]"","" ""))"),"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f>
        <v>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v>
      </c>
      <c r="G930" s="10" t="str">
        <f>IFERROR(__xludf.DUMMYFUNCTION("TEXTJOIN(""|"",TRUE,UNIQUE(FILTER(SPLIT(F930,"" ""),LEN(SPLIT(F930,"" ""))&gt;2)))"),"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f>
        <v>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v>
      </c>
      <c r="I930" s="6"/>
      <c r="J930" s="6"/>
    </row>
    <row r="931">
      <c r="A931" s="12" t="s">
        <v>2647</v>
      </c>
      <c r="B931" s="7" t="s">
        <v>2648</v>
      </c>
      <c r="C931" s="7" t="s">
        <v>2649</v>
      </c>
      <c r="D931" s="8">
        <v>13300.0</v>
      </c>
      <c r="E931" s="9">
        <v>1.0</v>
      </c>
      <c r="F931" s="10" t="str">
        <f>IFERROR(__xludf.DUMMYFUNCTION("LOWER(REGEXREPLACE(B931&amp;"" ""&amp;C931,""[^а-яa-z0-9 ]"","" ""))"),"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f>
        <v>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v>
      </c>
      <c r="G931" s="10" t="str">
        <f>IFERROR(__xludf.DUMMYFUNCTION("TEXTJOIN(""|"",TRUE,UNIQUE(FILTER(SPLIT(F931,"" ""),LEN(SPLIT(F931,"" ""))&gt;2)))"),"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f>
        <v>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v>
      </c>
      <c r="I931" s="6"/>
      <c r="J931" s="6"/>
    </row>
    <row r="932">
      <c r="A932" s="12" t="s">
        <v>2650</v>
      </c>
      <c r="B932" s="7" t="s">
        <v>2651</v>
      </c>
      <c r="C932" s="7" t="s">
        <v>2652</v>
      </c>
      <c r="D932" s="8">
        <v>44800.0</v>
      </c>
      <c r="E932" s="9">
        <v>7.0</v>
      </c>
      <c r="F932" s="10" t="str">
        <f>IFERROR(__xludf.DUMMYFUNCTION("LOWER(REGEXREPLACE(B932&amp;"" ""&amp;C932,""[^а-яa-z0-9 ]"","" ""))"),"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f>
        <v>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v>
      </c>
      <c r="G932" s="10" t="str">
        <f>IFERROR(__xludf.DUMMYFUNCTION("TEXTJOIN(""|"",TRUE,UNIQUE(FILTER(SPLIT(F932,"" ""),LEN(SPLIT(F932,"" ""))&gt;2)))"),"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f>
        <v>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v>
      </c>
      <c r="I932" s="6"/>
      <c r="J932" s="6"/>
    </row>
    <row r="933">
      <c r="A933" s="12" t="s">
        <v>2653</v>
      </c>
      <c r="B933" s="7" t="s">
        <v>2654</v>
      </c>
      <c r="C933" s="7" t="s">
        <v>2655</v>
      </c>
      <c r="D933" s="8">
        <v>44700.0</v>
      </c>
      <c r="E933" s="9">
        <v>8.0</v>
      </c>
      <c r="F933" s="10" t="str">
        <f>IFERROR(__xludf.DUMMYFUNCTION("LOWER(REGEXREPLACE(B933&amp;"" ""&amp;C933,""[^а-яa-z0-9 ]"","" ""))"),"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f>
        <v>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v>
      </c>
      <c r="G933" s="10" t="str">
        <f>IFERROR(__xludf.DUMMYFUNCTION("TEXTJOIN(""|"",TRUE,UNIQUE(FILTER(SPLIT(F933,"" ""),LEN(SPLIT(F933,"" ""))&gt;2)))"),"ланелеграф|идактическое|пособие|для|крепления|фигурок|карточек|фетра|спользуется|образовательной|деятельности|для|визуализации|учебного|материала")</f>
        <v>ланелеграф|идактическое|пособие|для|крепления|фигурок|карточек|фетра|спользуется|образовательной|деятельности|для|визуализации|учебного|материала</v>
      </c>
      <c r="I933" s="6"/>
      <c r="J933" s="6"/>
    </row>
    <row r="934">
      <c r="A934" s="12" t="s">
        <v>2656</v>
      </c>
      <c r="B934" s="7" t="s">
        <v>2657</v>
      </c>
      <c r="C934" s="7" t="s">
        <v>2658</v>
      </c>
      <c r="D934" s="8">
        <v>11400.0</v>
      </c>
      <c r="E934" s="9">
        <v>50.0</v>
      </c>
      <c r="F934" s="10" t="str">
        <f>IFERROR(__xludf.DUMMYFUNCTION("LOWER(REGEXREPLACE(B934&amp;"" ""&amp;C934,""[^а-яa-z0-9 ]"","" ""))"),"  ол ба дар    нтеллектум   гра предназначена для развития логического мышления посредством объединения дорог по знакам  ")</f>
        <v>  ол ба дар    нтеллектум   гра предназначена для развития логического мышления посредством объединения дорог по знакам  </v>
      </c>
      <c r="G934" s="10" t="str">
        <f>IFERROR(__xludf.DUMMYFUNCTION("TEXTJOIN(""|"",TRUE,UNIQUE(FILTER(SPLIT(F934,"" ""),LEN(SPLIT(F934,"" ""))&gt;2)))"),"дар|нтеллектум|гра|предназначена|для|развития|логического|мышления|посредством|объединения|дорог|знакам")</f>
        <v>дар|нтеллектум|гра|предназначена|для|развития|логического|мышления|посредством|объединения|дорог|знакам</v>
      </c>
      <c r="I934" s="6"/>
      <c r="J934" s="6"/>
    </row>
    <row r="935">
      <c r="A935" s="12" t="s">
        <v>2659</v>
      </c>
      <c r="B935" s="7" t="s">
        <v>2660</v>
      </c>
      <c r="C935" s="7" t="s">
        <v>2661</v>
      </c>
      <c r="D935" s="8">
        <v>27400.0</v>
      </c>
      <c r="E935" s="9">
        <v>5.0</v>
      </c>
      <c r="F935" s="10" t="str">
        <f>IFERROR(__xludf.DUMMYFUNCTION("LOWER(REGEXREPLACE(B935&amp;"" ""&amp;C935,""[^а-яa-z0-9 ]"","" ""))"),"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поме"&amp;"щениях ")</f>
        <v>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помещениях </v>
      </c>
      <c r="G935" s="10" t="str">
        <f>IFERROR(__xludf.DUMMYFUNCTION("TEXTJOIN(""|"",TRUE,UNIQUE(FILTER(SPLIT(F935,"" ""),LEN(SPLIT(F935,"" ""))&gt;2)))"),"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f>
        <v>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v>
      </c>
      <c r="I935" s="6"/>
      <c r="J935" s="6"/>
    </row>
    <row r="936">
      <c r="A936" s="12" t="s">
        <v>2662</v>
      </c>
      <c r="B936" s="7" t="s">
        <v>2663</v>
      </c>
      <c r="C936" s="7" t="s">
        <v>2664</v>
      </c>
      <c r="D936" s="8">
        <v>6900.0</v>
      </c>
      <c r="E936" s="9">
        <v>5.0</v>
      </c>
      <c r="F936" s="10" t="str">
        <f>IFERROR(__xludf.DUMMYFUNCTION("LOWER(REGEXREPLACE(B936&amp;"" ""&amp;C936,""[^а-яa-z0-9 ]"","" ""))"),"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восп"&amp;"роизводить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мо"&amp;"гут крепиться на фетровую поверхность с использованием кнопок или липучек ")</f>
        <v>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могут крепиться на фетровую поверхность с использованием кнопок или липучек </v>
      </c>
      <c r="G936" s="10" t="str">
        <f>IFERROR(__xludf.DUMMYFUNCTION("TEXTJOIN(""|"",TRUE,UNIQUE(FILTER(SPLIT(F936,"" ""),LEN(SPLIT(F936,"" ""))&gt;2)))"),"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amp;"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amp;"ек")</f>
        <v>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ек</v>
      </c>
      <c r="I936" s="6"/>
      <c r="J936" s="6"/>
    </row>
    <row r="937">
      <c r="A937" s="12" t="s">
        <v>2665</v>
      </c>
      <c r="B937" s="7" t="s">
        <v>2666</v>
      </c>
      <c r="C937" s="7" t="s">
        <v>2667</v>
      </c>
      <c r="D937" s="8">
        <v>44800.0</v>
      </c>
      <c r="E937" s="9">
        <v>7.0</v>
      </c>
      <c r="F937" s="10" t="str">
        <f>IFERROR(__xludf.DUMMYFUNCTION("LOWER(REGEXREPLACE(B937&amp;"" ""&amp;C937,""[^а-яa-z0-9 ]"","" ""))")," ланелеграф тканевый  ольшой тканевый фланелеграф с карманами для хранения элементов   спользуется для творческих  обучающих и игровых занятий с детьми ")</f>
        <v> ланелеграф тканевый  ольшой тканевый фланелеграф с карманами для хранения элементов   спользуется для творческих  обучающих и игровых занятий с детьми </v>
      </c>
      <c r="G937" s="10" t="str">
        <f>IFERROR(__xludf.DUMMYFUNCTION("TEXTJOIN(""|"",TRUE,UNIQUE(FILTER(SPLIT(F937,"" ""),LEN(SPLIT(F937,"" ""))&gt;2)))"),"ланелеграф|тканевый|ольшой|тканевый|фланелеграф|карманами|для|хранения|элементов|спользуется|для|творческих|обучающих|игровых|занятий|детьми")</f>
        <v>ланелеграф|тканевый|ольшой|тканевый|фланелеграф|карманами|для|хранения|элементов|спользуется|для|творческих|обучающих|игровых|занятий|детьми</v>
      </c>
      <c r="I937" s="6"/>
      <c r="J937" s="6"/>
    </row>
    <row r="938">
      <c r="A938" s="12" t="s">
        <v>2668</v>
      </c>
      <c r="B938" s="7" t="s">
        <v>2669</v>
      </c>
      <c r="C938" s="7" t="s">
        <v>2670</v>
      </c>
      <c r="D938" s="8">
        <v>2600.0</v>
      </c>
      <c r="E938" s="9">
        <v>125.0</v>
      </c>
      <c r="F938" s="10" t="str">
        <f>IFERROR(__xludf.DUMMYFUNCTION("LOWER(REGEXREPLACE(B938&amp;"" ""&amp;C938,""[^а-яa-z0-9 ]"","" ""))"),"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f>
        <v>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v>
      </c>
      <c r="G938" s="10" t="str">
        <f>IFERROR(__xludf.DUMMYFUNCTION("TEXTJOIN(""|"",TRUE,UNIQUE(FILTER(SPLIT(F938,"" ""),LEN(SPLIT(F938,"" ""))&gt;2)))"),"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f>
        <v>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v>
      </c>
      <c r="I938" s="6"/>
      <c r="J938" s="6"/>
    </row>
    <row r="939">
      <c r="A939" s="12" t="s">
        <v>2671</v>
      </c>
      <c r="B939" s="7" t="s">
        <v>2672</v>
      </c>
      <c r="C939" s="7" t="s">
        <v>2673</v>
      </c>
      <c r="D939" s="8">
        <v>28500.0</v>
      </c>
      <c r="E939" s="9">
        <v>1.0</v>
      </c>
      <c r="F939" s="10" t="str">
        <f>IFERROR(__xludf.DUMMYFUNCTION("LOWER(REGEXREPLACE(B939&amp;"" ""&amp;C939,""[^а-яa-z0-9 ]"","" ""))"),"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f>
        <v>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v>
      </c>
      <c r="G939" s="10" t="str">
        <f>IFERROR(__xludf.DUMMYFUNCTION("TEXTJOIN(""|"",TRUE,UNIQUE(FILTER(SPLIT(F939,"" ""),LEN(SPLIT(F939,"" ""))&gt;2)))"),"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f>
        <v>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v>
      </c>
      <c r="I939" s="6"/>
      <c r="J939" s="6"/>
    </row>
    <row r="940">
      <c r="A940" s="12" t="s">
        <v>2674</v>
      </c>
      <c r="B940" s="7" t="s">
        <v>2675</v>
      </c>
      <c r="C940" s="7" t="s">
        <v>2676</v>
      </c>
      <c r="D940" s="8">
        <v>4800.0</v>
      </c>
      <c r="E940" s="9">
        <v>5.0</v>
      </c>
      <c r="F940" s="10" t="str">
        <f>IFERROR(__xludf.DUMMYFUNCTION("LOWER(REGEXREPLACE(B940&amp;"" ""&amp;C940,""[^а-яa-z0-9 ]"","" ""))"),"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f>
        <v>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v>
      </c>
      <c r="G940" s="10" t="str">
        <f>IFERROR(__xludf.DUMMYFUNCTION("TEXTJOIN(""|"",TRUE,UNIQUE(FILTER(SPLIT(F940,"" ""),LEN(SPLIT(F940,"" ""))&gt;2)))"),"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f>
        <v>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v>
      </c>
      <c r="I940" s="6"/>
      <c r="J940" s="6"/>
    </row>
    <row r="941">
      <c r="A941" s="12" t="s">
        <v>2677</v>
      </c>
      <c r="B941" s="7" t="s">
        <v>2678</v>
      </c>
      <c r="C941" s="7" t="s">
        <v>376</v>
      </c>
      <c r="D941" s="8">
        <v>4800.0</v>
      </c>
      <c r="E941" s="9">
        <v>1.0</v>
      </c>
      <c r="F941" s="10" t="str">
        <f>IFERROR(__xludf.DUMMYFUNCTION("LOWER(REGEXREPLACE(B941&amp;"" ""&amp;C941,""[^а-яa-z0-9 ]"","" ""))")," аншайымны  10 о и асы  ертолет   ")</f>
        <v> аншайымны  10 о и асы  ертолет   </v>
      </c>
      <c r="G941" s="10" t="str">
        <f>IFERROR(__xludf.DUMMYFUNCTION("TEXTJOIN(""|"",TRUE,UNIQUE(FILTER(SPLIT(F941,"" ""),LEN(SPLIT(F941,"" ""))&gt;2)))"),"аншайымны|асы|ертолет")</f>
        <v>аншайымны|асы|ертолет</v>
      </c>
      <c r="I941" s="6"/>
      <c r="J941" s="6"/>
    </row>
    <row r="942">
      <c r="A942" s="12" t="s">
        <v>2679</v>
      </c>
      <c r="B942" s="7" t="s">
        <v>2680</v>
      </c>
      <c r="C942" s="7" t="s">
        <v>2681</v>
      </c>
      <c r="D942" s="8">
        <v>15000.0</v>
      </c>
      <c r="E942" s="9">
        <v>1.0</v>
      </c>
      <c r="F942" s="10" t="str">
        <f>IFERROR(__xludf.DUMMYFUNCTION("LOWER(REGEXREPLACE(B942&amp;"" ""&amp;C942,""[^а-яa-z0-9 ]"","" ""))")," имия    ай  р  же  л под ред      амасвами  перевод  арт      ")</f>
        <v> имия    ай  р  же  л под ред      амасвами  перевод  арт      </v>
      </c>
      <c r="G942" s="10" t="str">
        <f>IFERROR(__xludf.DUMMYFUNCTION("TEXTJOIN(""|"",TRUE,UNIQUE(FILTER(SPLIT(F942,"" ""),LEN(SPLIT(F942,"" ""))&gt;2)))"),"имия|под|ред|амасвами|перевод|арт")</f>
        <v>имия|под|ред|амасвами|перевод|арт</v>
      </c>
      <c r="I942" s="6"/>
      <c r="J942" s="6"/>
    </row>
    <row r="943">
      <c r="A943" s="12" t="s">
        <v>2682</v>
      </c>
      <c r="B943" s="7" t="s">
        <v>2683</v>
      </c>
      <c r="C943" s="7" t="s">
        <v>2681</v>
      </c>
      <c r="D943" s="8">
        <v>15000.0</v>
      </c>
      <c r="E943" s="9">
        <v>1.0</v>
      </c>
      <c r="F943" s="10" t="str">
        <f>IFERROR(__xludf.DUMMYFUNCTION("LOWER(REGEXREPLACE(B943&amp;"" ""&amp;C943,""[^а-яa-z0-9 ]"","" ""))")," имия   росто и легко под ред      амасвами  перевод  арт      ")</f>
        <v> имия   росто и легко под ред      амасвами  перевод  арт      </v>
      </c>
      <c r="G943" s="10" t="str">
        <f>IFERROR(__xludf.DUMMYFUNCTION("TEXTJOIN(""|"",TRUE,UNIQUE(FILTER(SPLIT(F943,"" ""),LEN(SPLIT(F943,"" ""))&gt;2)))"),"имия|росто|легко|под|ред|амасвами|перевод|арт")</f>
        <v>имия|росто|легко|под|ред|амасвами|перевод|арт</v>
      </c>
      <c r="I943" s="6"/>
      <c r="J943" s="6"/>
    </row>
    <row r="944">
      <c r="A944" s="12" t="s">
        <v>2684</v>
      </c>
      <c r="B944" s="7" t="s">
        <v>2685</v>
      </c>
      <c r="C944" s="7" t="s">
        <v>2686</v>
      </c>
      <c r="D944" s="8">
        <v>6800.0</v>
      </c>
      <c r="E944" s="9">
        <v>5.0</v>
      </c>
      <c r="F944" s="10" t="str">
        <f>IFERROR(__xludf.DUMMYFUNCTION("LOWER(REGEXREPLACE(B944&amp;"" ""&amp;C944,""[^а-яa-z0-9 ]"","" ""))"),"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f>
        <v>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v>
      </c>
      <c r="G944" s="10" t="str">
        <f>IFERROR(__xludf.DUMMYFUNCTION("TEXTJOIN(""|"",TRUE,UNIQUE(FILTER(SPLIT(F944,"" ""),LEN(SPLIT(F944,"" ""))&gt;2)))"),"лорофитум|омнатное|растение|очищающее|воздух|спользуется|для|озеленения|помещений|дошкольного|учреждения|формирования|детей|экологических|представлений")</f>
        <v>лорофитум|омнатное|растение|очищающее|воздух|спользуется|для|озеленения|помещений|дошкольного|учреждения|формирования|детей|экологических|представлений</v>
      </c>
      <c r="I944" s="6"/>
      <c r="J944" s="6"/>
    </row>
    <row r="945">
      <c r="A945" s="12" t="s">
        <v>2687</v>
      </c>
      <c r="B945" s="7" t="s">
        <v>2688</v>
      </c>
      <c r="C945" s="7" t="s">
        <v>2689</v>
      </c>
      <c r="D945" s="8">
        <v>285000.0</v>
      </c>
      <c r="E945" s="9">
        <v>5.0</v>
      </c>
      <c r="F945" s="10" t="str">
        <f>IFERROR(__xludf.DUMMYFUNCTION("LOWER(REGEXREPLACE(B945&amp;"" ""&amp;C945,""[^а-яa-z0-9 ]"","" ""))"),"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треб"&amp;"уют сложного ухода   редназначены для использования в помещениях ")</f>
        <v>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требуют сложного ухода   редназначены для использования в помещениях </v>
      </c>
      <c r="G945" s="10" t="str">
        <f>IFERROR(__xludf.DUMMYFUNCTION("TEXTJOIN(""|"",TRUE,UNIQUE(FILTER(SPLIT(F945,"" ""),LEN(SPLIT(F945,"" ""))&gt;2)))"),"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amp;"редназначены|для|использования|помещениях")</f>
        <v>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редназначены|для|использования|помещениях</v>
      </c>
      <c r="I945" s="6"/>
      <c r="J945" s="6"/>
    </row>
    <row r="946">
      <c r="A946" s="12" t="s">
        <v>2690</v>
      </c>
      <c r="B946" s="7" t="s">
        <v>2691</v>
      </c>
      <c r="C946" s="7" t="s">
        <v>2692</v>
      </c>
      <c r="D946" s="8">
        <v>3600.0</v>
      </c>
      <c r="E946" s="9">
        <v>1.0</v>
      </c>
      <c r="F946" s="10" t="str">
        <f>IFERROR(__xludf.DUMMYFUNCTION("LOWER(REGEXREPLACE(B946&amp;"" ""&amp;C946,""[^а-яa-z0-9 ]"","" ""))")," ристофор  олумб   hristopher  olumbus  каз   рус   англ яз      ейси  перевод  ужикова      ернебекова    ")</f>
        <v> ристофор  олумб   hristopher  olumbus  каз   рус   англ яз      ейси  перевод  ужикова      ернебекова    </v>
      </c>
      <c r="G946" s="10" t="str">
        <f>IFERROR(__xludf.DUMMYFUNCTION("TEXTJOIN(""|"",TRUE,UNIQUE(FILTER(SPLIT(F946,"" ""),LEN(SPLIT(F946,"" ""))&gt;2)))"),"ристофор|олумб|hristopher|olumbus|каз|рус|англ|ейси|перевод|ужикова|ернебекова")</f>
        <v>ристофор|олумб|hristopher|olumbus|каз|рус|англ|ейси|перевод|ужикова|ернебекова</v>
      </c>
      <c r="I946" s="6"/>
      <c r="J946" s="6"/>
    </row>
    <row r="947">
      <c r="A947" s="12" t="s">
        <v>2693</v>
      </c>
      <c r="B947" s="7" t="s">
        <v>2694</v>
      </c>
      <c r="C947" s="7" t="s">
        <v>2695</v>
      </c>
      <c r="D947" s="8">
        <v>4800.0</v>
      </c>
      <c r="E947" s="9">
        <v>3.0</v>
      </c>
      <c r="F947" s="10" t="str">
        <f>IFERROR(__xludf.DUMMYFUNCTION("LOWER(REGEXREPLACE(B947&amp;"" ""&amp;C947,""[^а-яa-z0-9 ]"","" ""))"),"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f>
        <v>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v>
      </c>
      <c r="G947" s="10" t="str">
        <f>IFERROR(__xludf.DUMMYFUNCTION("TEXTJOIN(""|"",TRUE,UNIQUE(FILTER(SPLIT(F947,"" ""),LEN(SPLIT(F947,"" ""))&gt;2)))"),"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f>
        <v>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v>
      </c>
      <c r="I947" s="6"/>
      <c r="J947" s="6"/>
    </row>
    <row r="948">
      <c r="A948" s="12" t="s">
        <v>2696</v>
      </c>
      <c r="B948" s="7" t="s">
        <v>2697</v>
      </c>
      <c r="C948" s="7" t="s">
        <v>2698</v>
      </c>
      <c r="D948" s="8">
        <v>90000.0</v>
      </c>
      <c r="E948" s="9">
        <v>5.0</v>
      </c>
      <c r="F948" s="10" t="str">
        <f>IFERROR(__xludf.DUMMYFUNCTION("LOWER(REGEXREPLACE(B948&amp;"" ""&amp;C948,""[^а-яa-z0-9 ]"","" ""))"),"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f>
        <v>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v>
      </c>
      <c r="G948" s="10" t="str">
        <f>IFERROR(__xludf.DUMMYFUNCTION("TEXTJOIN(""|"",TRUE,UNIQUE(FILTER(SPLIT(F948,"" ""),LEN(SPLIT(F948,"" ""))&gt;2)))"),"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f>
        <v>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v>
      </c>
      <c r="I948" s="6"/>
      <c r="J948" s="6"/>
    </row>
    <row r="949">
      <c r="A949" s="12" t="s">
        <v>2699</v>
      </c>
      <c r="B949" s="7" t="s">
        <v>2700</v>
      </c>
      <c r="C949" s="7" t="s">
        <v>2701</v>
      </c>
      <c r="D949" s="8">
        <v>13287.0</v>
      </c>
      <c r="E949" s="9">
        <v>1.0</v>
      </c>
      <c r="F949" s="10" t="str">
        <f>IFERROR(__xludf.DUMMYFUNCTION("LOWER(REGEXREPLACE(B949&amp;"" ""&amp;C949,""[^а-яa-z0-9 ]"","" ""))")," айник  айник электрический")</f>
        <v> айник  айник электрический</v>
      </c>
      <c r="G949" s="10" t="str">
        <f>IFERROR(__xludf.DUMMYFUNCTION("TEXTJOIN(""|"",TRUE,UNIQUE(FILTER(SPLIT(F949,"" ""),LEN(SPLIT(F949,"" ""))&gt;2)))"),"айник|айник|электрический")</f>
        <v>айник|айник|электрический</v>
      </c>
      <c r="I949" s="6"/>
      <c r="J949" s="6"/>
    </row>
    <row r="950">
      <c r="A950" s="12" t="s">
        <v>2702</v>
      </c>
      <c r="B950" s="7" t="s">
        <v>2703</v>
      </c>
      <c r="C950" s="7" t="s">
        <v>2704</v>
      </c>
      <c r="D950" s="8">
        <v>13000.0</v>
      </c>
      <c r="E950" s="9">
        <v>1.0</v>
      </c>
      <c r="F950" s="10" t="str">
        <f>IFERROR(__xludf.DUMMYFUNCTION("LOWER(REGEXREPLACE(B950&amp;"" ""&amp;C950,""[^а-яa-z0-9 ]"","" ""))"),"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f>
        <v>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v>
      </c>
      <c r="G950" s="10" t="str">
        <f>IFERROR(__xludf.DUMMYFUNCTION("TEXTJOIN(""|"",TRUE,UNIQUE(FILTER(SPLIT(F950,"" ""),LEN(SPLIT(F950,"" ""))&gt;2)))"),"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f>
        <v>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v>
      </c>
      <c r="I950" s="6"/>
      <c r="J950" s="6"/>
    </row>
    <row r="951">
      <c r="A951" s="12" t="s">
        <v>2705</v>
      </c>
      <c r="B951" s="7" t="s">
        <v>2706</v>
      </c>
      <c r="C951" s="7" t="s">
        <v>302</v>
      </c>
      <c r="D951" s="8">
        <v>16000.0</v>
      </c>
      <c r="E951" s="9">
        <v>1.0</v>
      </c>
      <c r="F951" s="10" t="str">
        <f>IFERROR(__xludf.DUMMYFUNCTION("LOWER(REGEXREPLACE(B951&amp;"" ""&amp;C951,""[^а-яa-z0-9 ]"","" ""))")," окан   утеводная звезда востока  ужикова   ")</f>
        <v> окан   утеводная звезда востока  ужикова   </v>
      </c>
      <c r="G951" s="10" t="str">
        <f>IFERROR(__xludf.DUMMYFUNCTION("TEXTJOIN(""|"",TRUE,UNIQUE(FILTER(SPLIT(F951,"" ""),LEN(SPLIT(F951,"" ""))&gt;2)))"),"окан|утеводная|звезда|востока|ужикова")</f>
        <v>окан|утеводная|звезда|востока|ужикова</v>
      </c>
      <c r="I951" s="6"/>
      <c r="J951" s="6"/>
    </row>
    <row r="952">
      <c r="A952" s="12" t="s">
        <v>2707</v>
      </c>
      <c r="B952" s="7" t="s">
        <v>2708</v>
      </c>
      <c r="C952" s="7" t="s">
        <v>2709</v>
      </c>
      <c r="D952" s="8">
        <v>7200.0</v>
      </c>
      <c r="E952" s="9">
        <v>1.0</v>
      </c>
      <c r="F952" s="10" t="str">
        <f>IFERROR(__xludf.DUMMYFUNCTION("LOWER(REGEXREPLACE(B952&amp;"" ""&amp;C952,""[^а-яa-z0-9 ]"","" ""))")," удесное путешествие   рестоматия для 2 4 классов без автора")</f>
        <v> удесное путешествие   рестоматия для 2 4 классов без автора</v>
      </c>
      <c r="G952" s="10" t="str">
        <f>IFERROR(__xludf.DUMMYFUNCTION("TEXTJOIN(""|"",TRUE,UNIQUE(FILTER(SPLIT(F952,"" ""),LEN(SPLIT(F952,"" ""))&gt;2)))"),"удесное|путешествие|рестоматия|для|классов|без|автора")</f>
        <v>удесное|путешествие|рестоматия|для|классов|без|автора</v>
      </c>
      <c r="I952" s="6"/>
      <c r="J952" s="6"/>
    </row>
    <row r="953">
      <c r="A953" s="12" t="s">
        <v>2710</v>
      </c>
      <c r="B953" s="7" t="s">
        <v>2711</v>
      </c>
      <c r="C953" s="7" t="s">
        <v>2712</v>
      </c>
      <c r="D953" s="8">
        <v>14400.0</v>
      </c>
      <c r="E953" s="9">
        <v>5.0</v>
      </c>
      <c r="F953" s="10" t="str">
        <f>IFERROR(__xludf.DUMMYFUNCTION("LOWER(REGEXREPLACE(B953&amp;"" ""&amp;C953,""[^а-яa-z0-9 ]"","" ""))"),"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безоп"&amp;"асны для детей ")</f>
        <v>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безопасны для детей </v>
      </c>
      <c r="G953" s="10" t="str">
        <f>IFERROR(__xludf.DUMMYFUNCTION("TEXTJOIN(""|"",TRUE,UNIQUE(FILTER(SPLIT(F953,"" ""),LEN(SPLIT(F953,"" ""))&gt;2)))"),"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f>
        <v>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v>
      </c>
      <c r="I953" s="6"/>
      <c r="J953" s="6"/>
    </row>
    <row r="954">
      <c r="A954" s="12" t="s">
        <v>2713</v>
      </c>
      <c r="B954" s="7" t="s">
        <v>2714</v>
      </c>
      <c r="C954" s="7" t="s">
        <v>2715</v>
      </c>
      <c r="D954" s="8">
        <v>6800.0</v>
      </c>
      <c r="E954" s="9">
        <v>1.0</v>
      </c>
      <c r="F954" s="10" t="str">
        <f>IFERROR(__xludf.DUMMYFUNCTION("LOWER(REGEXREPLACE(B954&amp;"" ""&amp;C954,""[^а-яa-z0-9 ]"","" ""))"),"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f>
        <v>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v>
      </c>
      <c r="G954" s="10" t="str">
        <f>IFERROR(__xludf.DUMMYFUNCTION("TEXTJOIN(""|"",TRUE,UNIQUE(FILTER(SPLIT(F954,"" ""),LEN(SPLIT(F954,"" ""))&gt;2)))"),"арики|ластиковые|шарики|предназначены|для|использования|сухом|бассейне|сенсорных|подвижных|играх|оличество|наборе|100|вета|разноцветные|атериал|гкий|пластик")</f>
        <v>арики|ластиковые|шарики|предназначены|для|использования|сухом|бассейне|сенсорных|подвижных|играх|оличество|наборе|100|вета|разноцветные|атериал|гкий|пластик</v>
      </c>
      <c r="I954" s="6"/>
      <c r="J954" s="6"/>
    </row>
    <row r="955">
      <c r="A955" s="12" t="s">
        <v>2716</v>
      </c>
      <c r="B955" s="7" t="s">
        <v>2717</v>
      </c>
      <c r="C955" s="7" t="s">
        <v>2718</v>
      </c>
      <c r="D955" s="8">
        <v>8600.0</v>
      </c>
      <c r="E955" s="9">
        <v>7.0</v>
      </c>
      <c r="F955" s="10" t="str">
        <f>IFERROR(__xludf.DUMMYFUNCTION("LOWER(REGEXREPLACE(B955&amp;"" ""&amp;C955,""[^а-яa-z0-9 ]"","" ""))"),"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помещ"&amp;"ениях ")</f>
        <v>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помещениях </v>
      </c>
      <c r="G955" s="10" t="str">
        <f>IFERROR(__xludf.DUMMYFUNCTION("TEXTJOIN(""|"",TRUE,UNIQUE(FILTER(SPLIT(F955,"" ""),LEN(SPLIT(F955,"" ""))&gt;2)))"),"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f>
        <v>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v>
      </c>
      <c r="I955" s="6"/>
      <c r="J955" s="6"/>
    </row>
    <row r="956">
      <c r="A956" s="12" t="s">
        <v>2719</v>
      </c>
      <c r="B956" s="7" t="s">
        <v>2720</v>
      </c>
      <c r="C956" s="7" t="s">
        <v>2721</v>
      </c>
      <c r="D956" s="8">
        <v>285000.0</v>
      </c>
      <c r="E956" s="9">
        <v>1.0</v>
      </c>
      <c r="F956" s="10" t="str">
        <f>IFERROR(__xludf.DUMMYFUNCTION("LOWER(REGEXREPLACE(B956&amp;"" ""&amp;C956,""[^а-яa-z0-9 ]"","" ""))"),"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f>
        <v>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v>
      </c>
      <c r="G956" s="10" t="str">
        <f>IFERROR(__xludf.DUMMYFUNCTION("TEXTJOIN(""|"",TRUE,UNIQUE(FILTER(SPLIT(F956,"" ""),LEN(SPLIT(F956,"" ""))&gt;2)))"),"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f>
        <v>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v>
      </c>
      <c r="I956" s="6"/>
      <c r="J956" s="6"/>
    </row>
    <row r="957">
      <c r="A957" s="12" t="s">
        <v>2722</v>
      </c>
      <c r="B957" s="7" t="s">
        <v>2723</v>
      </c>
      <c r="C957" s="7" t="s">
        <v>2724</v>
      </c>
      <c r="D957" s="8">
        <v>24700.0</v>
      </c>
      <c r="E957" s="9">
        <v>14.0</v>
      </c>
      <c r="F957" s="10" t="str">
        <f>IFERROR(__xludf.DUMMYFUNCTION("LOWER(REGEXREPLACE(B957&amp;"" ""&amp;C957,""[^а-яa-z0-9 ]"","" ""))"),"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f>
        <v>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v>
      </c>
      <c r="G957" s="10" t="str">
        <f>IFERROR(__xludf.DUMMYFUNCTION("TEXTJOIN(""|"",TRUE,UNIQUE(FILTER(SPLIT(F957,"" ""),LEN(SPLIT(F957,"" ""))&gt;2)))"),"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f>
        <v>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v>
      </c>
      <c r="I957" s="6"/>
      <c r="J957" s="6"/>
    </row>
    <row r="958">
      <c r="A958" s="12" t="s">
        <v>2725</v>
      </c>
      <c r="B958" s="7" t="s">
        <v>2726</v>
      </c>
      <c r="C958" s="7" t="s">
        <v>2727</v>
      </c>
      <c r="D958" s="8">
        <v>13700.0</v>
      </c>
      <c r="E958" s="9">
        <v>5.0</v>
      </c>
      <c r="F958" s="10" t="str">
        <f>IFERROR(__xludf.DUMMYFUNCTION("LOWER(REGEXREPLACE(B958&amp;"" ""&amp;C958,""[^а-яa-z0-9 ]"","" ""))"),"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f>
        <v>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v>
      </c>
      <c r="G958" s="10" t="str">
        <f>IFERROR(__xludf.DUMMYFUNCTION("TEXTJOIN(""|"",TRUE,UNIQUE(FILTER(SPLIT(F958,"" ""),LEN(SPLIT(F958,"" ""))&gt;2)))"),"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f>
        <v>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v>
      </c>
      <c r="I958" s="6"/>
      <c r="J958" s="6"/>
    </row>
    <row r="959">
      <c r="A959" s="12" t="s">
        <v>2728</v>
      </c>
      <c r="B959" s="7" t="s">
        <v>2729</v>
      </c>
      <c r="C959" s="7" t="s">
        <v>2730</v>
      </c>
      <c r="D959" s="8">
        <v>25400.0</v>
      </c>
      <c r="E959" s="9">
        <v>10.0</v>
      </c>
      <c r="F959" s="10" t="str">
        <f>IFERROR(__xludf.DUMMYFUNCTION("LOWER(REGEXREPLACE(B959&amp;"" ""&amp;C959,""[^а-яa-z0-9 ]"","" ""))"),"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раз"&amp;"ыгрывание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f>
        <v>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v>
      </c>
      <c r="G959" s="10" t="str">
        <f>IFERROR(__xludf.DUMMYFUNCTION("TEXTJOIN(""|"",TRUE,UNIQUE(FILTER(SPLIT(F959,"" ""),LEN(SPLIT(F959,"" ""))&gt;2)))"),"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amp;"алогов|что|способствует|развитию|воображения|связной|речи|ысота|ширмы|составляет|менее|ширина|менее|азмер|окна|менее|атериал|фанера|толщиной|менее")</f>
        <v>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алогов|что|способствует|развитию|воображения|связной|речи|ысота|ширмы|составляет|менее|ширина|менее|азмер|окна|менее|атериал|фанера|толщиной|менее</v>
      </c>
      <c r="I959" s="6"/>
      <c r="J959" s="6"/>
    </row>
    <row r="960">
      <c r="A960" s="12" t="s">
        <v>2731</v>
      </c>
      <c r="B960" s="7" t="s">
        <v>2732</v>
      </c>
      <c r="C960" s="7" t="s">
        <v>2733</v>
      </c>
      <c r="D960" s="8">
        <v>52300.0</v>
      </c>
      <c r="E960" s="9">
        <v>7.0</v>
      </c>
      <c r="F960" s="10" t="str">
        <f>IFERROR(__xludf.DUMMYFUNCTION("LOWER(REGEXREPLACE(B960&amp;"" ""&amp;C960,""[^а-яa-z0-9 ]"","" ""))"),"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f>
        <v>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v>
      </c>
      <c r="G960" s="10" t="str">
        <f>IFERROR(__xludf.DUMMYFUNCTION("TEXTJOIN(""|"",TRUE,UNIQUE(FILTER(SPLIT(F960,"" ""),LEN(SPLIT(F960,"" ""))&gt;2)))"),"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f>
        <v>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v>
      </c>
      <c r="I960" s="6"/>
      <c r="J960" s="6"/>
    </row>
    <row r="961">
      <c r="A961" s="12" t="s">
        <v>2734</v>
      </c>
      <c r="B961" s="7" t="s">
        <v>2735</v>
      </c>
      <c r="C961" s="7" t="s">
        <v>2736</v>
      </c>
      <c r="D961" s="8">
        <v>19000.0</v>
      </c>
      <c r="E961" s="9">
        <v>21.0</v>
      </c>
      <c r="F961" s="10" t="str">
        <f>IFERROR(__xludf.DUMMYFUNCTION("LOWER(REGEXREPLACE(B961&amp;"" ""&amp;C961,""[^а-яa-z0-9 ]"","" ""))"),"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ма"&amp;"териала ")</f>
        <v>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материала </v>
      </c>
      <c r="G961" s="10" t="str">
        <f>IFERROR(__xludf.DUMMYFUNCTION("TEXTJOIN(""|"",TRUE,UNIQUE(FILTER(SPLIT(F961,"" ""),LEN(SPLIT(F961,"" ""))&gt;2)))"),"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f>
        <v>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v>
      </c>
      <c r="I961" s="6"/>
      <c r="J961" s="6"/>
    </row>
    <row r="962">
      <c r="A962" s="12" t="s">
        <v>2737</v>
      </c>
      <c r="B962" s="7" t="s">
        <v>2738</v>
      </c>
      <c r="C962" s="7" t="s">
        <v>2739</v>
      </c>
      <c r="D962" s="8">
        <v>6700.0</v>
      </c>
      <c r="E962" s="9">
        <v>7.0</v>
      </c>
      <c r="F962" s="10" t="str">
        <f>IFERROR(__xludf.DUMMYFUNCTION("LOWER(REGEXREPLACE(B962&amp;"" ""&amp;C962,""[^а-яa-z0-9 ]"","" ""))"),"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подход"&amp;"ят для использования под контролем взрослого ")</f>
        <v>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подходят для использования под контролем взрослого </v>
      </c>
      <c r="G962" s="10" t="str">
        <f>IFERROR(__xludf.DUMMYFUNCTION("TEXTJOIN(""|"",TRUE,UNIQUE(FILTER(SPLIT(F962,"" ""),LEN(SPLIT(F962,"" ""))&gt;2)))"),"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amp;"контролем|взрослого")</f>
        <v>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контролем|взрослого</v>
      </c>
      <c r="I962" s="6"/>
      <c r="J962" s="6"/>
    </row>
    <row r="963">
      <c r="A963" s="12" t="s">
        <v>2740</v>
      </c>
      <c r="B963" s="7" t="s">
        <v>2741</v>
      </c>
      <c r="C963" s="7" t="s">
        <v>2742</v>
      </c>
      <c r="D963" s="8">
        <v>8600.0</v>
      </c>
      <c r="E963" s="9">
        <v>7.0</v>
      </c>
      <c r="F963" s="10" t="str">
        <f>IFERROR(__xludf.DUMMYFUNCTION("LOWER(REGEXREPLACE(B963&amp;"" ""&amp;C963,""[^а-яa-z0-9 ]"","" ""))"),"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нан"&amp;"изывания   атериал   дерево ")</f>
        <v>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нанизывания   атериал   дерево </v>
      </c>
      <c r="G963" s="10" t="str">
        <f>IFERROR(__xludf.DUMMYFUNCTION("TEXTJOIN(""|"",TRUE,UNIQUE(FILTER(SPLIT(F963,"" ""),LEN(SPLIT(F963,"" ""))&gt;2)))"),"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amp;"риал|дерево")</f>
        <v>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риал|дерево</v>
      </c>
      <c r="I963" s="6"/>
      <c r="J963" s="6"/>
    </row>
    <row r="964">
      <c r="A964" s="12" t="s">
        <v>2743</v>
      </c>
      <c r="B964" s="7" t="s">
        <v>2744</v>
      </c>
      <c r="C964" s="7" t="s">
        <v>2745</v>
      </c>
      <c r="D964" s="8">
        <v>4800.0</v>
      </c>
      <c r="E964" s="9">
        <v>1.0</v>
      </c>
      <c r="F964" s="10" t="str">
        <f>IFERROR(__xludf.DUMMYFUNCTION("LOWER(REGEXREPLACE(B964&amp;"" ""&amp;C964,""[^а-яa-z0-9 ]"","" ""))")," о ан   лиханов   географ ж не саяхатшы   рмагамбетов   ")</f>
        <v> о ан   лиханов   географ ж не саяхатшы   рмагамбетов   </v>
      </c>
      <c r="G964" s="10" t="str">
        <f>IFERROR(__xludf.DUMMYFUNCTION("TEXTJOIN(""|"",TRUE,UNIQUE(FILTER(SPLIT(F964,"" ""),LEN(SPLIT(F964,"" ""))&gt;2)))"),"лиханов|географ|саяхатшы|рмагамбетов")</f>
        <v>лиханов|географ|саяхатшы|рмагамбетов</v>
      </c>
      <c r="I964" s="6"/>
      <c r="J964" s="6"/>
    </row>
    <row r="965">
      <c r="A965" s="12" t="s">
        <v>2746</v>
      </c>
      <c r="B965" s="7" t="s">
        <v>2747</v>
      </c>
      <c r="C965" s="7" t="s">
        <v>302</v>
      </c>
      <c r="D965" s="8">
        <v>16000.0</v>
      </c>
      <c r="E965" s="9">
        <v>1.0</v>
      </c>
      <c r="F965" s="10" t="str">
        <f>IFERROR(__xludf.DUMMYFUNCTION("LOWER(REGEXREPLACE(B965&amp;"" ""&amp;C965,""[^а-яa-z0-9 ]"","" ""))")," о ан   ы ысты  жары  ж лдызы  ужикова   ")</f>
        <v> о ан   ы ысты  жары  ж лдызы  ужикова   </v>
      </c>
      <c r="G965" s="10" t="str">
        <f>IFERROR(__xludf.DUMMYFUNCTION("TEXTJOIN(""|"",TRUE,UNIQUE(FILTER(SPLIT(F965,"" ""),LEN(SPLIT(F965,"" ""))&gt;2)))"),"ысты|жары|лдызы|ужикова")</f>
        <v>ысты|жары|лдызы|ужикова</v>
      </c>
      <c r="I965" s="6"/>
      <c r="J965" s="6"/>
    </row>
    <row r="966">
      <c r="A966" s="12" t="s">
        <v>2748</v>
      </c>
      <c r="B966" s="7" t="s">
        <v>2749</v>
      </c>
      <c r="C966" s="7" t="s">
        <v>2750</v>
      </c>
      <c r="D966" s="8">
        <v>2700.0</v>
      </c>
      <c r="E966" s="9">
        <v>5.0</v>
      </c>
      <c r="F966" s="10" t="str">
        <f>IFERROR(__xludf.DUMMYFUNCTION("LOWER(REGEXREPLACE(B966&amp;"" ""&amp;C966,""[^а-яa-z0-9 ]"","" ""))"),"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длитель"&amp;"ной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f>
        <v>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v>
      </c>
      <c r="G966" s="10" t="str">
        <f>IFERROR(__xludf.DUMMYFUNCTION("TEXTJOIN(""|"",TRUE,UNIQUE(FILTER(SPLIT(F966,"" ""),LEN(SPLIT(F966,"" ""))&gt;2)))"),"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amp;"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f>
        <v>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v>
      </c>
      <c r="I966" s="6"/>
      <c r="J966" s="6"/>
    </row>
    <row r="967">
      <c r="A967" s="12" t="s">
        <v>2751</v>
      </c>
      <c r="B967" s="7" t="s">
        <v>2752</v>
      </c>
      <c r="C967" s="7" t="s">
        <v>2284</v>
      </c>
      <c r="D967" s="8">
        <v>8000.0</v>
      </c>
      <c r="E967" s="9">
        <v>1.0</v>
      </c>
      <c r="F967" s="10" t="str">
        <f>IFERROR(__xludf.DUMMYFUNCTION("LOWER(REGEXREPLACE(B967&amp;"" ""&amp;C967,""[^а-яa-z0-9 ]"","" ""))")," уакты кундер     омыш лы туралы   хметова   ")</f>
        <v> уакты кундер     омыш лы туралы   хметова   </v>
      </c>
      <c r="G967" s="10" t="str">
        <f>IFERROR(__xludf.DUMMYFUNCTION("TEXTJOIN(""|"",TRUE,UNIQUE(FILTER(SPLIT(F967,"" ""),LEN(SPLIT(F967,"" ""))&gt;2)))"),"уакты|кундер|омыш|туралы|хметова")</f>
        <v>уакты|кундер|омыш|туралы|хметова</v>
      </c>
      <c r="I967" s="6"/>
      <c r="J967" s="6"/>
    </row>
    <row r="968">
      <c r="A968" s="12" t="s">
        <v>2753</v>
      </c>
      <c r="B968" s="7" t="s">
        <v>2754</v>
      </c>
      <c r="C968" s="7" t="s">
        <v>2755</v>
      </c>
      <c r="D968" s="8">
        <v>13400.0</v>
      </c>
      <c r="E968" s="9">
        <v>1.0</v>
      </c>
      <c r="F968" s="10" t="str">
        <f>IFERROR(__xludf.DUMMYFUNCTION("LOWER(REGEXREPLACE(B968&amp;"" ""&amp;C968,""[^а-яa-z0-9 ]"","" ""))")," бырай   аланы  таза б лагы  спанов      телбаева        лтынсарин туралы ")</f>
        <v> бырай   аланы  таза б лагы  спанов      телбаева        лтынсарин туралы </v>
      </c>
      <c r="G968" s="10" t="str">
        <f>IFERROR(__xludf.DUMMYFUNCTION("TEXTJOIN(""|"",TRUE,UNIQUE(FILTER(SPLIT(F968,"" ""),LEN(SPLIT(F968,"" ""))&gt;2)))"),"бырай|аланы|таза|лагы|спанов|телбаева|лтынсарин|туралы")</f>
        <v>бырай|аланы|таза|лагы|спанов|телбаева|лтынсарин|туралы</v>
      </c>
      <c r="I968" s="6"/>
      <c r="J968" s="6"/>
    </row>
    <row r="969">
      <c r="A969" s="12" t="s">
        <v>2756</v>
      </c>
      <c r="B969" s="7" t="s">
        <v>2757</v>
      </c>
      <c r="C969" s="7" t="s">
        <v>2758</v>
      </c>
      <c r="D969" s="8">
        <v>13400.0</v>
      </c>
      <c r="E969" s="9">
        <v>1.0</v>
      </c>
      <c r="F969" s="10" t="str">
        <f>IFERROR(__xludf.DUMMYFUNCTION("LOWER(REGEXREPLACE(B969&amp;"" ""&amp;C969,""[^а-яa-z0-9 ]"","" ""))")," бырай   истый родник степи  спанов      тельбаева   ")</f>
        <v> бырай   истый родник степи  спанов      тельбаева   </v>
      </c>
      <c r="G969" s="10" t="str">
        <f>IFERROR(__xludf.DUMMYFUNCTION("TEXTJOIN(""|"",TRUE,UNIQUE(FILTER(SPLIT(F969,"" ""),LEN(SPLIT(F969,"" ""))&gt;2)))"),"бырай|истый|родник|степи|спанов|тельбаева")</f>
        <v>бырай|истый|родник|степи|спанов|тельбаева</v>
      </c>
      <c r="I969" s="6"/>
      <c r="J969" s="6"/>
    </row>
    <row r="970">
      <c r="A970" s="12" t="s">
        <v>2759</v>
      </c>
      <c r="B970" s="7" t="s">
        <v>2760</v>
      </c>
      <c r="C970" s="7" t="s">
        <v>2761</v>
      </c>
      <c r="D970" s="8">
        <v>64600.0</v>
      </c>
      <c r="E970" s="9">
        <v>21.0</v>
      </c>
      <c r="F970" s="10" t="str">
        <f>IFERROR(__xludf.DUMMYFUNCTION("LOWER(REGEXREPLACE(B970&amp;"" ""&amp;C970,""[^а-яa-z0-9 ]"","" ""))"),"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"&amp;"темпе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f>
        <v>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v>
      </c>
      <c r="G970" s="10" t="str">
        <f>IFERROR(__xludf.DUMMYFUNCTION("TEXTJOIN(""|"",TRUE,UNIQUE(FILTER(SPLIT(F970,"" ""),LEN(SPLIT(F970,"" ""))&gt;2)))"),"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amp;"ивает|внимание|память|скорость|реакции|редусмотрено|менее|режимов|игры|грушка|оснащена|световыми|звуковыми|эффектами")</f>
        <v>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ивает|внимание|память|скорость|реакции|редусмотрено|менее|режимов|игры|грушка|оснащена|световыми|звуковыми|эффектами</v>
      </c>
      <c r="I970" s="6"/>
      <c r="J970" s="6"/>
    </row>
    <row r="971">
      <c r="A971" s="12" t="s">
        <v>2762</v>
      </c>
      <c r="B971" s="7" t="s">
        <v>2763</v>
      </c>
      <c r="C971" s="7" t="s">
        <v>2764</v>
      </c>
      <c r="D971" s="8">
        <v>12400.0</v>
      </c>
      <c r="E971" s="9">
        <v>1.0</v>
      </c>
      <c r="F971" s="10" t="str">
        <f>IFERROR(__xludf.DUMMYFUNCTION("LOWER(REGEXREPLACE(B971&amp;"" ""&amp;C971,""[^а-яa-z0-9 ]"","" ""))"),"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ко"&amp;"ммуникативных навыков ")</f>
        <v>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коммуникативных навыков </v>
      </c>
      <c r="G971" s="10" t="str">
        <f>IFERROR(__xludf.DUMMYFUNCTION("TEXTJOIN(""|"",TRUE,UNIQUE(FILTER(SPLIT(F971,"" ""),LEN(SPLIT(F971,"" ""))&gt;2)))"),"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amp;"выков")</f>
        <v>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выков</v>
      </c>
      <c r="I971" s="6"/>
      <c r="J971" s="6"/>
    </row>
    <row r="972">
      <c r="A972" s="12" t="s">
        <v>2765</v>
      </c>
      <c r="B972" s="7" t="s">
        <v>2766</v>
      </c>
      <c r="C972" s="7" t="s">
        <v>2767</v>
      </c>
      <c r="D972" s="8">
        <v>4800.0</v>
      </c>
      <c r="E972" s="9">
        <v>1.0</v>
      </c>
      <c r="F972" s="10" t="str">
        <f>IFERROR(__xludf.DUMMYFUNCTION("LOWER(REGEXREPLACE(B972&amp;"" ""&amp;C972,""[^а-яa-z0-9 ]"","" ""))"),"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работы"&amp;" ")</f>
        <v>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 </v>
      </c>
      <c r="G972" s="10" t="str">
        <f>IFERROR(__xludf.DUMMYFUNCTION("TEXTJOIN(""|"",TRUE,UNIQUE(FILTER(SPLIT(F972,"" ""),LEN(SPLIT(F972,"" ""))&gt;2)))"),"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f>
        <v>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v>
      </c>
      <c r="I972" s="6"/>
      <c r="J972" s="6"/>
    </row>
    <row r="973">
      <c r="A973" s="12" t="s">
        <v>2768</v>
      </c>
      <c r="B973" s="7" t="s">
        <v>2769</v>
      </c>
      <c r="C973" s="7" t="s">
        <v>2770</v>
      </c>
      <c r="D973" s="8">
        <v>12700.0</v>
      </c>
      <c r="E973" s="9">
        <v>12.0</v>
      </c>
      <c r="F973" s="10" t="str">
        <f>IFERROR(__xludf.DUMMYFUNCTION("LOWER(REGEXREPLACE(B973&amp;"" ""&amp;C973,""[^а-яa-z0-9 ]"","" ""))"),"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f>
        <v>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v>
      </c>
      <c r="G973" s="10" t="str">
        <f>IFERROR(__xludf.DUMMYFUNCTION("TEXTJOIN(""|"",TRUE,UNIQUE(FILTER(SPLIT(F973,"" ""),LEN(SPLIT(F973,"" ""))&gt;2)))"),"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f>
        <v>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v>
      </c>
      <c r="I973" s="6"/>
      <c r="J973" s="6"/>
    </row>
    <row r="974">
      <c r="A974" s="12" t="s">
        <v>2771</v>
      </c>
      <c r="B974" s="7" t="s">
        <v>2772</v>
      </c>
      <c r="C974" s="7" t="s">
        <v>2773</v>
      </c>
      <c r="D974" s="8">
        <v>6700.0</v>
      </c>
      <c r="E974" s="9">
        <v>25.0</v>
      </c>
      <c r="F974" s="10" t="str">
        <f>IFERROR(__xludf.DUMMYFUNCTION("LOWER(REGEXREPLACE(B974&amp;"" ""&amp;C974,""[^а-яa-z0-9 ]"","" ""))"),"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эста"&amp;"фет и командных игр в спортивном зале и на улице ")</f>
        <v>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эстафет и командных игр в спортивном зале и на улице </v>
      </c>
      <c r="G974" s="10" t="str">
        <f>IFERROR(__xludf.DUMMYFUNCTION("TEXTJOIN(""|"",TRUE,UNIQUE(FILTER(SPLIT(F974,"" ""),LEN(SPLIT(F974,"" ""))&gt;2)))"),"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amp;"е|улице")</f>
        <v>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е|улице</v>
      </c>
      <c r="I974" s="6"/>
      <c r="J974" s="6"/>
    </row>
    <row r="975">
      <c r="A975" s="12" t="s">
        <v>2774</v>
      </c>
      <c r="B975" s="7" t="s">
        <v>2775</v>
      </c>
      <c r="C975" s="7" t="s">
        <v>1563</v>
      </c>
      <c r="D975" s="8">
        <v>7000.0</v>
      </c>
      <c r="E975" s="9">
        <v>1.0</v>
      </c>
      <c r="F975" s="10" t="str">
        <f>IFERROR(__xludf.DUMMYFUNCTION("LOWER(REGEXREPLACE(B975&amp;"" ""&amp;C975,""[^а-яa-z0-9 ]"","" ""))")," stana   the heart of our  otherland  уреханова   ")</f>
        <v> stana   the heart of our  otherland  уреханова   </v>
      </c>
      <c r="G975" s="10" t="str">
        <f>IFERROR(__xludf.DUMMYFUNCTION("TEXTJOIN(""|"",TRUE,UNIQUE(FILTER(SPLIT(F975,"" ""),LEN(SPLIT(F975,"" ""))&gt;2)))"),"stana|the|heart|our|otherland|уреханова")</f>
        <v>stana|the|heart|our|otherland|уреханова</v>
      </c>
      <c r="I975" s="6"/>
      <c r="J975" s="6"/>
    </row>
    <row r="976">
      <c r="A976" s="12" t="s">
        <v>2776</v>
      </c>
      <c r="B976" s="7" t="s">
        <v>2777</v>
      </c>
      <c r="C976" s="7" t="s">
        <v>2778</v>
      </c>
      <c r="D976" s="8">
        <v>22100.0</v>
      </c>
      <c r="E976" s="9">
        <v>2.0</v>
      </c>
      <c r="F976" s="10" t="str">
        <f>IFERROR(__xludf.DUMMYFUNCTION("LOWER(REGEXREPLACE(B976&amp;"" ""&amp;C976,""[^а-яa-z0-9 ]"","" ""))"),"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оформ"&amp;"ленное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проис"&amp;"хождения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собо"&amp;"й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"&amp;"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f>
        <v>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v>
      </c>
      <c r="G976" s="10" t="str">
        <f>IFERROR(__xludf.DUMMYFUNCTION("TEXTJOIN(""|"",TRUE,UNIQUE(FILTER(SPLIT(F976,"" ""),LEN(SPLIT(F976,"" ""))&gt;2)))"),"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amp;"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amp;"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amp;"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amp;"ермоусадочной|пленке|пособия|превышает")</f>
        <v>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ермоусадочной|пленке|пособия|превышает</v>
      </c>
      <c r="I976" s="6"/>
      <c r="J976" s="6"/>
    </row>
    <row r="977">
      <c r="A977" s="12" t="s">
        <v>2779</v>
      </c>
      <c r="B977" s="7" t="s">
        <v>2780</v>
      </c>
      <c r="C977" s="7" t="s">
        <v>2781</v>
      </c>
      <c r="D977" s="8">
        <v>91000.0</v>
      </c>
      <c r="E977" s="9">
        <v>1.0</v>
      </c>
      <c r="F977" s="10" t="str">
        <f>IFERROR(__xludf.DUMMYFUNCTION("LOWER(REGEXREPLACE(B977&amp;"" ""&amp;C977,""[^а-яa-z0-9 ]"","" ""))"),"                                                             анузакова    ")</f>
        <v>                                                             анузакова    </v>
      </c>
      <c r="G977" s="10" t="str">
        <f>IFERROR(__xludf.DUMMYFUNCTION("TEXTJOIN(""|"",TRUE,UNIQUE(FILTER(SPLIT(F977,"" ""),LEN(SPLIT(F977,"" ""))&gt;2)))"),"анузакова")</f>
        <v>анузакова</v>
      </c>
      <c r="I977" s="6"/>
      <c r="J977" s="6"/>
    </row>
    <row r="978">
      <c r="A978" s="12" t="s">
        <v>2782</v>
      </c>
      <c r="B978" s="7" t="s">
        <v>2783</v>
      </c>
      <c r="C978" s="7" t="s">
        <v>2781</v>
      </c>
      <c r="D978" s="8">
        <v>142500.0</v>
      </c>
      <c r="E978" s="9">
        <v>1.0</v>
      </c>
      <c r="F978" s="10" t="str">
        <f>IFERROR(__xludf.DUMMYFUNCTION("LOWER(REGEXREPLACE(B978&amp;"" ""&amp;C978,""[^а-яa-z0-9 ]"","" ""))"),"                                                                 анузакова    ")</f>
        <v>                                                                 анузакова    </v>
      </c>
      <c r="G978" s="10" t="str">
        <f>IFERROR(__xludf.DUMMYFUNCTION("TEXTJOIN(""|"",TRUE,UNIQUE(FILTER(SPLIT(F978,"" ""),LEN(SPLIT(F978,"" ""))&gt;2)))"),"анузакова")</f>
        <v>анузакова</v>
      </c>
      <c r="I978" s="6"/>
      <c r="J978" s="6"/>
    </row>
    <row r="979">
      <c r="A979" s="12" t="s">
        <v>2784</v>
      </c>
      <c r="B979" s="7" t="s">
        <v>2785</v>
      </c>
      <c r="C979" s="7" t="s">
        <v>1346</v>
      </c>
      <c r="D979" s="8">
        <v>30700.0</v>
      </c>
      <c r="E979" s="9">
        <v>1.0</v>
      </c>
      <c r="F979" s="10" t="str">
        <f>IFERROR(__xludf.DUMMYFUNCTION("LOWER(REGEXREPLACE(B979&amp;"" ""&amp;C979,""[^а-яa-z0-9 ]"","" ""))")," azakhstan   y  ative  and  юрта      ужикова")</f>
        <v> azakhstan   y  ative  and  юрта      ужикова</v>
      </c>
      <c r="G979" s="10" t="str">
        <f>IFERROR(__xludf.DUMMYFUNCTION("TEXTJOIN(""|"",TRUE,UNIQUE(FILTER(SPLIT(F979,"" ""),LEN(SPLIT(F979,"" ""))&gt;2)))"),"azakhstan|ative|and|юрта|ужикова")</f>
        <v>azakhstan|ative|and|юрта|ужикова</v>
      </c>
      <c r="I979" s="6"/>
      <c r="J979" s="6"/>
    </row>
    <row r="980">
      <c r="A980" s="12" t="s">
        <v>2786</v>
      </c>
      <c r="B980" s="7" t="s">
        <v>2787</v>
      </c>
      <c r="C980" s="7" t="s">
        <v>2788</v>
      </c>
      <c r="D980" s="8">
        <v>511200.0</v>
      </c>
      <c r="E980" s="9">
        <v>15.0</v>
      </c>
      <c r="F980" s="10" t="str">
        <f>IFERROR(__xludf.DUMMYFUNCTION("LOWER(REGEXREPLACE(B980&amp;"" ""&amp;C980,""[^а-яa-z0-9 ]"","" ""))"),"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командной"&amp;" работы и базовых инженерных представлений   одходит для индивидуальной и групповой работы ")</f>
        <v>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 работы и базовых инженерных представлений   одходит для индивидуальной и групповой работы </v>
      </c>
      <c r="G980" s="10" t="str">
        <f>IFERROR(__xludf.DUMMYFUNCTION("TEXTJOIN(""|"",TRUE,UNIQUE(FILTER(SPLIT(F980,"" ""),LEN(SPLIT(F980,"" ""))&gt;2)))"),"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amp;"х|представлений|одходит|для|индивидуальной|групповой|работы")</f>
        <v>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х|представлений|одходит|для|индивидуальной|групповой|работы</v>
      </c>
      <c r="I980" s="6"/>
      <c r="J980" s="6"/>
    </row>
    <row r="981">
      <c r="A981" s="12" t="s">
        <v>2789</v>
      </c>
      <c r="B981" s="7" t="s">
        <v>2790</v>
      </c>
      <c r="C981" s="7" t="s">
        <v>2791</v>
      </c>
      <c r="D981" s="8">
        <v>403800.0</v>
      </c>
      <c r="E981" s="9">
        <v>20.0</v>
      </c>
      <c r="F981" s="10" t="str">
        <f>IFERROR(__xludf.DUMMYFUNCTION("LOWER(REGEXREPLACE(B981&amp;"" ""&amp;C981,""[^а-яa-z0-9 ]"","" ""))"),"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с"&amp;"оздается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программ"&amp;"ированию ")</f>
        <v>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программированию </v>
      </c>
      <c r="G981" s="10" t="str">
        <f>IFERROR(__xludf.DUMMYFUNCTION("TEXTJOIN(""|"",TRUE,UNIQUE(FILTER(SPLIT(F981,"" ""),LEN(SPLIT(F981,"" ""))&gt;2)))"),"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amp;"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f>
        <v>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v>
      </c>
      <c r="I981" s="6"/>
      <c r="J981" s="6"/>
    </row>
    <row r="982">
      <c r="A982" s="12" t="s">
        <v>2792</v>
      </c>
      <c r="B982" s="7" t="s">
        <v>2793</v>
      </c>
      <c r="C982" s="7" t="s">
        <v>2794</v>
      </c>
      <c r="D982" s="8">
        <v>27900.0</v>
      </c>
      <c r="E982" s="9">
        <v>1.0</v>
      </c>
      <c r="F982" s="10" t="str">
        <f>IFERROR(__xludf.DUMMYFUNCTION("LOWER(REGEXREPLACE(B982&amp;"" ""&amp;C982,""[^а-яa-z0-9 ]"","" ""))")," hokan  he  odestar of the  ast  ужикова     перевод  санова    ")</f>
        <v> hokan  he  odestar of the  ast  ужикова     перевод  санова    </v>
      </c>
      <c r="G982" s="10" t="str">
        <f>IFERROR(__xludf.DUMMYFUNCTION("TEXTJOIN(""|"",TRUE,UNIQUE(FILTER(SPLIT(F982,"" ""),LEN(SPLIT(F982,"" ""))&gt;2)))"),"hokan|odestar|the|ast|ужикова|перевод|санова")</f>
        <v>hokan|odestar|the|ast|ужикова|перевод|санова</v>
      </c>
      <c r="I982" s="6"/>
      <c r="J982" s="6"/>
    </row>
    <row r="983">
      <c r="A983" s="12" t="s">
        <v>2795</v>
      </c>
      <c r="B983" s="7" t="s">
        <v>2796</v>
      </c>
      <c r="C983" s="7" t="s">
        <v>2797</v>
      </c>
      <c r="D983" s="8">
        <v>285000.0</v>
      </c>
      <c r="E983" s="9">
        <v>10.0</v>
      </c>
      <c r="F983" s="10" t="str">
        <f>IFERROR(__xludf.DUMMYFUNCTION("LOWER(REGEXREPLACE(B983&amp;"" ""&amp;C983,""[^а-яa-z0-9 ]"","" ""))"),"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f>
        <v>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v>
      </c>
      <c r="G983" s="10" t="str">
        <f>IFERROR(__xludf.DUMMYFUNCTION("TEXTJOIN(""|"",TRUE,UNIQUE(FILTER(SPLIT(F983,"" ""),LEN(SPLIT(F983,"" ""))&gt;2)))"),"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f>
        <v>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v>
      </c>
      <c r="I983" s="6"/>
      <c r="J983" s="6"/>
    </row>
    <row r="984">
      <c r="A984" s="12" t="s">
        <v>2798</v>
      </c>
      <c r="B984" s="7" t="s">
        <v>2799</v>
      </c>
      <c r="C984" s="7" t="s">
        <v>2800</v>
      </c>
      <c r="D984" s="8">
        <v>158100.0</v>
      </c>
      <c r="E984" s="9">
        <v>20.0</v>
      </c>
      <c r="F984" s="10" t="str">
        <f>IFERROR(__xludf.DUMMYFUNCTION("LOWER(REGEXREPLACE(B984&amp;"" ""&amp;C984,""[^а-яa-z0-9 ]"","" ""))"),"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использовани"&amp;"и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f>
        <v>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v>
      </c>
      <c r="G984" s="10" t="str">
        <f>IFERROR(__xludf.DUMMYFUNCTION("TEXTJOIN(""|"",TRUE,UNIQUE(FILTER(SPLIT(F984,"" ""),LEN(SPLIT(F984,"" ""))&gt;2)))"),"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amp;"чень|важно|для|сохранения|концентрации|детей|илый|интуитивно|понятный|дизайн|способен|покорить|внимание|каждого|ребенка")</f>
        <v>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чень|важно|для|сохранения|концентрации|детей|илый|интуитивно|понятный|дизайн|способен|покорить|внимание|каждого|ребенка</v>
      </c>
      <c r="I984" s="6"/>
      <c r="J984" s="6"/>
    </row>
    <row r="985">
      <c r="A985" s="12" t="s">
        <v>2801</v>
      </c>
      <c r="B985" s="7" t="s">
        <v>2802</v>
      </c>
      <c r="C985" s="7" t="s">
        <v>2803</v>
      </c>
      <c r="D985" s="8">
        <v>2500.0</v>
      </c>
      <c r="E985" s="9">
        <v>5.0</v>
      </c>
      <c r="F985" s="10" t="str">
        <f>IFERROR(__xludf.DUMMYFUNCTION("LOWER(REGEXREPLACE(B985&amp;"" ""&amp;C985,""[^а-яa-z0-9 ]"","" ""))"),"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р"&amp;"именяются при рассматривании и обсуждении ")</f>
        <v>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рименяются при рассматривании и обсуждении </v>
      </c>
      <c r="G985" s="10" t="str">
        <f>IFERROR(__xludf.DUMMYFUNCTION("TEXTJOIN(""|"",TRUE,UNIQUE(FILTER(SPLIT(F985,"" ""),LEN(SPLIT(F985,"" ""))&gt;2)))"),"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amp;"ии|обсуждении")</f>
        <v>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ии|обсуждении</v>
      </c>
      <c r="I985" s="6"/>
      <c r="J985" s="6"/>
    </row>
    <row r="986">
      <c r="A986" s="12" t="s">
        <v>2804</v>
      </c>
      <c r="B986" s="7" t="s">
        <v>2805</v>
      </c>
      <c r="C986" s="7" t="s">
        <v>2806</v>
      </c>
      <c r="D986" s="8">
        <v>57000.0</v>
      </c>
      <c r="E986" s="9">
        <v>20.0</v>
      </c>
      <c r="F986" s="10" t="str">
        <f>IFERROR(__xludf.DUMMYFUNCTION("LOWER(REGEXREPLACE(B986&amp;"" ""&amp;C986,""[^а-яa-z0-9 ]"","" ""))"),"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"&amp;"программирования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f>
        <v>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v>
      </c>
      <c r="G986" s="10" t="str">
        <f>IFERROR(__xludf.DUMMYFUNCTION("TEXTJOIN(""|"",TRUE,UNIQUE(FILTER(SPLIT(F986,"" ""),LEN(SPLIT(F986,"" ""))&gt;2)))"),"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amp;"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f>
        <v>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v>
      </c>
      <c r="I986" s="6"/>
      <c r="J986" s="6"/>
    </row>
    <row r="987">
      <c r="A987" s="12" t="s">
        <v>2807</v>
      </c>
      <c r="B987" s="7" t="s">
        <v>2808</v>
      </c>
      <c r="C987" s="7" t="s">
        <v>2809</v>
      </c>
      <c r="D987" s="8">
        <v>29300.0</v>
      </c>
      <c r="E987" s="9">
        <v>1.0</v>
      </c>
      <c r="F987" s="10" t="str">
        <f>IFERROR(__xludf.DUMMYFUNCTION("LOWER(REGEXREPLACE(B987&amp;"" ""&amp;C987,""[^а-яa-z0-9 ]"","" ""))")," he  reat  bai     ужикова      айрамбаева")</f>
        <v> he  reat  bai     ужикова      айрамбаева</v>
      </c>
      <c r="G987" s="10" t="str">
        <f>IFERROR(__xludf.DUMMYFUNCTION("TEXTJOIN(""|"",TRUE,UNIQUE(FILTER(SPLIT(F987,"" ""),LEN(SPLIT(F987,"" ""))&gt;2)))"),"reat|bai|ужикова|айрамбаева")</f>
        <v>reat|bai|ужикова|айрамбаева</v>
      </c>
      <c r="I987" s="6"/>
      <c r="J987" s="6"/>
    </row>
    <row r="988">
      <c r="A988" s="12" t="s">
        <v>2810</v>
      </c>
      <c r="B988" s="7" t="s">
        <v>2811</v>
      </c>
      <c r="C988" s="7" t="s">
        <v>308</v>
      </c>
      <c r="D988" s="8">
        <v>19900.0</v>
      </c>
      <c r="E988" s="9">
        <v>1.0</v>
      </c>
      <c r="F988" s="10" t="str">
        <f>IFERROR(__xludf.DUMMYFUNCTION("LOWER(REGEXREPLACE(B988&amp;"" ""&amp;C988,""[^а-яa-z0-9 ]"","" ""))")," elcome   auryz      спанова")</f>
        <v> elcome   auryz      спанова</v>
      </c>
      <c r="G988" s="10" t="str">
        <f>IFERROR(__xludf.DUMMYFUNCTION("TEXTJOIN(""|"",TRUE,UNIQUE(FILTER(SPLIT(F988,"" ""),LEN(SPLIT(F988,"" ""))&gt;2)))"),"elcome|auryz|спанова")</f>
        <v>elcome|auryz|спанова</v>
      </c>
      <c r="I988" s="6"/>
      <c r="J988" s="6"/>
    </row>
    <row r="989">
      <c r="A989" s="12" t="s">
        <v>2812</v>
      </c>
      <c r="B989" s="7" t="s">
        <v>2813</v>
      </c>
      <c r="C989" s="7" t="s">
        <v>2814</v>
      </c>
      <c r="D989" s="8">
        <v>298300.0</v>
      </c>
      <c r="E989" s="9">
        <v>4.0</v>
      </c>
      <c r="F989" s="10" t="str">
        <f>IFERROR(__xludf.DUMMYFUNCTION("LOWER(REGEXREPLACE(B989&amp;"" ""&amp;C989,""[^а-яa-z0-9 ]"","" ""))"),"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"&amp;"пособствует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адап"&amp;"тированы для индивидуальной и групповой работы  соответствуют требованиям эксплуатации в     ")</f>
        <v>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адаптированы для индивидуальной и групповой работы  соответствуют требованиям эксплуатации в     </v>
      </c>
      <c r="G989" s="10" t="str">
        <f>IFERROR(__xludf.DUMMYFUNCTION("TEXTJOIN(""|"",TRUE,UNIQUE(FILTER(SPLIT(F989,"" ""),LEN(SPLIT(F989,"" ""))&gt;2)))"),"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amp;"|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amp;"ии")</f>
        <v>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ии</v>
      </c>
      <c r="I989" s="6"/>
      <c r="J989" s="6"/>
    </row>
    <row r="990">
      <c r="A990" s="12" t="s">
        <v>2815</v>
      </c>
      <c r="B990" s="7" t="s">
        <v>2816</v>
      </c>
      <c r="C990" s="7" t="s">
        <v>2817</v>
      </c>
      <c r="D990" s="8">
        <v>241500.0</v>
      </c>
      <c r="E990" s="9">
        <v>4.0</v>
      </c>
      <c r="F990" s="10" t="str">
        <f>IFERROR(__xludf.DUMMYFUNCTION("LOWER(REGEXREPLACE(B990&amp;"" ""&amp;C990,""[^а-яa-z0-9 ]"","" ""))")," каф медицинский  каф медицинский двухстворчатый из полипропилена  размер 800х400х1800 мм                           2 1780   ")</f>
        <v> каф медицинский  каф медицинский двухстворчатый из полипропилена  размер 800х400х1800 мм                           2 1780   </v>
      </c>
      <c r="G990" s="10" t="str">
        <f>IFERROR(__xludf.DUMMYFUNCTION("TEXTJOIN(""|"",TRUE,UNIQUE(FILTER(SPLIT(F990,"" ""),LEN(SPLIT(F990,"" ""))&gt;2)))"),"каф|медицинский|каф|медицинский|двухстворчатый|полипропилена|размер|800х400х1800|1780")</f>
        <v>каф|медицинский|каф|медицинский|двухстворчатый|полипропилена|размер|800х400х1800|1780</v>
      </c>
      <c r="I990" s="6"/>
      <c r="J990" s="6"/>
    </row>
    <row r="991">
      <c r="A991" s="12" t="s">
        <v>2818</v>
      </c>
      <c r="B991" s="7" t="s">
        <v>2819</v>
      </c>
      <c r="C991" s="7" t="s">
        <v>2820</v>
      </c>
      <c r="D991" s="8">
        <v>15300.0</v>
      </c>
      <c r="E991" s="9">
        <v>7.0</v>
      </c>
      <c r="F991" s="10" t="str">
        <f>IFERROR(__xludf.DUMMYFUNCTION("LOWER(REGEXREPLACE(B991&amp;"" ""&amp;C991,""[^а-яa-z0-9 ]"","" ""))")," есконтактный инфракрасный термометр  есконтактный термометр идеален для измерения температуры тела у взрослых  детей и новорожденных")</f>
        <v> есконтактный инфракрасный термометр  есконтактный термометр идеален для измерения температуры тела у взрослых  детей и новорожденных</v>
      </c>
      <c r="G991" s="10" t="str">
        <f>IFERROR(__xludf.DUMMYFUNCTION("TEXTJOIN(""|"",TRUE,UNIQUE(FILTER(SPLIT(F991,"" ""),LEN(SPLIT(F991,"" ""))&gt;2)))"),"есконтактный|инфракрасный|термометр|есконтактный|термометр|идеален|для|измерения|температуры|тела|взрослых|детей|новорожденных")</f>
        <v>есконтактный|инфракрасный|термометр|есконтактный|термометр|идеален|для|измерения|температуры|тела|взрослых|детей|новорожденных</v>
      </c>
      <c r="I991" s="6"/>
      <c r="J991" s="6"/>
    </row>
    <row r="992">
      <c r="A992" s="12" t="s">
        <v>2821</v>
      </c>
      <c r="B992" s="7" t="s">
        <v>2822</v>
      </c>
      <c r="C992" s="7" t="s">
        <v>2823</v>
      </c>
      <c r="D992" s="8">
        <v>71500.0</v>
      </c>
      <c r="E992" s="9">
        <v>1.0</v>
      </c>
      <c r="F992" s="10" t="str">
        <f>IFERROR(__xludf.DUMMYFUNCTION("LOWER(REGEXREPLACE(B992&amp;"" ""&amp;C992,""[^а-яa-z0-9 ]"","" ""))")," остомер механический   остомер механический 400х398х2360")</f>
        <v> остомер механический   остомер механический 400х398х2360</v>
      </c>
      <c r="G992" s="10" t="str">
        <f>IFERROR(__xludf.DUMMYFUNCTION("TEXTJOIN(""|"",TRUE,UNIQUE(FILTER(SPLIT(F992,"" ""),LEN(SPLIT(F992,"" ""))&gt;2)))"),"остомер|механический|остомер|механический|400х398х2360")</f>
        <v>остомер|механический|остомер|механический|400х398х2360</v>
      </c>
      <c r="I992" s="6"/>
      <c r="J992" s="6"/>
    </row>
    <row r="993">
      <c r="A993" s="12" t="s">
        <v>2824</v>
      </c>
      <c r="B993" s="7" t="s">
        <v>2825</v>
      </c>
      <c r="C993" s="7" t="s">
        <v>2826</v>
      </c>
      <c r="D993" s="8">
        <v>3600.0</v>
      </c>
      <c r="E993" s="9">
        <v>1.0</v>
      </c>
      <c r="F993" s="10" t="str">
        <f>IFERROR(__xludf.DUMMYFUNCTION("LOWER(REGEXREPLACE(B993&amp;"" ""&amp;C993,""[^а-яa-z0-9 ]"","" ""))"),"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f>
        <v>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v>
      </c>
      <c r="G993" s="10" t="str">
        <f>IFERROR(__xludf.DUMMYFUNCTION("TEXTJOIN(""|"",TRUE,UNIQUE(FILTER(SPLIT(F993,"" ""),LEN(SPLIT(F993,"" ""))&gt;2)))"),"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f>
        <v>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v>
      </c>
      <c r="I993" s="6"/>
      <c r="J993" s="6"/>
    </row>
    <row r="994">
      <c r="A994" s="12" t="s">
        <v>2827</v>
      </c>
      <c r="B994" s="7" t="s">
        <v>2828</v>
      </c>
      <c r="C994" s="7" t="s">
        <v>2829</v>
      </c>
      <c r="D994" s="8">
        <v>6700.0</v>
      </c>
      <c r="E994" s="9">
        <v>5.0</v>
      </c>
      <c r="F994" s="10" t="str">
        <f>IFERROR(__xludf.DUMMYFUNCTION("LOWER(REGEXREPLACE(B994&amp;"" ""&amp;C994,""[^а-яa-z0-9 ]"","" ""))"),"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признак"&amp;"ов    набор входит не менее 16 демонстрационных картинок размером около 173 220 мм и 16 раздаточных карточек ")</f>
        <v>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признаков    набор входит не менее 16 демонстрационных картинок размером около 173 220 мм и 16 раздаточных карточек </v>
      </c>
      <c r="G994" s="10" t="str">
        <f>IFERROR(__xludf.DUMMYFUNCTION("TEXTJOIN(""|"",TRUE,UNIQUE(FILTER(SPLIT(F994,"" ""),LEN(SPLIT(F994,"" ""))&gt;2)))"),"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amp;"нее|демонстрационных|картинок|размером|около|173|220|раздаточных|карточек")</f>
        <v>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нее|демонстрационных|картинок|размером|около|173|220|раздаточных|карточек</v>
      </c>
      <c r="I994" s="6"/>
      <c r="J994" s="6"/>
    </row>
    <row r="995">
      <c r="A995" s="12" t="s">
        <v>2830</v>
      </c>
      <c r="B995" s="7" t="s">
        <v>2831</v>
      </c>
      <c r="C995" s="7" t="s">
        <v>2831</v>
      </c>
      <c r="D995" s="8">
        <v>1000.0</v>
      </c>
      <c r="E995" s="9">
        <v>1.0</v>
      </c>
      <c r="F995" s="10" t="str">
        <f>IFERROR(__xludf.DUMMYFUNCTION("LOWER(REGEXREPLACE(B995&amp;"" ""&amp;C995,""[^а-яa-z0-9 ]"","" ""))")," змерительная лента  змерительная лента")</f>
        <v> змерительная лента  змерительная лента</v>
      </c>
      <c r="G995" s="10" t="str">
        <f>IFERROR(__xludf.DUMMYFUNCTION("TEXTJOIN(""|"",TRUE,UNIQUE(FILTER(SPLIT(F995,"" ""),LEN(SPLIT(F995,"" ""))&gt;2)))"),"змерительная|лента|змерительная|лента")</f>
        <v>змерительная|лента|змерительная|лента</v>
      </c>
      <c r="I995" s="6"/>
      <c r="J995" s="6"/>
    </row>
    <row r="996">
      <c r="A996" s="12" t="s">
        <v>2832</v>
      </c>
      <c r="B996" s="7" t="s">
        <v>2833</v>
      </c>
      <c r="C996" s="7" t="s">
        <v>2834</v>
      </c>
      <c r="D996" s="8">
        <v>17800.0</v>
      </c>
      <c r="E996" s="9">
        <v>2.0</v>
      </c>
      <c r="F996" s="10" t="str">
        <f>IFERROR(__xludf.DUMMYFUNCTION("LOWER(REGEXREPLACE(B996&amp;"" ""&amp;C996,""[^а-яa-z0-9 ]"","" ""))"),"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фун"&amp;"кциональности  карманы  удобный крой  и презентабельности")</f>
        <v>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v>
      </c>
      <c r="G996" s="10" t="str">
        <f>IFERROR(__xludf.DUMMYFUNCTION("TEXTJOIN(""|"",TRUE,UNIQUE(FILTER(SPLIT(F996,"" ""),LEN(SPLIT(F996,"" ""))&gt;2)))"),"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amp;"|удобный|крой|презентабельности")</f>
        <v>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удобный|крой|презентабельности</v>
      </c>
      <c r="I996" s="6"/>
      <c r="J996" s="6"/>
    </row>
    <row r="997">
      <c r="A997" s="12" t="s">
        <v>2835</v>
      </c>
      <c r="B997" s="7" t="s">
        <v>2836</v>
      </c>
      <c r="C997" s="7" t="s">
        <v>2837</v>
      </c>
      <c r="D997" s="8">
        <v>11400.0</v>
      </c>
      <c r="E997" s="9">
        <v>2.0</v>
      </c>
      <c r="F997" s="10" t="str">
        <f>IFERROR(__xludf.DUMMYFUNCTION("LOWER(REGEXREPLACE(B997&amp;"" ""&amp;C997,""[^а-яa-z0-9 ]"","" ""))")," ровать для кукол  иниатюрная кровать для кукол с покрывалом   спользуется в сюжетно ролевых и бытовых играх ")</f>
        <v> ровать для кукол  иниатюрная кровать для кукол с покрывалом   спользуется в сюжетно ролевых и бытовых играх </v>
      </c>
      <c r="G997" s="10" t="str">
        <f>IFERROR(__xludf.DUMMYFUNCTION("TEXTJOIN(""|"",TRUE,UNIQUE(FILTER(SPLIT(F997,"" ""),LEN(SPLIT(F997,"" ""))&gt;2)))"),"ровать|для|кукол|иниатюрная|кровать|для|кукол|покрывалом|спользуется|сюжетно|ролевых|бытовых|играх")</f>
        <v>ровать|для|кукол|иниатюрная|кровать|для|кукол|покрывалом|спользуется|сюжетно|ролевых|бытовых|играх</v>
      </c>
      <c r="I997" s="6"/>
      <c r="J997" s="6"/>
    </row>
    <row r="998">
      <c r="A998" s="12" t="s">
        <v>2838</v>
      </c>
      <c r="B998" s="7" t="s">
        <v>2839</v>
      </c>
      <c r="C998" s="7" t="s">
        <v>2840</v>
      </c>
      <c r="D998" s="8">
        <v>3500.0</v>
      </c>
      <c r="E998" s="9">
        <v>7.0</v>
      </c>
      <c r="F998" s="10" t="str">
        <f>IFERROR(__xludf.DUMMYFUNCTION("LOWER(REGEXREPLACE(B998&amp;"" ""&amp;C998,""[^а-яa-z0-9 ]"","" ""))"),"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ин"&amp;"струкции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f>
        <v>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v>
      </c>
      <c r="G998" s="10" t="str">
        <f>IFERROR(__xludf.DUMMYFUNCTION("TEXTJOIN(""|"",TRUE,UNIQUE(FILTER(SPLIT(F998,"" ""),LEN(SPLIT(F998,"" ""))&gt;2)))"),"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amp;"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f>
        <v>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v>
      </c>
      <c r="I998" s="6"/>
      <c r="J998" s="6"/>
    </row>
    <row r="999">
      <c r="A999" s="12" t="s">
        <v>2841</v>
      </c>
      <c r="B999" s="7" t="s">
        <v>2842</v>
      </c>
      <c r="C999" s="7" t="s">
        <v>2843</v>
      </c>
      <c r="D999" s="8">
        <v>805800.0</v>
      </c>
      <c r="E999" s="9">
        <v>1.0</v>
      </c>
      <c r="F999" s="10" t="str">
        <f>IFERROR(__xludf.DUMMYFUNCTION("LOWER(REGEXREPLACE(B999&amp;"" ""&amp;C999,""[^а-яa-z0-9 ]"","" ""))"),"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f>
        <v>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v>
      </c>
      <c r="G999" s="10" t="str">
        <f>IFERROR(__xludf.DUMMYFUNCTION("TEXTJOIN(""|"",TRUE,UNIQUE(FILTER(SPLIT(F999,"" ""),LEN(SPLIT(F999,"" ""))&gt;2)))"),"олодильник|фармацевтический|олодильник|предназначен|для|хранения|медикаментов|соблюдением|температурного|режима|установленного|санитарными|требованиями")</f>
        <v>олодильник|фармацевтический|олодильник|предназначен|для|хранения|медикаментов|соблюдением|температурного|режима|установленного|санитарными|требованиями</v>
      </c>
      <c r="I999" s="6"/>
      <c r="J999" s="6"/>
    </row>
    <row r="1000">
      <c r="A1000" s="12" t="s">
        <v>2844</v>
      </c>
      <c r="B1000" s="7" t="s">
        <v>2845</v>
      </c>
      <c r="C1000" s="7" t="s">
        <v>2846</v>
      </c>
      <c r="D1000" s="8">
        <v>6300.0</v>
      </c>
      <c r="E1000" s="9">
        <v>5.0</v>
      </c>
      <c r="F1000" s="10" t="str">
        <f>IFERROR(__xludf.DUMMYFUNCTION("LOWER(REGEXREPLACE(B1000&amp;"" ""&amp;C1000,""[^а-яa-z0-9 ]"","" ""))"),"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менее"&amp;" 16 демонстрационных картинок и 16 раздаточных карточек ")</f>
        <v>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 16 демонстрационных картинок и 16 раздаточных карточек </v>
      </c>
      <c r="G1000" s="10" t="str">
        <f>IFERROR(__xludf.DUMMYFUNCTION("TEXTJOIN(""|"",TRUE,UNIQUE(FILTER(SPLIT(F1000,"" ""),LEN(SPLIT(F1000,"" ""))&gt;2)))"),"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amp;"тинок|раздаточных|карточек")</f>
        <v>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тинок|раздаточных|карточек</v>
      </c>
      <c r="I1000" s="6"/>
      <c r="J1000" s="6"/>
    </row>
    <row r="1001">
      <c r="A1001" s="12" t="s">
        <v>2847</v>
      </c>
      <c r="B1001" s="7" t="s">
        <v>2848</v>
      </c>
      <c r="C1001" s="7" t="s">
        <v>2849</v>
      </c>
      <c r="D1001" s="8">
        <v>6700.0</v>
      </c>
      <c r="E1001" s="9">
        <v>5.0</v>
      </c>
      <c r="F1001" s="10" t="str">
        <f>IFERROR(__xludf.DUMMYFUNCTION("LOWER(REGEXREPLACE(B1001&amp;"" ""&amp;C1001,""[^а-яa-z0-9 ]"","" ""))"),"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изо"&amp;"бражений и 16 раздаточных карточек ")</f>
        <v>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изображений и 16 раздаточных карточек </v>
      </c>
      <c r="G1001" s="10" t="str">
        <f>IFERROR(__xludf.DUMMYFUNCTION("TEXTJOIN(""|"",TRUE,UNIQUE(FILTER(SPLIT(F1001,"" ""),LEN(SPLIT(F1001,"" ""))&gt;2)))"),"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amp;"арточек")</f>
        <v>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арточек</v>
      </c>
      <c r="I1001" s="6"/>
      <c r="J1001" s="6"/>
    </row>
    <row r="1002">
      <c r="A1002" s="12" t="s">
        <v>2850</v>
      </c>
      <c r="B1002" s="7" t="s">
        <v>2851</v>
      </c>
      <c r="C1002" s="7" t="s">
        <v>2852</v>
      </c>
      <c r="D1002" s="8">
        <v>119000.0</v>
      </c>
      <c r="E1002" s="9">
        <v>2.0</v>
      </c>
      <c r="F1002" s="10" t="str">
        <f>IFERROR(__xludf.DUMMYFUNCTION("LOWER(REGEXREPLACE(B1002&amp;"" ""&amp;C1002,""[^а-яa-z0-9 ]"","" ""))"),"   устройство  ппарат для     терапии   0 12квт   220        60")</f>
        <v>   устройство  ппарат для     терапии   0 12квт   220        60</v>
      </c>
      <c r="G1002" s="10" t="str">
        <f>IFERROR(__xludf.DUMMYFUNCTION("TEXTJOIN(""|"",TRUE,UNIQUE(FILTER(SPLIT(F1002,"" ""),LEN(SPLIT(F1002,"" ""))&gt;2)))"),"устройство|ппарат|для|терапии|12квт|220")</f>
        <v>устройство|ппарат|для|терапии|12квт|220</v>
      </c>
      <c r="I1002" s="6"/>
      <c r="J1002" s="6"/>
    </row>
    <row r="1003">
      <c r="A1003" s="12" t="s">
        <v>2853</v>
      </c>
      <c r="B1003" s="7" t="s">
        <v>2854</v>
      </c>
      <c r="C1003" s="7" t="s">
        <v>2855</v>
      </c>
      <c r="D1003" s="8">
        <v>5400.0</v>
      </c>
      <c r="E1003" s="9">
        <v>1.0</v>
      </c>
      <c r="F1003" s="10" t="str">
        <f>IFERROR(__xludf.DUMMYFUNCTION("LOWER(REGEXREPLACE(B1003&amp;"" ""&amp;C1003,""[^а-яa-z0-9 ]"","" ""))")," знакомление с окружающим миром  электронная версия  2   знакомление с окружающим миром   етодическое пособие  электронная версия ")</f>
        <v> знакомление с окружающим миром  электронная версия  2   знакомление с окружающим миром   етодическое пособие  электронная версия </v>
      </c>
      <c r="G1003" s="10" t="str">
        <f>IFERROR(__xludf.DUMMYFUNCTION("TEXTJOIN(""|"",TRUE,UNIQUE(FILTER(SPLIT(F1003,"" ""),LEN(SPLIT(F1003,"" ""))&gt;2)))"),"знакомление|окружающим|миром|электронная|версия|знакомление|окружающим|миром|етодическое|пособие|электронная|версия")</f>
        <v>знакомление|окружающим|миром|электронная|версия|знакомление|окружающим|миром|етодическое|пособие|электронная|версия</v>
      </c>
      <c r="I1003" s="6"/>
      <c r="J1003" s="6"/>
    </row>
    <row r="1004">
      <c r="A1004" s="12" t="s">
        <v>2856</v>
      </c>
      <c r="B1004" s="7" t="s">
        <v>2857</v>
      </c>
      <c r="C1004" s="7" t="s">
        <v>2858</v>
      </c>
      <c r="D1004" s="8">
        <v>4800.0</v>
      </c>
      <c r="E1004" s="9">
        <v>1.0</v>
      </c>
      <c r="F1004" s="10" t="str">
        <f>IFERROR(__xludf.DUMMYFUNCTION("LOWER(REGEXREPLACE(B1004&amp;"" ""&amp;C1004,""[^а-яa-z0-9 ]"","" ""))")," знакомление с окружающим миром  раздаточный материал  2   знакомление с окружающим миром   аздаточный материал")</f>
        <v> знакомление с окружающим миром  раздаточный материал  2   знакомление с окружающим миром   аздаточный материал</v>
      </c>
      <c r="G1004" s="10" t="str">
        <f>IFERROR(__xludf.DUMMYFUNCTION("TEXTJOIN(""|"",TRUE,UNIQUE(FILTER(SPLIT(F1004,"" ""),LEN(SPLIT(F1004,"" ""))&gt;2)))"),"знакомление|окружающим|миром|раздаточный|материал|знакомление|окружающим|миром|аздаточный|материал")</f>
        <v>знакомление|окружающим|миром|раздаточный|материал|знакомление|окружающим|миром|аздаточный|материал</v>
      </c>
      <c r="I1004" s="6"/>
      <c r="J1004" s="6"/>
    </row>
    <row r="1005">
      <c r="A1005" s="12" t="s">
        <v>2859</v>
      </c>
      <c r="B1005" s="7" t="s">
        <v>26</v>
      </c>
      <c r="C1005" s="14" t="s">
        <v>2860</v>
      </c>
      <c r="D1005" s="8">
        <v>15045.0</v>
      </c>
      <c r="E1005" s="9">
        <v>61.0</v>
      </c>
      <c r="F1005" s="10" t="str">
        <f>IFERROR(__xludf.DUMMYFUNCTION("LOWER(REGEXREPLACE(B1005&amp;"" ""&amp;C1005,""[^а-яa-z0-9 ]"","" ""))")," озатор для жидкого мыла  озатор жидкого мыла")</f>
        <v> озатор для жидкого мыла  озатор жидкого мыла</v>
      </c>
      <c r="G1005" s="10" t="str">
        <f>IFERROR(__xludf.DUMMYFUNCTION("TEXTJOIN(""|"",TRUE,UNIQUE(FILTER(SPLIT(F1005,"" ""),LEN(SPLIT(F1005,"" ""))&gt;2)))"),"озатор|для|жидкого|мыла|озатор|жидкого|мыла")</f>
        <v>озатор|для|жидкого|мыла|озатор|жидкого|мыла</v>
      </c>
      <c r="I1005" s="6"/>
      <c r="J1005" s="6"/>
    </row>
    <row r="1006">
      <c r="A1006" s="12" t="s">
        <v>2861</v>
      </c>
      <c r="B1006" s="12" t="s">
        <v>2862</v>
      </c>
      <c r="C1006" s="7" t="s">
        <v>2863</v>
      </c>
      <c r="D1006" s="8">
        <v>1650200.0</v>
      </c>
      <c r="E1006" s="9">
        <v>1.0</v>
      </c>
      <c r="F1006" s="10" t="str">
        <f>IFERROR(__xludf.DUMMYFUNCTION("LOWER(REGEXREPLACE(B1006&amp;"" ""&amp;C1006,""[^а-яa-z0-9 ]"","" ""))")," ерстак   ерстак для столярных работ и работы с деревом")</f>
        <v> ерстак   ерстак для столярных работ и работы с деревом</v>
      </c>
      <c r="G1006" s="10" t="str">
        <f>IFERROR(__xludf.DUMMYFUNCTION("TEXTJOIN(""|"",TRUE,UNIQUE(FILTER(SPLIT(F1006,"" ""),LEN(SPLIT(F1006,"" ""))&gt;2)))"),"ерстак|ерстак|для|столярных|работ|работы|деревом")</f>
        <v>ерстак|ерстак|для|столярных|работ|работы|деревом</v>
      </c>
      <c r="I1006" s="6"/>
      <c r="J1006" s="6"/>
    </row>
    <row r="1007">
      <c r="A1007" s="12" t="s">
        <v>2864</v>
      </c>
      <c r="B1007" s="12" t="s">
        <v>2865</v>
      </c>
      <c r="C1007" s="7" t="s">
        <v>2866</v>
      </c>
      <c r="D1007" s="8">
        <v>1429200.0</v>
      </c>
      <c r="E1007" s="9">
        <v>2.0</v>
      </c>
      <c r="F1007" s="10" t="str">
        <f>IFERROR(__xludf.DUMMYFUNCTION("LOWER(REGEXREPLACE(B1007&amp;"" ""&amp;C1007,""[^а-яa-z0-9 ]"","" ""))")," тол верстак  тол верстак для проектной деятельности")</f>
        <v> тол верстак  тол верстак для проектной деятельности</v>
      </c>
      <c r="G1007" s="10" t="str">
        <f>IFERROR(__xludf.DUMMYFUNCTION("TEXTJOIN(""|"",TRUE,UNIQUE(FILTER(SPLIT(F1007,"" ""),LEN(SPLIT(F1007,"" ""))&gt;2)))"),"тол|верстак|тол|верстак|для|проектной|деятельности")</f>
        <v>тол|верстак|тол|верстак|для|проектной|деятельности</v>
      </c>
      <c r="I1007" s="6"/>
      <c r="J1007" s="6"/>
    </row>
    <row r="1008">
      <c r="A1008" s="12" t="s">
        <v>2867</v>
      </c>
      <c r="B1008" s="12" t="s">
        <v>2868</v>
      </c>
      <c r="C1008" s="7" t="s">
        <v>2869</v>
      </c>
      <c r="D1008" s="8">
        <v>1056200.0</v>
      </c>
      <c r="E1008" s="9">
        <v>1.0</v>
      </c>
      <c r="F1008" s="10" t="str">
        <f>IFERROR(__xludf.DUMMYFUNCTION("LOWER(REGEXREPLACE(B1008&amp;"" ""&amp;C1008,""[^а-яa-z0-9 ]"","" ""))")," обильный стол  обильный стол для экспериментов с песком и водой")</f>
        <v> обильный стол  обильный стол для экспериментов с песком и водой</v>
      </c>
      <c r="G1008" s="10" t="str">
        <f>IFERROR(__xludf.DUMMYFUNCTION("TEXTJOIN(""|"",TRUE,UNIQUE(FILTER(SPLIT(F1008,"" ""),LEN(SPLIT(F1008,"" ""))&gt;2)))"),"обильный|стол|обильный|стол|для|экспериментов|песком|водой")</f>
        <v>обильный|стол|обильный|стол|для|экспериментов|песком|водой</v>
      </c>
      <c r="I1008" s="6"/>
      <c r="J1008" s="6"/>
    </row>
    <row r="1009">
      <c r="A1009" s="12" t="s">
        <v>2870</v>
      </c>
      <c r="B1009" s="12" t="s">
        <v>2871</v>
      </c>
      <c r="C1009" s="7" t="s">
        <v>2872</v>
      </c>
      <c r="D1009" s="8">
        <v>973200.0</v>
      </c>
      <c r="E1009" s="9">
        <v>1.0</v>
      </c>
      <c r="F1009" s="10" t="str">
        <f>IFERROR(__xludf.DUMMYFUNCTION("LOWER(REGEXREPLACE(B1009&amp;"" ""&amp;C1009,""[^а-яa-z0-9 ]"","" ""))")," тол с линзами   тол с линзами для макро наблюдений объектов")</f>
        <v> тол с линзами   тол с линзами для макро наблюдений объектов</v>
      </c>
      <c r="G1009" s="10" t="str">
        <f>IFERROR(__xludf.DUMMYFUNCTION("TEXTJOIN(""|"",TRUE,UNIQUE(FILTER(SPLIT(F1009,"" ""),LEN(SPLIT(F1009,"" ""))&gt;2)))"),"тол|линзами|тол|линзами|для|макро|наблюдений|объектов")</f>
        <v>тол|линзами|тол|линзами|для|макро|наблюдений|объектов</v>
      </c>
      <c r="I1009" s="6"/>
      <c r="J1009" s="6"/>
    </row>
    <row r="1010">
      <c r="A1010" s="12" t="s">
        <v>2873</v>
      </c>
      <c r="B1010" s="7" t="s">
        <v>2874</v>
      </c>
      <c r="C1010" s="7" t="s">
        <v>2874</v>
      </c>
      <c r="D1010" s="8">
        <v>952800.0</v>
      </c>
      <c r="E1010" s="9">
        <v>1.0</v>
      </c>
      <c r="F1010" s="10" t="str">
        <f>IFERROR(__xludf.DUMMYFUNCTION("LOWER(REGEXREPLACE(B1010&amp;"" ""&amp;C1010,""[^а-яa-z0-9 ]"","" ""))")," тол для демонстрации находок и коллекций  тол для демонстрации находок и коллекций")</f>
        <v> тол для демонстрации находок и коллекций  тол для демонстрации находок и коллекций</v>
      </c>
      <c r="G1010" s="10" t="str">
        <f>IFERROR(__xludf.DUMMYFUNCTION("TEXTJOIN(""|"",TRUE,UNIQUE(FILTER(SPLIT(F1010,"" ""),LEN(SPLIT(F1010,"" ""))&gt;2)))"),"тол|для|демонстрации|находок|коллекций|тол|для|демонстрации|находок|коллекций")</f>
        <v>тол|для|демонстрации|находок|коллекций|тол|для|демонстрации|находок|коллекций</v>
      </c>
      <c r="I1010" s="6"/>
      <c r="J1010" s="6"/>
    </row>
    <row r="1011">
      <c r="A1011" s="12" t="s">
        <v>2875</v>
      </c>
      <c r="B1011" s="7" t="s">
        <v>2876</v>
      </c>
      <c r="C1011" s="7" t="s">
        <v>2877</v>
      </c>
      <c r="D1011" s="8">
        <v>6700.0</v>
      </c>
      <c r="E1011" s="9">
        <v>5.0</v>
      </c>
      <c r="F1011" s="10" t="str">
        <f>IFERROR(__xludf.DUMMYFUNCTION("LOWER(REGEXREPLACE(B1011&amp;"" ""&amp;C1011,""[^а-яa-z0-9 ]"","" ""))"),"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демонстрационны"&amp;"х и 16 раздаточных карточек ")</f>
        <v>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демонстрационных и 16 раздаточных карточек </v>
      </c>
      <c r="G1011" s="10" t="str">
        <f>IFERROR(__xludf.DUMMYFUNCTION("TEXTJOIN(""|"",TRUE,UNIQUE(FILTER(SPLIT(F1011,"" ""),LEN(SPLIT(F1011,"" ""))&gt;2)))"),"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amp;"ек")</f>
        <v>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ек</v>
      </c>
      <c r="I1011" s="6"/>
      <c r="J1011" s="6"/>
    </row>
    <row r="1012">
      <c r="A1012" s="12" t="s">
        <v>2878</v>
      </c>
      <c r="B1012" s="7" t="s">
        <v>2879</v>
      </c>
      <c r="C1012" s="7" t="s">
        <v>2879</v>
      </c>
      <c r="D1012" s="8">
        <v>722400.0</v>
      </c>
      <c r="E1012" s="9">
        <v>2.0</v>
      </c>
      <c r="F1012" s="10" t="str">
        <f>IFERROR(__xludf.DUMMYFUNCTION("LOWER(REGEXREPLACE(B1012&amp;"" ""&amp;C1012,""[^а-яa-z0-9 ]"","" ""))")," теллаж для хранения      наборов и лотков  теллаж для хранения      наборов и лотков")</f>
        <v> теллаж для хранения      наборов и лотков  теллаж для хранения      наборов и лотков</v>
      </c>
      <c r="G1012" s="10" t="str">
        <f>IFERROR(__xludf.DUMMYFUNCTION("TEXTJOIN(""|"",TRUE,UNIQUE(FILTER(SPLIT(F1012,"" ""),LEN(SPLIT(F1012,"" ""))&gt;2)))"),"теллаж|для|хранения|наборов|лотков|теллаж|для|хранения|наборов|лотков")</f>
        <v>теллаж|для|хранения|наборов|лотков|теллаж|для|хранения|наборов|лотков</v>
      </c>
      <c r="I1012" s="6"/>
      <c r="J1012" s="6"/>
    </row>
    <row r="1013">
      <c r="A1013" s="12" t="s">
        <v>2880</v>
      </c>
      <c r="B1013" s="7" t="s">
        <v>2881</v>
      </c>
      <c r="C1013" s="7" t="s">
        <v>2881</v>
      </c>
      <c r="D1013" s="8">
        <v>166600.0</v>
      </c>
      <c r="E1013" s="9">
        <v>2.0</v>
      </c>
      <c r="F1013" s="10" t="str">
        <f>IFERROR(__xludf.DUMMYFUNCTION("LOWER(REGEXREPLACE(B1013&amp;"" ""&amp;C1013,""[^а-яa-z0-9 ]"","" ""))")," абор глубоких лотков для мелких деталей  абор глубоких лотков для мелких деталей")</f>
        <v> абор глубоких лотков для мелких деталей  абор глубоких лотков для мелких деталей</v>
      </c>
      <c r="G1013" s="10" t="str">
        <f>IFERROR(__xludf.DUMMYFUNCTION("TEXTJOIN(""|"",TRUE,UNIQUE(FILTER(SPLIT(F1013,"" ""),LEN(SPLIT(F1013,"" ""))&gt;2)))"),"абор|глубоких|лотков|для|мелких|деталей|абор|глубоких|лотков|для|мелких|деталей")</f>
        <v>абор|глубоких|лотков|для|мелких|деталей|абор|глубоких|лотков|для|мелких|деталей</v>
      </c>
      <c r="I1013" s="6"/>
      <c r="J1013" s="6"/>
    </row>
    <row r="1014">
      <c r="A1014" s="12" t="s">
        <v>2882</v>
      </c>
      <c r="B1014" s="7" t="s">
        <v>2883</v>
      </c>
      <c r="C1014" s="7" t="s">
        <v>2883</v>
      </c>
      <c r="D1014" s="8">
        <v>163000.0</v>
      </c>
      <c r="E1014" s="9">
        <v>25.0</v>
      </c>
      <c r="F1014" s="10" t="str">
        <f>IFERROR(__xludf.DUMMYFUNCTION("LOWER(REGEXREPLACE(B1014&amp;"" ""&amp;C1014,""[^а-яa-z0-9 ]"","" ""))")," тулья для всей группы  высота сиденья 25 см   тулья для всей группы  высота сиденья 25 см ")</f>
        <v> тулья для всей группы  высота сиденья 25 см   тулья для всей группы  высота сиденья 25 см </v>
      </c>
      <c r="G1014" s="10" t="str">
        <f>IFERROR(__xludf.DUMMYFUNCTION("TEXTJOIN(""|"",TRUE,UNIQUE(FILTER(SPLIT(F1014,"" ""),LEN(SPLIT(F1014,"" ""))&gt;2)))"),"тулья|для|всей|группы|высота|сиденья|тулья|для|всей|группы|высота|сиденья")</f>
        <v>тулья|для|всей|группы|высота|сиденья|тулья|для|всей|группы|высота|сиденья</v>
      </c>
      <c r="I1014" s="6"/>
      <c r="J1014" s="6"/>
    </row>
    <row r="1015">
      <c r="A1015" s="12" t="s">
        <v>2884</v>
      </c>
      <c r="B1015" s="7" t="s">
        <v>2885</v>
      </c>
      <c r="C1015" s="7" t="s">
        <v>2885</v>
      </c>
      <c r="D1015" s="8">
        <v>736100.0</v>
      </c>
      <c r="E1015" s="9">
        <v>1.0</v>
      </c>
      <c r="F1015" s="10" t="str">
        <f>IFERROR(__xludf.DUMMYFUNCTION("LOWER(REGEXREPLACE(B1015&amp;"" ""&amp;C1015,""[^а-яa-z0-9 ]"","" ""))")," овер   осмос  для занятий на полу  овер   осмос  для занятий на полу")</f>
        <v> овер   осмос  для занятий на полу  овер   осмос  для занятий на полу</v>
      </c>
      <c r="G1015" s="10" t="str">
        <f>IFERROR(__xludf.DUMMYFUNCTION("TEXTJOIN(""|"",TRUE,UNIQUE(FILTER(SPLIT(F1015,"" ""),LEN(SPLIT(F1015,"" ""))&gt;2)))"),"овер|осмос|для|занятий|полу|овер|осмос|для|занятий|полу")</f>
        <v>овер|осмос|для|занятий|полу|овер|осмос|для|занятий|полу</v>
      </c>
      <c r="I1015" s="6"/>
      <c r="J1015" s="6"/>
    </row>
    <row r="1016">
      <c r="A1016" s="12" t="s">
        <v>2886</v>
      </c>
      <c r="B1016" s="7" t="s">
        <v>2887</v>
      </c>
      <c r="C1016" s="7" t="s">
        <v>2887</v>
      </c>
      <c r="D1016" s="8">
        <v>347900.0</v>
      </c>
      <c r="E1016" s="9">
        <v>1.0</v>
      </c>
      <c r="F1016" s="10" t="str">
        <f>IFERROR(__xludf.DUMMYFUNCTION("LOWER(REGEXREPLACE(B1016&amp;"" ""&amp;C1016,""[^а-яa-z0-9 ]"","" ""))")," тойка для сушки работ после экспериментов  тойка для сушки работ после экспериментов")</f>
        <v> тойка для сушки работ после экспериментов  тойка для сушки работ после экспериментов</v>
      </c>
      <c r="G1016" s="10" t="str">
        <f>IFERROR(__xludf.DUMMYFUNCTION("TEXTJOIN(""|"",TRUE,UNIQUE(FILTER(SPLIT(F1016,"" ""),LEN(SPLIT(F1016,"" ""))&gt;2)))"),"тойка|для|сушки|работ|после|экспериментов|тойка|для|сушки|работ|после|экспериментов")</f>
        <v>тойка|для|сушки|работ|после|экспериментов|тойка|для|сушки|работ|после|экспериментов</v>
      </c>
      <c r="I1016" s="6"/>
      <c r="J1016" s="6"/>
    </row>
    <row r="1017">
      <c r="A1017" s="12" t="s">
        <v>2888</v>
      </c>
      <c r="B1017" s="7" t="s">
        <v>2889</v>
      </c>
      <c r="C1017" s="7" t="s">
        <v>2889</v>
      </c>
      <c r="D1017" s="8">
        <v>389900.0</v>
      </c>
      <c r="E1017" s="9">
        <v>10.0</v>
      </c>
      <c r="F1017" s="10" t="str">
        <f>IFERROR(__xludf.DUMMYFUNCTION("LOWER(REGEXREPLACE(B1017&amp;"" ""&amp;C1017,""[^а-яa-z0-9 ]"","" ""))")," абор для дошкольного изучения  omputer science and     абор для дошкольного изучения  omputer science and   ")</f>
        <v> абор для дошкольного изучения  omputer science and     абор для дошкольного изучения  omputer science and   </v>
      </c>
      <c r="G1017" s="10" t="str">
        <f>IFERROR(__xludf.DUMMYFUNCTION("TEXTJOIN(""|"",TRUE,UNIQUE(FILTER(SPLIT(F1017,"" ""),LEN(SPLIT(F1017,"" ""))&gt;2)))"),"абор|для|дошкольного|изучения|omputer|science|and|абор|для|дошкольного|изучения|omputer|science|and")</f>
        <v>абор|для|дошкольного|изучения|omputer|science|and|абор|для|дошкольного|изучения|omputer|science|and</v>
      </c>
      <c r="I1017" s="6"/>
      <c r="J1017" s="6"/>
    </row>
    <row r="1018">
      <c r="A1018" s="12" t="s">
        <v>2890</v>
      </c>
      <c r="B1018" s="7" t="s">
        <v>2891</v>
      </c>
      <c r="C1018" s="7" t="s">
        <v>2891</v>
      </c>
      <c r="D1018" s="8">
        <v>612000.0</v>
      </c>
      <c r="E1018" s="9">
        <v>0.0</v>
      </c>
      <c r="F1018" s="10" t="str">
        <f>IFERROR(__xludf.DUMMYFUNCTION("LOWER(REGEXREPLACE(B1018&amp;"" ""&amp;C1018,""[^а-яa-z0-9 ]"","" ""))")," ric   otion  ssential  ric   otion  ssential")</f>
        <v> ric   otion  ssential  ric   otion  ssential</v>
      </c>
      <c r="G1018" s="10" t="str">
        <f>IFERROR(__xludf.DUMMYFUNCTION("TEXTJOIN(""|"",TRUE,UNIQUE(FILTER(SPLIT(F1018,"" ""),LEN(SPLIT(F1018,"" ""))&gt;2)))"),"ric|otion|ssential|ric|otion|ssential")</f>
        <v>ric|otion|ssential|ric|otion|ssential</v>
      </c>
      <c r="I1018" s="6"/>
      <c r="J1018" s="6"/>
    </row>
    <row r="1019">
      <c r="A1019" s="12" t="s">
        <v>2892</v>
      </c>
      <c r="B1019" s="7" t="s">
        <v>2893</v>
      </c>
      <c r="C1019" s="7" t="s">
        <v>2893</v>
      </c>
      <c r="D1019" s="8">
        <v>373400.0</v>
      </c>
      <c r="E1019" s="9">
        <v>10.0</v>
      </c>
      <c r="F1019" s="10" t="str">
        <f>IFERROR(__xludf.DUMMYFUNCTION("LOWER(REGEXREPLACE(B1019&amp;"" ""&amp;C1019,""[^а-яa-z0-9 ]"","" ""))"),"       ducation        ark        ducation        ark")</f>
        <v>       ducation        ark        ducation        ark</v>
      </c>
      <c r="G1019" s="10" t="str">
        <f>IFERROR(__xludf.DUMMYFUNCTION("TEXTJOIN(""|"",TRUE,UNIQUE(FILTER(SPLIT(F1019,"" ""),LEN(SPLIT(F1019,"" ""))&gt;2)))"),"ducation|ark|ducation|ark")</f>
        <v>ducation|ark|ducation|ark</v>
      </c>
      <c r="I1019" s="6"/>
      <c r="J1019" s="6"/>
    </row>
    <row r="1020">
      <c r="A1020" s="12" t="s">
        <v>2894</v>
      </c>
      <c r="B1020" s="7" t="s">
        <v>2895</v>
      </c>
      <c r="C1020" s="7" t="s">
        <v>2895</v>
      </c>
      <c r="D1020" s="8">
        <v>385600.0</v>
      </c>
      <c r="E1020" s="9">
        <v>0.0</v>
      </c>
      <c r="F1020" s="10" t="str">
        <f>IFERROR(__xludf.DUMMYFUNCTION("LOWER(REGEXREPLACE(B1020&amp;"" ""&amp;C1020,""[^а-яa-z0-9 ]"","" ""))")," нструменты для конструирования из картона для начальной школы  нструменты для конструирования из картона для начальной школы")</f>
        <v> нструменты для конструирования из картона для начальной школы  нструменты для конструирования из картона для начальной школы</v>
      </c>
      <c r="G1020" s="10" t="str">
        <f>IFERROR(__xludf.DUMMYFUNCTION("TEXTJOIN(""|"",TRUE,UNIQUE(FILTER(SPLIT(F1020,"" ""),LEN(SPLIT(F1020,"" ""))&gt;2)))"),"нструменты|для|конструирования|картона|для|начальной|школы|нструменты|для|конструирования|картона|для|начальной|школы")</f>
        <v>нструменты|для|конструирования|картона|для|начальной|школы|нструменты|для|конструирования|картона|для|начальной|школы</v>
      </c>
      <c r="I1020" s="6"/>
      <c r="J1020" s="6"/>
    </row>
    <row r="1021">
      <c r="A1021" s="12" t="s">
        <v>2896</v>
      </c>
      <c r="B1021" s="12" t="s">
        <v>2897</v>
      </c>
      <c r="C1021" s="7" t="s">
        <v>2898</v>
      </c>
      <c r="D1021" s="8">
        <v>2100.0</v>
      </c>
      <c r="E1021" s="9">
        <v>2.0</v>
      </c>
      <c r="F1021" s="10" t="str">
        <f>IFERROR(__xludf.DUMMYFUNCTION("LOWER(REGEXREPLACE(B1021&amp;"" ""&amp;C1021,""[^а-яa-z0-9 ]"","" ""))")," ешалка напольная для верхней одежды  апольная вешалка   азмеры высота 1700мм  кол во крючков 8шт ")</f>
        <v> ешалка напольная для верхней одежды  апольная вешалка   азмеры высота 1700мм  кол во крючков 8шт </v>
      </c>
      <c r="G1021" s="10" t="str">
        <f>IFERROR(__xludf.DUMMYFUNCTION("TEXTJOIN(""|"",TRUE,UNIQUE(FILTER(SPLIT(F1021,"" ""),LEN(SPLIT(F1021,"" ""))&gt;2)))"),"ешалка|напольная|для|верхней|одежды|апольная|вешалка|азмеры|высота|1700мм|кол|крючков|8шт")</f>
        <v>ешалка|напольная|для|верхней|одежды|апольная|вешалка|азмеры|высота|1700мм|кол|крючков|8шт</v>
      </c>
      <c r="I1021" s="6"/>
      <c r="J1021" s="6"/>
    </row>
    <row r="1022">
      <c r="A1022" s="12" t="s">
        <v>2899</v>
      </c>
      <c r="B1022" s="7" t="s">
        <v>2900</v>
      </c>
      <c r="C1022" s="7" t="s">
        <v>2901</v>
      </c>
      <c r="D1022" s="8">
        <v>36000.0</v>
      </c>
      <c r="E1022" s="9">
        <v>1.0</v>
      </c>
      <c r="F1022" s="10" t="str">
        <f>IFERROR(__xludf.DUMMYFUNCTION("LOWER(REGEXREPLACE(B1022&amp;"" ""&amp;C1022,""[^а-яa-z0-9 ]"","" ""))"),"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настенн"&amp;"ого монтажа ")</f>
        <v>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настенного монтажа </v>
      </c>
      <c r="G1022" s="10" t="str">
        <f>IFERROR(__xludf.DUMMYFUNCTION("TEXTJOIN(""|"",TRUE,UNIQUE(FILTER(SPLIT(F1022,"" ""),LEN(SPLIT(F1022,"" ""))&gt;2)))"),"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f>
        <v>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v>
      </c>
      <c r="I1022" s="6"/>
      <c r="J1022" s="6"/>
    </row>
    <row r="1023">
      <c r="A1023" s="12" t="s">
        <v>2902</v>
      </c>
      <c r="B1023" s="7" t="s">
        <v>2903</v>
      </c>
      <c r="C1023" s="7" t="s">
        <v>2904</v>
      </c>
      <c r="D1023" s="8">
        <v>315000.0</v>
      </c>
      <c r="E1023" s="9">
        <v>1.0</v>
      </c>
      <c r="F1023" s="10" t="str">
        <f>IFERROR(__xludf.DUMMYFUNCTION("LOWER(REGEXREPLACE(B1023&amp;"" ""&amp;C1023,""[^а-яa-z0-9 ]"","" ""))")," тол производственный  роизводственный стол предназначен для хозяйственных работ   азмеры  1800х600х850")</f>
        <v> тол производственный  роизводственный стол предназначен для хозяйственных работ   азмеры  1800х600х850</v>
      </c>
      <c r="G1023" s="10" t="str">
        <f>IFERROR(__xludf.DUMMYFUNCTION("TEXTJOIN(""|"",TRUE,UNIQUE(FILTER(SPLIT(F1023,"" ""),LEN(SPLIT(F1023,"" ""))&gt;2)))"),"тол|производственный|роизводственный|стол|предназначен|для|хозяйственных|работ|азмеры|1800х600х850")</f>
        <v>тол|производственный|роизводственный|стол|предназначен|для|хозяйственных|работ|азмеры|1800х600х850</v>
      </c>
      <c r="I1023" s="6"/>
      <c r="J1023" s="6"/>
    </row>
    <row r="1024">
      <c r="A1024" s="12" t="s">
        <v>2905</v>
      </c>
      <c r="B1024" s="7" t="s">
        <v>2906</v>
      </c>
      <c r="C1024" s="7" t="s">
        <v>2907</v>
      </c>
      <c r="D1024" s="8">
        <v>387000.0</v>
      </c>
      <c r="E1024" s="9">
        <v>2.0</v>
      </c>
      <c r="F1024" s="10" t="str">
        <f>IFERROR(__xludf.DUMMYFUNCTION("LOWER(REGEXREPLACE(B1024&amp;"" ""&amp;C1024,""[^а-яa-z0-9 ]"","" ""))")," тол промежуточный vpn7 2  азмеры  800 700 300 мм ")</f>
        <v> тол промежуточный vpn7 2  азмеры  800 700 300 мм </v>
      </c>
      <c r="G1024" s="10" t="str">
        <f>IFERROR(__xludf.DUMMYFUNCTION("TEXTJOIN(""|"",TRUE,UNIQUE(FILTER(SPLIT(F1024,"" ""),LEN(SPLIT(F1024,"" ""))&gt;2)))"),"тол|промежуточный|vpn7|азмеры|800|700|300")</f>
        <v>тол|промежуточный|vpn7|азмеры|800|700|300</v>
      </c>
      <c r="I1024" s="6"/>
      <c r="J1024" s="6"/>
    </row>
    <row r="1025">
      <c r="A1025" s="12" t="s">
        <v>2908</v>
      </c>
      <c r="B1025" s="7" t="s">
        <v>2909</v>
      </c>
      <c r="C1025" s="7" t="s">
        <v>2910</v>
      </c>
      <c r="D1025" s="8">
        <v>283500.0</v>
      </c>
      <c r="E1025" s="9">
        <v>4.0</v>
      </c>
      <c r="F1025" s="10" t="str">
        <f>IFERROR(__xludf.DUMMYFUNCTION("LOWER(REGEXREPLACE(B1025&amp;"" ""&amp;C1025,""[^а-яa-z0-9 ]"","" ""))")," тол рабочий  абочий стол с металлической поверхностью   стойчивый  легко моющийся   азмеры  1800х600х850")</f>
        <v> тол рабочий  абочий стол с металлической поверхностью   стойчивый  легко моющийся   азмеры  1800х600х850</v>
      </c>
      <c r="G1025" s="10" t="str">
        <f>IFERROR(__xludf.DUMMYFUNCTION("TEXTJOIN(""|"",TRUE,UNIQUE(FILTER(SPLIT(F1025,"" ""),LEN(SPLIT(F1025,"" ""))&gt;2)))"),"тол|рабочий|абочий|стол|металлической|поверхностью|стойчивый|легко|моющийся|азмеры|1800х600х850")</f>
        <v>тол|рабочий|абочий|стол|металлической|поверхностью|стойчивый|легко|моющийся|азмеры|1800х600х850</v>
      </c>
      <c r="I1025" s="6"/>
      <c r="J1025" s="6"/>
    </row>
    <row r="1026">
      <c r="A1026" s="12" t="s">
        <v>2911</v>
      </c>
      <c r="B1026" s="7" t="s">
        <v>2912</v>
      </c>
      <c r="C1026" s="7" t="s">
        <v>2913</v>
      </c>
      <c r="D1026" s="8">
        <v>237600.0</v>
      </c>
      <c r="E1026" s="9">
        <v>1.0</v>
      </c>
      <c r="F1026" s="10" t="str">
        <f>IFERROR(__xludf.DUMMYFUNCTION("LOWER(REGEXREPLACE(B1026&amp;"" ""&amp;C1026,""[^а-яa-z0-9 ]"","" ""))")," тол разгрузки посудомойки ce tbc70x75  ержавеющая сталь      430   ез нижней  полки и бортика   араметры  700x750x850 мм")</f>
        <v> тол разгрузки посудомойки ce tbc70x75  ержавеющая сталь      430   ез нижней  полки и бортика   араметры  700x750x850 мм</v>
      </c>
      <c r="G1026" s="10" t="str">
        <f>IFERROR(__xludf.DUMMYFUNCTION("TEXTJOIN(""|"",TRUE,UNIQUE(FILTER(SPLIT(F1026,"" ""),LEN(SPLIT(F1026,"" ""))&gt;2)))"),"тол|разгрузки|посудомойки|tbc70x75|ержавеющая|сталь|430|нижней|полки|бортика|араметры|700x750x850")</f>
        <v>тол|разгрузки|посудомойки|tbc70x75|ержавеющая|сталь|430|нижней|полки|бортика|араметры|700x750x850</v>
      </c>
      <c r="I1026" s="6"/>
      <c r="J1026" s="6"/>
    </row>
    <row r="1027">
      <c r="A1027" s="12" t="s">
        <v>2914</v>
      </c>
      <c r="B1027" s="7" t="s">
        <v>2915</v>
      </c>
      <c r="C1027" s="7" t="s">
        <v>2916</v>
      </c>
      <c r="D1027" s="8">
        <v>735000.0</v>
      </c>
      <c r="E1027" s="9">
        <v>1.0</v>
      </c>
      <c r="F1027" s="10" t="str">
        <f>IFERROR(__xludf.DUMMYFUNCTION("LOWER(REGEXREPLACE(B1027&amp;"" ""&amp;C1027,""[^а-яa-z0-9 ]"","" ""))"),"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устойчив"&amp;"ые  с подпятниками для защиты напольного покрытия   азмеры   1800 800 750 мм    комплект входит приставной стол для посетителей  ")</f>
        <v>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устойчивые  с подпятниками для защиты напольного покрытия   азмеры   1800 800 750 мм    комплект входит приставной стол для посетителей  </v>
      </c>
      <c r="G1027" s="10" t="str">
        <f>IFERROR(__xludf.DUMMYFUNCTION("TEXTJOIN(""|"",TRUE,UNIQUE(FILTER(SPLIT(F1027,"" ""),LEN(SPLIT(F1027,"" ""))&gt;2)))"),"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amp;"покрытия|азмеры|1800|800|750|комплект|входит|приставной|стол|для|посетителей")</f>
        <v>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покрытия|азмеры|1800|800|750|комплект|входит|приставной|стол|для|посетителей</v>
      </c>
      <c r="I1027" s="6"/>
      <c r="J1027" s="6"/>
    </row>
    <row r="1028">
      <c r="A1028" s="12" t="s">
        <v>2917</v>
      </c>
      <c r="B1028" s="7" t="s">
        <v>2918</v>
      </c>
      <c r="C1028" s="14" t="s">
        <v>2919</v>
      </c>
      <c r="D1028" s="8">
        <v>175126.0</v>
      </c>
      <c r="E1028" s="9">
        <v>13.0</v>
      </c>
      <c r="F1028" s="10" t="str">
        <f>IFERROR(__xludf.DUMMYFUNCTION("LOWER(REGEXREPLACE(B1028&amp;"" ""&amp;C1028,""[^а-яa-z0-9 ]"","" ""))")," тол с 2 мойками  тол с двумя мойками       120 60   ержавеющая сталь   азмер  1200x600x850мм")</f>
        <v> тол с 2 мойками  тол с двумя мойками       120 60   ержавеющая сталь   азмер  1200x600x850мм</v>
      </c>
      <c r="G1028" s="10" t="str">
        <f>IFERROR(__xludf.DUMMYFUNCTION("TEXTJOIN(""|"",TRUE,UNIQUE(FILTER(SPLIT(F1028,"" ""),LEN(SPLIT(F1028,"" ""))&gt;2)))"),"тол|мойками|тол|двумя|мойками|120|ержавеющая|сталь|азмер|1200x600x850мм")</f>
        <v>тол|мойками|тол|двумя|мойками|120|ержавеющая|сталь|азмер|1200x600x850мм</v>
      </c>
      <c r="I1028" s="6"/>
      <c r="J1028" s="6"/>
    </row>
    <row r="1029">
      <c r="A1029" s="12" t="s">
        <v>2920</v>
      </c>
      <c r="B1029" s="7" t="s">
        <v>2921</v>
      </c>
      <c r="C1029" s="7" t="s">
        <v>62</v>
      </c>
      <c r="D1029" s="8">
        <v>707900.0</v>
      </c>
      <c r="E1029" s="9">
        <v>2.0</v>
      </c>
      <c r="F1029" s="10" t="str">
        <f>IFERROR(__xludf.DUMMYFUNCTION("LOWER(REGEXREPLACE(B1029&amp;"" ""&amp;C1029,""[^а-яa-z0-9 ]"","" ""))")," тол с 2 мойками ce tce120x70  ержавеющая сталь      430    бортиком без полки   ойка  50x40x25 см   араметры  1200x700x850 мм")</f>
        <v> тол с 2 мойками ce tce120x70  ержавеющая сталь      430    бортиком без полки   ойка  50x40x25 см   араметры  1200x700x850 мм</v>
      </c>
      <c r="G1029" s="10" t="str">
        <f>IFERROR(__xludf.DUMMYFUNCTION("TEXTJOIN(""|"",TRUE,UNIQUE(FILTER(SPLIT(F1029,"" ""),LEN(SPLIT(F1029,"" ""))&gt;2)))"),"тол|мойками|tce120x70|ержавеющая|сталь|430|бортиком|без|полки|ойка|50x40x25|араметры|1200x700x850")</f>
        <v>тол|мойками|tce120x70|ержавеющая|сталь|430|бортиком|без|полки|ойка|50x40x25|араметры|1200x700x850</v>
      </c>
      <c r="I1029" s="6"/>
      <c r="J1029" s="6"/>
    </row>
    <row r="1030">
      <c r="A1030" s="12" t="s">
        <v>2922</v>
      </c>
      <c r="B1030" s="7" t="s">
        <v>2923</v>
      </c>
      <c r="C1030" s="14" t="s">
        <v>2924</v>
      </c>
      <c r="D1030" s="8">
        <v>66984.0</v>
      </c>
      <c r="E1030" s="9">
        <v>13.0</v>
      </c>
      <c r="F1030" s="10" t="str">
        <f>IFERROR(__xludf.DUMMYFUNCTION("LOWER(REGEXREPLACE(B1030&amp;"" ""&amp;C1030,""[^а-яa-z0-9 ]"","" ""))")," тол с одной полкой  тол производственный рабочий      1120 60   ержавеющая сталь    одной полкой и бортиком   азмер  1200x600x850мм")</f>
        <v> тол с одной полкой  тол производственный рабочий      1120 60   ержавеющая сталь    одной полкой и бортиком   азмер  1200x600x850мм</v>
      </c>
      <c r="G1030" s="10" t="str">
        <f>IFERROR(__xludf.DUMMYFUNCTION("TEXTJOIN(""|"",TRUE,UNIQUE(FILTER(SPLIT(F1030,"" ""),LEN(SPLIT(F1030,"" ""))&gt;2)))"),"тол|одной|полкой|тол|производственный|рабочий|1120|ержавеющая|сталь|одной|полкой|бортиком|азмер|1200x600x850мм")</f>
        <v>тол|одной|полкой|тол|производственный|рабочий|1120|ержавеющая|сталь|одной|полкой|бортиком|азмер|1200x600x850мм</v>
      </c>
      <c r="I1030" s="6"/>
      <c r="J1030" s="6"/>
    </row>
    <row r="1031">
      <c r="A1031" s="12" t="s">
        <v>2925</v>
      </c>
      <c r="B1031" s="7" t="s">
        <v>2926</v>
      </c>
      <c r="C1031" s="7" t="s">
        <v>2927</v>
      </c>
      <c r="D1031" s="8">
        <v>218000.0</v>
      </c>
      <c r="E1031" s="9">
        <v>1.0</v>
      </c>
      <c r="F1031" s="10" t="str">
        <f>IFERROR(__xludf.DUMMYFUNCTION("LOWER(REGEXREPLACE(B1031&amp;"" ""&amp;C1031,""[^а-яa-z0-9 ]"","" ""))")," тол ce tc080x70  ержавеющая сталь 430   абариты  800x700x850 мм")</f>
        <v> тол ce tc080x70  ержавеющая сталь 430   абариты  800x700x850 мм</v>
      </c>
      <c r="G1031" s="10" t="str">
        <f>IFERROR(__xludf.DUMMYFUNCTION("TEXTJOIN(""|"",TRUE,UNIQUE(FILTER(SPLIT(F1031,"" ""),LEN(SPLIT(F1031,"" ""))&gt;2)))"),"тол|tc080x70|ержавеющая|сталь|430|абариты|800x700x850")</f>
        <v>тол|tc080x70|ержавеющая|сталь|430|абариты|800x700x850</v>
      </c>
      <c r="I1031" s="6"/>
      <c r="J1031" s="6"/>
    </row>
    <row r="1032">
      <c r="A1032" s="12" t="s">
        <v>2928</v>
      </c>
      <c r="B1032" s="7" t="s">
        <v>2929</v>
      </c>
      <c r="C1032" s="7" t="s">
        <v>2930</v>
      </c>
      <c r="D1032" s="8">
        <v>516600.0</v>
      </c>
      <c r="E1032" s="9">
        <v>1.0</v>
      </c>
      <c r="F1032" s="10" t="str">
        <f>IFERROR(__xludf.DUMMYFUNCTION("LOWER(REGEXREPLACE(B1032&amp;"" ""&amp;C1032,""[^а-яa-z0-9 ]"","" ""))")," тол ромашка  3 половинки  на регулируемых ножках  етский стол состоит из тр х половинок  общий диаметр   160 см   редназначен для групповой работы и занятий  ")</f>
        <v> тол ромашка  3 половинки  на регулируемых ножках  етский стол состоит из тр х половинок  общий диаметр   160 см   редназначен для групповой работы и занятий  </v>
      </c>
      <c r="G1032" s="10" t="str">
        <f>IFERROR(__xludf.DUMMYFUNCTION("TEXTJOIN(""|"",TRUE,UNIQUE(FILTER(SPLIT(F1032,"" ""),LEN(SPLIT(F1032,"" ""))&gt;2)))"),"тол|ромашка|половинки|регулируемых|ножках|етский|стол|состоит|половинок|общий|диаметр|160|редназначен|для|групповой|работы|занятий")</f>
        <v>тол|ромашка|половинки|регулируемых|ножках|етский|стол|состоит|половинок|общий|диаметр|160|редназначен|для|групповой|работы|занятий</v>
      </c>
      <c r="I1032" s="6"/>
      <c r="J1032" s="6"/>
    </row>
    <row r="1033">
      <c r="A1033" s="12" t="s">
        <v>2931</v>
      </c>
      <c r="B1033" s="7" t="s">
        <v>2932</v>
      </c>
      <c r="C1033" s="7" t="s">
        <v>2933</v>
      </c>
      <c r="D1033" s="8">
        <v>19300.0</v>
      </c>
      <c r="E1033" s="9">
        <v>7.0</v>
      </c>
      <c r="F1033" s="10" t="str">
        <f>IFERROR(__xludf.DUMMYFUNCTION("LOWER(REGEXREPLACE(B1033&amp;"" ""&amp;C1033,""[^а-яa-z0-9 ]"","" ""))"),"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f>
        <v>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v>
      </c>
      <c r="G1033" s="10" t="str">
        <f>IFERROR(__xludf.DUMMYFUNCTION("TEXTJOIN(""|"",TRUE,UNIQUE(FILTER(SPLIT(F1033,"" ""),LEN(SPLIT(F1033,"" ""))&gt;2)))"),"толик|для|игры|песком|водой|ластиковый|столик|для|игр|песком|водой|крышкой|спользуется|для|сенсорных|развивающих|занятий|устойчивый|безопасный|легко|очищается")</f>
        <v>толик|для|игры|песком|водой|ластиковый|столик|для|игр|песком|водой|крышкой|спользуется|для|сенсорных|развивающих|занятий|устойчивый|безопасный|легко|очищается</v>
      </c>
      <c r="I1033" s="6"/>
      <c r="J1033" s="6"/>
    </row>
    <row r="1034">
      <c r="A1034" s="12" t="s">
        <v>2934</v>
      </c>
      <c r="B1034" s="7" t="s">
        <v>2935</v>
      </c>
      <c r="C1034" s="7" t="s">
        <v>2936</v>
      </c>
      <c r="D1034" s="8">
        <v>42000.0</v>
      </c>
      <c r="E1034" s="9">
        <v>1.0</v>
      </c>
      <c r="F1034" s="10" t="str">
        <f>IFERROR(__xludf.DUMMYFUNCTION("LOWER(REGEXREPLACE(B1034&amp;"" ""&amp;C1034,""[^а-яa-z0-9 ]"","" ""))")," тул  тул офисный     388 со спинкой с удобной посадкой   азмеры 530х560х820 см ")</f>
        <v> тул  тул офисный     388 со спинкой с удобной посадкой   азмеры 530х560х820 см </v>
      </c>
      <c r="G1034" s="10" t="str">
        <f>IFERROR(__xludf.DUMMYFUNCTION("TEXTJOIN(""|"",TRUE,UNIQUE(FILTER(SPLIT(F1034,"" ""),LEN(SPLIT(F1034,"" ""))&gt;2)))"),"тул|тул|офисный|388|спинкой|удобной|посадкой|азмеры|530х560х820")</f>
        <v>тул|тул|офисный|388|спинкой|удобной|посадкой|азмеры|530х560х820</v>
      </c>
      <c r="I1034" s="6"/>
      <c r="J1034" s="6"/>
    </row>
    <row r="1035">
      <c r="A1035" s="12" t="s">
        <v>2937</v>
      </c>
      <c r="B1035" s="12" t="s">
        <v>2938</v>
      </c>
      <c r="C1035" s="7" t="s">
        <v>2939</v>
      </c>
      <c r="D1035" s="8">
        <v>42000.0</v>
      </c>
      <c r="E1035" s="9">
        <v>20.0</v>
      </c>
      <c r="F1035" s="10" t="str">
        <f>IFERROR(__xludf.DUMMYFUNCTION("LOWER(REGEXREPLACE(B1035&amp;"" ""&amp;C1035,""[^а-яa-z0-9 ]"","" ""))"),"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высота"&amp;"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f>
        <v>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v>
      </c>
      <c r="G1035" s="10" t="str">
        <f>IFERROR(__xludf.DUMMYFUNCTION("TEXTJOIN(""|"",TRUE,UNIQUE(FILTER(SPLIT(F1035,"" ""),LEN(SPLIT(F1035,"" ""))&gt;2)))"),"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amp;"на|тул|прочный|тщательно|обработанными|краями|безопасными|углами|подходит|для|ежедневного|использования|детских|учреждениях")</f>
        <v>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на|тул|прочный|тщательно|обработанными|краями|безопасными|углами|подходит|для|ежедневного|использования|детских|учреждениях</v>
      </c>
      <c r="I1035" s="6"/>
      <c r="J1035" s="6"/>
    </row>
    <row r="1036">
      <c r="A1036" s="12" t="s">
        <v>2940</v>
      </c>
      <c r="B1036" s="7" t="s">
        <v>2941</v>
      </c>
      <c r="C1036" s="14" t="s">
        <v>2942</v>
      </c>
      <c r="D1036" s="8">
        <v>23131.0</v>
      </c>
      <c r="E1036" s="9">
        <v>26.0</v>
      </c>
      <c r="F1036" s="10" t="str">
        <f>IFERROR(__xludf.DUMMYFUNCTION("LOWER(REGEXREPLACE(B1036&amp;"" ""&amp;C1036,""[^а-яa-z0-9 ]"","" ""))")," тул для воспитателя с спинкой  тул полумягкий   ромированный каркас   азмер  550x600x830мм")</f>
        <v> тул для воспитателя с спинкой  тул полумягкий   ромированный каркас   азмер  550x600x830мм</v>
      </c>
      <c r="G1036" s="10" t="str">
        <f>IFERROR(__xludf.DUMMYFUNCTION("TEXTJOIN(""|"",TRUE,UNIQUE(FILTER(SPLIT(F1036,"" ""),LEN(SPLIT(F1036,"" ""))&gt;2)))"),"тул|для|воспитателя|спинкой|тул|полумягкий|ромированный|каркас|азмер|550x600x830мм")</f>
        <v>тул|для|воспитателя|спинкой|тул|полумягкий|ромированный|каркас|азмер|550x600x830мм</v>
      </c>
      <c r="I1036" s="6"/>
      <c r="J1036" s="6"/>
    </row>
    <row r="1037">
      <c r="A1037" s="12" t="s">
        <v>2943</v>
      </c>
      <c r="B1037" s="7" t="s">
        <v>2944</v>
      </c>
      <c r="C1037" s="7" t="s">
        <v>2945</v>
      </c>
      <c r="D1037" s="8">
        <v>210000.0</v>
      </c>
      <c r="E1037" s="9">
        <v>50.0</v>
      </c>
      <c r="F1037" s="10" t="str">
        <f>IFERROR(__xludf.DUMMYFUNCTION("LOWER(REGEXREPLACE(B1037&amp;"" ""&amp;C1037,""[^а-яa-z0-9 ]"","" ""))")," тул для зрителей  тул предназначен для оснащения актового зала   азмеры   х х   500х650х860мм")</f>
        <v> тул для зрителей  тул предназначен для оснащения актового зала   азмеры   х х   500х650х860мм</v>
      </c>
      <c r="G1037" s="10" t="str">
        <f>IFERROR(__xludf.DUMMYFUNCTION("TEXTJOIN(""|"",TRUE,UNIQUE(FILTER(SPLIT(F1037,"" ""),LEN(SPLIT(F1037,"" ""))&gt;2)))"),"тул|для|зрителей|тул|предназначен|для|оснащения|актового|зала|азмеры|500х650х860мм")</f>
        <v>тул|для|зрителей|тул|предназначен|для|оснащения|актового|зала|азмеры|500х650х860мм</v>
      </c>
      <c r="I1037" s="6"/>
      <c r="J1037" s="6"/>
    </row>
    <row r="1038">
      <c r="A1038" s="12" t="s">
        <v>2946</v>
      </c>
      <c r="B1038" s="7" t="s">
        <v>2947</v>
      </c>
      <c r="C1038" s="7" t="s">
        <v>2948</v>
      </c>
      <c r="D1038" s="8">
        <v>31045.0</v>
      </c>
      <c r="E1038" s="9">
        <v>3.0</v>
      </c>
      <c r="F1038" s="10" t="str">
        <f>IFERROR(__xludf.DUMMYFUNCTION("LOWER(REGEXREPLACE(B1038&amp;"" ""&amp;C1038,""[^а-яa-z0-9 ]"","" ""))")," тул полумягкий  тул полумягкий   атериал обивки ткань эко кожа   еталлический каркас  окрашен порошковой полимерной краской   азмер 410х560х940мм")</f>
        <v> тул полумягкий  тул полумягкий   атериал обивки ткань эко кожа   еталлический каркас  окрашен порошковой полимерной краской   азмер 410х560х940мм</v>
      </c>
      <c r="G1038" s="10" t="str">
        <f>IFERROR(__xludf.DUMMYFUNCTION("TEXTJOIN(""|"",TRUE,UNIQUE(FILTER(SPLIT(F1038,"" ""),LEN(SPLIT(F1038,"" ""))&gt;2)))"),"тул|полумягкий|тул|полумягкий|атериал|обивки|ткань|эко|кожа|еталлический|каркас|окрашен|порошковой|полимерной|краской|азмер|410х560х940мм")</f>
        <v>тул|полумягкий|тул|полумягкий|атериал|обивки|ткань|эко|кожа|еталлический|каркас|окрашен|порошковой|полимерной|краской|азмер|410х560х940мм</v>
      </c>
      <c r="I1038" s="6"/>
      <c r="J1038" s="6"/>
    </row>
    <row r="1039">
      <c r="A1039" s="7"/>
      <c r="B1039" s="7"/>
      <c r="C1039" s="7" t="s">
        <v>2949</v>
      </c>
      <c r="D1039" s="8">
        <v>94500.0</v>
      </c>
      <c r="E1039" s="9">
        <v>15.0</v>
      </c>
      <c r="F1039" s="10" t="str">
        <f>IFERROR(__xludf.DUMMYFUNCTION("LOWER(REGEXREPLACE(B1039&amp;"" ""&amp;C1039,""[^а-яa-z0-9 ]"","" ""))"),"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410х560х94"&amp;"0мм")</f>
        <v>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410х560х940мм</v>
      </c>
      <c r="G1039" s="10" t="str">
        <f>IFERROR(__xludf.DUMMYFUNCTION("TEXTJOIN(""|"",TRUE,UNIQUE(FILTER(SPLIT(F1039,"" ""),LEN(SPLIT(F1039,"" ""))&gt;2)))"),"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f>
        <v>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v>
      </c>
      <c r="I1039" s="6"/>
      <c r="J1039" s="6"/>
    </row>
    <row r="1040">
      <c r="A1040" s="12" t="s">
        <v>2950</v>
      </c>
      <c r="B1040" s="7" t="s">
        <v>2951</v>
      </c>
      <c r="C1040" s="14" t="s">
        <v>2952</v>
      </c>
      <c r="D1040" s="8">
        <v>35124.0</v>
      </c>
      <c r="E1040" s="9">
        <v>13.0</v>
      </c>
      <c r="F1040" s="10" t="str">
        <f>IFERROR(__xludf.DUMMYFUNCTION("LOWER(REGEXREPLACE(B1040&amp;"" ""&amp;C1040,""[^а-яa-z0-9 ]"","" ""))")," чительский стол  тол однотумбовый с 2 выдвижными ящиками       16 мм  размер 1200х600х760мм")</f>
        <v> чительский стол  тол однотумбовый с 2 выдвижными ящиками       16 мм  размер 1200х600х760мм</v>
      </c>
      <c r="G1040" s="10" t="str">
        <f>IFERROR(__xludf.DUMMYFUNCTION("TEXTJOIN(""|"",TRUE,UNIQUE(FILTER(SPLIT(F1040,"" ""),LEN(SPLIT(F1040,"" ""))&gt;2)))"),"чительский|стол|тол|однотумбовый|выдвижными|ящиками|размер|1200х600х760мм")</f>
        <v>чительский|стол|тол|однотумбовый|выдвижными|ящиками|размер|1200х600х760мм</v>
      </c>
      <c r="I1040" s="6"/>
      <c r="J1040" s="6"/>
    </row>
    <row r="1041">
      <c r="A1041" s="12" t="s">
        <v>2953</v>
      </c>
      <c r="B1041" s="7" t="s">
        <v>2954</v>
      </c>
      <c r="C1041" s="7" t="s">
        <v>2955</v>
      </c>
      <c r="D1041" s="8">
        <v>525000.0</v>
      </c>
      <c r="E1041" s="9">
        <v>1.0</v>
      </c>
      <c r="F1041" s="10" t="str">
        <f>IFERROR(__xludf.DUMMYFUNCTION("LOWER(REGEXREPLACE(B1041&amp;"" ""&amp;C1041,""[^а-яa-z0-9 ]"","" ""))")," онференц стол для совещаний  онференц стол для проведения совещаний и рабочих встреч   азмеры 2700х1000х750мм")</f>
        <v> онференц стол для совещаний  онференц стол для проведения совещаний и рабочих встреч   азмеры 2700х1000х750мм</v>
      </c>
      <c r="G1041" s="10" t="str">
        <f>IFERROR(__xludf.DUMMYFUNCTION("TEXTJOIN(""|"",TRUE,UNIQUE(FILTER(SPLIT(F1041,"" ""),LEN(SPLIT(F1041,"" ""))&gt;2)))"),"онференц|стол|для|совещаний|онференц|стол|для|проведения|совещаний|рабочих|встреч|азмеры|2700х1000х750мм")</f>
        <v>онференц|стол|для|совещаний|онференц|стол|для|проведения|совещаний|рабочих|встреч|азмеры|2700х1000х750мм</v>
      </c>
      <c r="I1041" s="6"/>
      <c r="J1041" s="6"/>
    </row>
    <row r="1042">
      <c r="A1042" s="12" t="s">
        <v>2956</v>
      </c>
      <c r="B1042" s="7" t="s">
        <v>2957</v>
      </c>
      <c r="C1042" s="7" t="s">
        <v>2958</v>
      </c>
      <c r="D1042" s="8">
        <v>163800.0</v>
      </c>
      <c r="E1042" s="9">
        <v>2.0</v>
      </c>
      <c r="F1042" s="10" t="str">
        <f>IFERROR(__xludf.DUMMYFUNCTION("LOWER(REGEXREPLACE(B1042&amp;"" ""&amp;C1042,""[^а-яa-z0-9 ]"","" ""))"),"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f>
        <v>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v>
      </c>
      <c r="G1042" s="10" t="str">
        <f>IFERROR(__xludf.DUMMYFUNCTION("TEXTJOIN(""|"",TRUE,UNIQUE(FILTER(SPLIT(F1042,"" ""),LEN(SPLIT(F1042,"" ""))&gt;2)))"),"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f>
        <v>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v>
      </c>
      <c r="I1042" s="6"/>
      <c r="J1042" s="6"/>
    </row>
    <row r="1043">
      <c r="A1043" s="12" t="s">
        <v>2959</v>
      </c>
      <c r="B1043" s="7" t="s">
        <v>2960</v>
      </c>
      <c r="C1043" s="7" t="s">
        <v>2961</v>
      </c>
      <c r="D1043" s="8">
        <v>244200.0</v>
      </c>
      <c r="E1043" s="9">
        <v>2.0</v>
      </c>
      <c r="F1043" s="10" t="str">
        <f>IFERROR(__xludf.DUMMYFUNCTION("LOWER(REGEXREPLACE(B1043&amp;"" ""&amp;C1043,""[^а-яa-z0-9 ]"","" ""))")," каф  снащ н полками   азмеры 800х380х2000")</f>
        <v> каф  снащ н полками   азмеры 800х380х2000</v>
      </c>
      <c r="G1043" s="10" t="str">
        <f>IFERROR(__xludf.DUMMYFUNCTION("TEXTJOIN(""|"",TRUE,UNIQUE(FILTER(SPLIT(F1043,"" ""),LEN(SPLIT(F1043,"" ""))&gt;2)))"),"каф|снащ|полками|азмеры|800х380х2000")</f>
        <v>каф|снащ|полками|азмеры|800х380х2000</v>
      </c>
      <c r="I1043" s="6"/>
      <c r="J1043" s="6"/>
    </row>
    <row r="1044">
      <c r="A1044" s="12" t="s">
        <v>2962</v>
      </c>
      <c r="B1044" s="7" t="s">
        <v>2963</v>
      </c>
      <c r="C1044" s="14" t="s">
        <v>2964</v>
      </c>
      <c r="D1044" s="8">
        <v>172228.0</v>
      </c>
      <c r="E1044" s="9">
        <v>52.0</v>
      </c>
      <c r="F1044" s="10" t="str">
        <f>IFERROR(__xludf.DUMMYFUNCTION("LOWER(REGEXREPLACE(B1044&amp;"" ""&amp;C1044,""[^а-яa-z0-9 ]"","" ""))")," каф 5 секционный  каф для одежды 5 ти секционный       16мм  металиический каркас  размер 1375х500х1250мм")</f>
        <v> каф 5 секционный  каф для одежды 5 ти секционный       16мм  металиический каркас  размер 1375х500х1250мм</v>
      </c>
      <c r="G1044" s="10" t="str">
        <f>IFERROR(__xludf.DUMMYFUNCTION("TEXTJOIN(""|"",TRUE,UNIQUE(FILTER(SPLIT(F1044,"" ""),LEN(SPLIT(F1044,"" ""))&gt;2)))"),"каф|секционный|каф|для|одежды|секционный|16мм|металиический|каркас|размер|1375х500х1250мм")</f>
        <v>каф|секционный|каф|для|одежды|секционный|16мм|металиический|каркас|размер|1375х500х1250мм</v>
      </c>
      <c r="I1044" s="6"/>
      <c r="J1044" s="6"/>
    </row>
    <row r="1045">
      <c r="A1045" s="12" t="s">
        <v>2965</v>
      </c>
      <c r="B1045" s="7" t="s">
        <v>2966</v>
      </c>
      <c r="C1045" s="7" t="s">
        <v>2967</v>
      </c>
      <c r="D1045" s="8">
        <v>105000.0</v>
      </c>
      <c r="E1045" s="9">
        <v>13.0</v>
      </c>
      <c r="F1045" s="10" t="str">
        <f>IFERROR(__xludf.DUMMYFUNCTION("LOWER(REGEXREPLACE(B1045&amp;"" ""&amp;C1045,""[^а-яa-z0-9 ]"","" ""))"),"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повер"&amp;"хность   влагостойкая  легко моющаяся")</f>
        <v>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поверхность   влагостойкая  легко моющаяся</v>
      </c>
      <c r="G1045" s="10" t="str">
        <f>IFERROR(__xludf.DUMMYFUNCTION("TEXTJOIN(""|"",TRUE,UNIQUE(FILTER(SPLIT(F1045,"" ""),LEN(SPLIT(F1045,"" ""))&gt;2)))"),"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f>
        <v>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v>
      </c>
      <c r="I1045" s="6"/>
      <c r="J1045" s="6"/>
    </row>
    <row r="1046">
      <c r="A1046" s="12" t="s">
        <v>2968</v>
      </c>
      <c r="B1046" s="7" t="s">
        <v>2969</v>
      </c>
      <c r="C1046" s="7" t="s">
        <v>2970</v>
      </c>
      <c r="D1046" s="8">
        <v>136500.0</v>
      </c>
      <c r="E1046" s="9">
        <v>1.0</v>
      </c>
      <c r="F1046" s="10" t="str">
        <f>IFERROR(__xludf.DUMMYFUNCTION("LOWER(REGEXREPLACE(B1046&amp;"" ""&amp;C1046,""[^а-яa-z0-9 ]"","" ""))")," каф для грязного белья  каф для временного хранения грязного белья  онструкция устойчивая  легко моется и дезинфицируется   азмеры 600х500х1860")</f>
        <v> каф для грязного белья  каф для временного хранения грязного белья  онструкция устойчивая  легко моется и дезинфицируется   азмеры 600х500х1860</v>
      </c>
      <c r="G1046" s="10" t="str">
        <f>IFERROR(__xludf.DUMMYFUNCTION("TEXTJOIN(""|"",TRUE,UNIQUE(FILTER(SPLIT(F1046,"" ""),LEN(SPLIT(F1046,"" ""))&gt;2)))"),"каф|для|грязного|белья|каф|для|временного|хранения|грязного|белья|онструкция|устойчивая|легко|моется|дезинфицируется|азмеры|600х500х1860")</f>
        <v>каф|для|грязного|белья|каф|для|временного|хранения|грязного|белья|онструкция|устойчивая|легко|моется|дезинфицируется|азмеры|600х500х1860</v>
      </c>
      <c r="I1046" s="6"/>
      <c r="J1046" s="6"/>
    </row>
    <row r="1047">
      <c r="A1047" s="12" t="s">
        <v>2971</v>
      </c>
      <c r="B1047" s="7" t="s">
        <v>2972</v>
      </c>
      <c r="C1047" s="7" t="s">
        <v>2973</v>
      </c>
      <c r="D1047" s="8">
        <v>168000.0</v>
      </c>
      <c r="E1047" s="9">
        <v>16.0</v>
      </c>
      <c r="F1047" s="10" t="str">
        <f>IFERROR(__xludf.DUMMYFUNCTION("LOWER(REGEXREPLACE(B1047&amp;"" ""&amp;C1047,""[^а-яa-z0-9 ]"","" ""))")," каф для документов  каф для документации  закрытый   азмеры  800 450 1200 мм ")</f>
        <v> каф для документов  каф для документации  закрытый   азмеры  800 450 1200 мм </v>
      </c>
      <c r="G1047" s="10" t="str">
        <f>IFERROR(__xludf.DUMMYFUNCTION("TEXTJOIN(""|"",TRUE,UNIQUE(FILTER(SPLIT(F1047,"" ""),LEN(SPLIT(F1047,"" ""))&gt;2)))"),"каф|для|документов|каф|для|документации|закрытый|азмеры|800|450|1200")</f>
        <v>каф|для|документов|каф|для|документации|закрытый|азмеры|800|450|1200</v>
      </c>
      <c r="I1047" s="6"/>
      <c r="J1047" s="6"/>
    </row>
    <row r="1048">
      <c r="A1048" s="12" t="s">
        <v>2974</v>
      </c>
      <c r="B1048" s="12" t="s">
        <v>2975</v>
      </c>
      <c r="C1048" s="14" t="s">
        <v>2976</v>
      </c>
      <c r="D1048" s="8">
        <v>60861.0</v>
      </c>
      <c r="E1048" s="9">
        <v>27.0</v>
      </c>
      <c r="F1048" s="10" t="str">
        <f>IFERROR(__xludf.DUMMYFUNCTION("LOWER(REGEXREPLACE(B1048&amp;"" ""&amp;C1048,""[^а-яa-z0-9 ]"","" ""))")," каф для одежды  каф для одежды 2 х дверный       16 мм  размеры 800х540х1930 мм")</f>
        <v> каф для одежды  каф для одежды 2 х дверный       16 мм  размеры 800х540х1930 мм</v>
      </c>
      <c r="G1048" s="10" t="str">
        <f>IFERROR(__xludf.DUMMYFUNCTION("TEXTJOIN(""|"",TRUE,UNIQUE(FILTER(SPLIT(F1048,"" ""),LEN(SPLIT(F1048,"" ""))&gt;2)))"),"каф|для|одежды|каф|для|одежды|дверный|размеры|800х540х1930")</f>
        <v>каф|для|одежды|каф|для|одежды|дверный|размеры|800х540х1930</v>
      </c>
      <c r="I1048" s="6"/>
      <c r="J1048" s="6"/>
    </row>
    <row r="1049">
      <c r="A1049" s="12" t="s">
        <v>2977</v>
      </c>
      <c r="B1049" s="7" t="s">
        <v>2978</v>
      </c>
      <c r="C1049" s="7" t="s">
        <v>2979</v>
      </c>
      <c r="D1049" s="8">
        <v>52500.0</v>
      </c>
      <c r="E1049" s="9">
        <v>1.0</v>
      </c>
      <c r="F1049" s="10" t="str">
        <f>IFERROR(__xludf.DUMMYFUNCTION("LOWER(REGEXREPLACE(B1049&amp;"" ""&amp;C1049,""[^а-яa-z0-9 ]"","" ""))")," каф для тканей         тдельное хранение тканей  каф для тканей  закрытый   азмеры  800 450 1200 мм ")</f>
        <v> каф для тканей         тдельное хранение тканей  каф для тканей  закрытый   азмеры  800 450 1200 мм </v>
      </c>
      <c r="G1049" s="10" t="str">
        <f>IFERROR(__xludf.DUMMYFUNCTION("TEXTJOIN(""|"",TRUE,UNIQUE(FILTER(SPLIT(F1049,"" ""),LEN(SPLIT(F1049,"" ""))&gt;2)))"),"каф|для|тканей|тдельное|хранение|тканей|каф|для|тканей|закрытый|азмеры|800|450|1200")</f>
        <v>каф|для|тканей|тдельное|хранение|тканей|каф|для|тканей|закрытый|азмеры|800|450|1200</v>
      </c>
      <c r="I1049" s="6"/>
      <c r="J1049" s="6"/>
    </row>
    <row r="1050">
      <c r="A1050" s="12" t="s">
        <v>2980</v>
      </c>
      <c r="B1050" s="12" t="s">
        <v>2981</v>
      </c>
      <c r="C1050" s="7" t="s">
        <v>2982</v>
      </c>
      <c r="D1050" s="8">
        <v>126000.0</v>
      </c>
      <c r="E1050" s="9">
        <v>4.0</v>
      </c>
      <c r="F1050" s="10" t="str">
        <f>IFERROR(__xludf.DUMMYFUNCTION("LOWER(REGEXREPLACE(B1050&amp;"" ""&amp;C1050,""[^а-яa-z0-9 ]"","" ""))")," каф закрытый  каф закрытый   азмеры  800 450 1200 мм ")</f>
        <v> каф закрытый  каф закрытый   азмеры  800 450 1200 мм </v>
      </c>
      <c r="G1050" s="10" t="str">
        <f>IFERROR(__xludf.DUMMYFUNCTION("TEXTJOIN(""|"",TRUE,UNIQUE(FILTER(SPLIT(F1050,"" ""),LEN(SPLIT(F1050,"" ""))&gt;2)))"),"каф|закрытый|каф|закрытый|азмеры|800|450|1200")</f>
        <v>каф|закрытый|каф|закрытый|азмеры|800|450|1200</v>
      </c>
      <c r="I1050" s="6"/>
      <c r="J1050" s="6"/>
    </row>
    <row r="1051">
      <c r="A1051" s="12" t="s">
        <v>2983</v>
      </c>
      <c r="B1051" s="7" t="s">
        <v>2984</v>
      </c>
      <c r="C1051" s="7" t="s">
        <v>2985</v>
      </c>
      <c r="D1051" s="8">
        <v>126000.0</v>
      </c>
      <c r="E1051" s="9">
        <v>13.0</v>
      </c>
      <c r="F1051" s="10" t="str">
        <f>IFERROR(__xludf.DUMMYFUNCTION("LOWER(REGEXREPLACE(B1051&amp;"" ""&amp;C1051,""[^а-яa-z0-9 ]"","" ""))"),"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моющая"&amp;"ся ")</f>
        <v>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моющаяся </v>
      </c>
      <c r="G1051" s="10" t="str">
        <f>IFERROR(__xludf.DUMMYFUNCTION("TEXTJOIN(""|"",TRUE,UNIQUE(FILTER(SPLIT(F1051,"" ""),LEN(SPLIT(F1051,"" ""))&gt;2)))"),"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f>
        <v>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v>
      </c>
      <c r="I1051" s="6"/>
      <c r="J1051" s="6"/>
    </row>
    <row r="1052">
      <c r="A1052" s="12" t="s">
        <v>2986</v>
      </c>
      <c r="B1052" s="7" t="s">
        <v>2987</v>
      </c>
      <c r="C1052" s="7" t="s">
        <v>2988</v>
      </c>
      <c r="D1052" s="8">
        <v>1408500.0</v>
      </c>
      <c r="E1052" s="9">
        <v>1.0</v>
      </c>
      <c r="F1052" s="10" t="str">
        <f>IFERROR(__xludf.DUMMYFUNCTION("LOWER(REGEXREPLACE(B1052&amp;"" ""&amp;C1052,""[^а-яa-z0-9 ]"","" ""))")," каф расстоечный vmk 2  местимость  8 противней 40x60  3 2 к т   230    азмеры  940x790x850 мм")</f>
        <v> каф расстоечный vmk 2  местимость  8 противней 40x60  3 2 к т   230    азмеры  940x790x850 мм</v>
      </c>
      <c r="G1052" s="10" t="str">
        <f>IFERROR(__xludf.DUMMYFUNCTION("TEXTJOIN(""|"",TRUE,UNIQUE(FILTER(SPLIT(F1052,"" ""),LEN(SPLIT(F1052,"" ""))&gt;2)))"),"каф|расстоечный|vmk|местимость|противней|40x60|230|азмеры|940x790x850")</f>
        <v>каф|расстоечный|vmk|местимость|противней|40x60|230|азмеры|940x790x850</v>
      </c>
      <c r="I1052" s="6"/>
      <c r="J1052" s="6"/>
    </row>
    <row r="1053">
      <c r="A1053" s="12" t="s">
        <v>2989</v>
      </c>
      <c r="B1053" s="7" t="s">
        <v>2990</v>
      </c>
      <c r="C1053" s="7" t="s">
        <v>2991</v>
      </c>
      <c r="D1053" s="8">
        <v>136500.0</v>
      </c>
      <c r="E1053" s="9">
        <v>3.0</v>
      </c>
      <c r="F1053" s="10" t="str">
        <f>IFERROR(__xludf.DUMMYFUNCTION("LOWER(REGEXREPLACE(B1053&amp;"" ""&amp;C1053,""[^а-яa-z0-9 ]"","" ""))"),"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f>
        <v>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v>
      </c>
      <c r="G1053" s="10" t="str">
        <f>IFERROR(__xludf.DUMMYFUNCTION("TEXTJOIN(""|"",TRUE,UNIQUE(FILTER(SPLIT(F1053,"" ""),LEN(SPLIT(F1053,"" ""))&gt;2)))"),"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f>
        <v>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v>
      </c>
      <c r="I1053" s="6"/>
      <c r="J1053" s="6"/>
    </row>
    <row r="1054">
      <c r="A1054" s="12" t="s">
        <v>2992</v>
      </c>
      <c r="B1054" s="7" t="s">
        <v>2993</v>
      </c>
      <c r="C1054" s="7" t="s">
        <v>2994</v>
      </c>
      <c r="D1054" s="8">
        <v>770400.0</v>
      </c>
      <c r="E1054" s="9">
        <v>1.0</v>
      </c>
      <c r="F1054" s="10" t="str">
        <f>IFERROR(__xludf.DUMMYFUNCTION("LOWER(REGEXREPLACE(B1054&amp;"" ""&amp;C1054,""[^а-яa-z0-9 ]"","" ""))")," каф ce dm120x60  ержавеющая сталь 430    2 дверями  4 полками   араметры  1200x600x1600 мм")</f>
        <v> каф ce dm120x60  ержавеющая сталь 430    2 дверями  4 полками   араметры  1200x600x1600 мм</v>
      </c>
      <c r="G1054" s="10" t="str">
        <f>IFERROR(__xludf.DUMMYFUNCTION("TEXTJOIN(""|"",TRUE,UNIQUE(FILTER(SPLIT(F1054,"" ""),LEN(SPLIT(F1054,"" ""))&gt;2)))"),"каф|dm120x60|ержавеющая|сталь|430|дверями|полками|араметры|1200x600x1600")</f>
        <v>каф|dm120x60|ержавеющая|сталь|430|дверями|полками|араметры|1200x600x1600</v>
      </c>
      <c r="I1054" s="6"/>
      <c r="J1054" s="6"/>
    </row>
    <row r="1055">
      <c r="A1055" s="12" t="s">
        <v>2995</v>
      </c>
      <c r="B1055" s="7" t="s">
        <v>2996</v>
      </c>
      <c r="C1055" s="7" t="s">
        <v>2997</v>
      </c>
      <c r="D1055" s="8">
        <v>35830.0</v>
      </c>
      <c r="E1055" s="9">
        <v>3.0</v>
      </c>
      <c r="F1055" s="10" t="str">
        <f>IFERROR(__xludf.DUMMYFUNCTION("LOWER(REGEXREPLACE(B1055&amp;"" ""&amp;C1055,""[^а-яa-z0-9 ]"","" ""))")," тол однотумбовый с 2 выдвижными ящиками  тол однотумбовый с 2 выдвижными ящиками       16 мм  размер 1200х700х750мм ")</f>
        <v> тол однотумбовый с 2 выдвижными ящиками  тол однотумбовый с 2 выдвижными ящиками       16 мм  размер 1200х700х750мм </v>
      </c>
      <c r="G1055" s="10" t="str">
        <f>IFERROR(__xludf.DUMMYFUNCTION("TEXTJOIN(""|"",TRUE,UNIQUE(FILTER(SPLIT(F1055,"" ""),LEN(SPLIT(F1055,"" ""))&gt;2)))"),"тол|однотумбовый|выдвижными|ящиками|тол|однотумбовый|выдвижными|ящиками|размер|1200х700х750мм")</f>
        <v>тол|однотумбовый|выдвижными|ящиками|тол|однотумбовый|выдвижными|ящиками|размер|1200х700х750мм</v>
      </c>
      <c r="I1055" s="6"/>
      <c r="J1055" s="6"/>
    </row>
    <row r="1056">
      <c r="A1056" s="12" t="s">
        <v>2998</v>
      </c>
      <c r="B1056" s="12" t="s">
        <v>2999</v>
      </c>
      <c r="C1056" s="7" t="s">
        <v>3000</v>
      </c>
      <c r="D1056" s="8">
        <v>84000.0</v>
      </c>
      <c r="E1056" s="9">
        <v>2.0</v>
      </c>
      <c r="F1056" s="10" t="str">
        <f>IFERROR(__xludf.DUMMYFUNCTION("LOWER(REGEXREPLACE(B1056&amp;"" ""&amp;C1056,""[^а-яa-z0-9 ]"","" ""))"),"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f>
        <v>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v>
      </c>
      <c r="G1056" s="10" t="str">
        <f>IFERROR(__xludf.DUMMYFUNCTION("TEXTJOIN(""|"",TRUE,UNIQUE(FILTER(SPLIT(F1056,"" ""),LEN(SPLIT(F1056,"" ""))&gt;2)))"),"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f>
        <v>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v>
      </c>
      <c r="I1056" s="6"/>
      <c r="J1056" s="6"/>
    </row>
    <row r="1057">
      <c r="A1057" s="12" t="s">
        <v>3001</v>
      </c>
      <c r="B1057" s="12" t="s">
        <v>3002</v>
      </c>
      <c r="C1057" s="7" t="s">
        <v>3003</v>
      </c>
      <c r="D1057" s="8">
        <v>105000.0</v>
      </c>
      <c r="E1057" s="9">
        <v>29.0</v>
      </c>
      <c r="F1057" s="10" t="str">
        <f>IFERROR(__xludf.DUMMYFUNCTION("LOWER(REGEXREPLACE(B1057&amp;"" ""&amp;C1057,""[^а-яa-z0-9 ]"","" ""))"),"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f>
        <v>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v>
      </c>
      <c r="G1057" s="10" t="str">
        <f>IFERROR(__xludf.DUMMYFUNCTION("TEXTJOIN(""|"",TRUE,UNIQUE(FILTER(SPLIT(F1057,"" ""),LEN(SPLIT(F1057,"" ""))&gt;2)))"),"ресло|офисное|фисное|кресло|ihoo|используется|административных|рабочих|зонах|снащено|механизмом|регулировки|высоты|функцией|качания|азмеры")</f>
        <v>ресло|офисное|фисное|кресло|ihoo|используется|административных|рабочих|зонах|снащено|механизмом|регулировки|высоты|функцией|качания|азмеры</v>
      </c>
      <c r="I1057" s="6"/>
      <c r="J1057" s="6"/>
    </row>
    <row r="1058">
      <c r="A1058" s="12" t="s">
        <v>3004</v>
      </c>
      <c r="B1058" s="7" t="s">
        <v>3005</v>
      </c>
      <c r="C1058" s="7" t="s">
        <v>3006</v>
      </c>
      <c r="D1058" s="8">
        <v>420000.0</v>
      </c>
      <c r="E1058" s="9">
        <v>2.0</v>
      </c>
      <c r="F1058" s="10" t="str">
        <f>IFERROR(__xludf.DUMMYFUNCTION("LOWER(REGEXREPLACE(B1058&amp;"" ""&amp;C1058,""[^а-яa-z0-9 ]"","" ""))")," теллаж производственный   теллаж           10 5 4  01    х х   1850х1000х500  каркас труба нерж 40х40  полка сплошная ")</f>
        <v> теллаж производственный   теллаж           10 5 4  01    х х   1850х1000х500  каркас труба нерж 40х40  полка сплошная </v>
      </c>
      <c r="G1058" s="10" t="str">
        <f>IFERROR(__xludf.DUMMYFUNCTION("TEXTJOIN(""|"",TRUE,UNIQUE(FILTER(SPLIT(F1058,"" ""),LEN(SPLIT(F1058,"" ""))&gt;2)))"),"теллаж|производственный|теллаж|1850х1000х500|каркас|труба|нерж|40х40|полка|сплошная")</f>
        <v>теллаж|производственный|теллаж|1850х1000х500|каркас|труба|нерж|40х40|полка|сплошная</v>
      </c>
      <c r="I1058" s="6"/>
      <c r="J1058" s="6"/>
    </row>
    <row r="1059">
      <c r="A1059" s="12" t="s">
        <v>3007</v>
      </c>
      <c r="B1059" s="7" t="s">
        <v>3008</v>
      </c>
      <c r="C1059" s="7" t="s">
        <v>3009</v>
      </c>
      <c r="D1059" s="8">
        <v>112300.0</v>
      </c>
      <c r="E1059" s="9">
        <v>4.0</v>
      </c>
      <c r="F1059" s="10" t="str">
        <f>IFERROR(__xludf.DUMMYFUNCTION("LOWER(REGEXREPLACE(B1059&amp;"" ""&amp;C1059,""[^а-яa-z0-9 ]"","" ""))")," оска маркерная меловая поворотная  оска двухсторонняя 1200 2400 см  маркерная  меловая   магнитная  на подставке  передвижная на колесиках")</f>
        <v> оска маркерная меловая поворотная  оска двухсторонняя 1200 2400 см  маркерная  меловая   магнитная  на подставке  передвижная на колесиках</v>
      </c>
      <c r="G1059" s="10" t="str">
        <f>IFERROR(__xludf.DUMMYFUNCTION("TEXTJOIN(""|"",TRUE,UNIQUE(FILTER(SPLIT(F1059,"" ""),LEN(SPLIT(F1059,"" ""))&gt;2)))"),"оска|маркерная|меловая|поворотная|оска|двухсторонняя|1200|2400|маркерная|меловая|магнитная|подставке|передвижная|колесиках")</f>
        <v>оска|маркерная|меловая|поворотная|оска|двухсторонняя|1200|2400|маркерная|меловая|магнитная|подставке|передвижная|колесиках</v>
      </c>
      <c r="I1059" s="6"/>
      <c r="J1059" s="6"/>
    </row>
    <row r="1060">
      <c r="A1060" s="12" t="s">
        <v>3010</v>
      </c>
      <c r="B1060" s="7" t="s">
        <v>3011</v>
      </c>
      <c r="C1060" s="7" t="s">
        <v>3012</v>
      </c>
      <c r="D1060" s="8">
        <v>28100.0</v>
      </c>
      <c r="E1060" s="9">
        <v>4.0</v>
      </c>
      <c r="F1060" s="10" t="str">
        <f>IFERROR(__xludf.DUMMYFUNCTION("LOWER(REGEXREPLACE(B1060&amp;"" ""&amp;C1060,""[^а-яa-z0-9 ]"","" ""))"),"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аркер"&amp;"ов 6 шт    ерный 2 шт    иний 2 шт    расный 2 шт     12  агнитов    истящая жидкость спрей   1 шт")</f>
        <v>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аркеров 6 шт    ерный 2 шт    иний 2 шт    расный 2 шт     12  агнитов    истящая жидкость спрей   1 шт</v>
      </c>
      <c r="G1060" s="10" t="str">
        <f>IFERROR(__xludf.DUMMYFUNCTION("TEXTJOIN(""|"",TRUE,UNIQUE(FILTER(SPLIT(F1060,"" ""),LEN(SPLIT(F1060,"" ""))&gt;2)))"),"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amp;"тов|истящая|жидкость|спрей")</f>
        <v>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тов|истящая|жидкость|спрей</v>
      </c>
      <c r="I1060" s="6"/>
      <c r="J1060" s="6"/>
    </row>
    <row r="1061">
      <c r="A1061" s="12" t="s">
        <v>3013</v>
      </c>
      <c r="B1061" s="7" t="s">
        <v>3014</v>
      </c>
      <c r="C1061" s="7" t="s">
        <v>3015</v>
      </c>
      <c r="D1061" s="8">
        <v>277200.0</v>
      </c>
      <c r="E1061" s="9">
        <v>1.0</v>
      </c>
      <c r="F1061" s="10" t="str">
        <f>IFERROR(__xludf.DUMMYFUNCTION("LOWER(REGEXREPLACE(B1061&amp;"" ""&amp;C1061,""[^а-яa-z0-9 ]"","" ""))")," теллаж для горшков  каф для горшков на 20 мест на ножках    20    збука   иний   х х  135х32х113  атериал     ")</f>
        <v> теллаж для горшков  каф для горшков на 20 мест на ножках    20    збука   иний   х х  135х32х113  атериал     </v>
      </c>
      <c r="G1061" s="10" t="str">
        <f>IFERROR(__xludf.DUMMYFUNCTION("TEXTJOIN(""|"",TRUE,UNIQUE(FILTER(SPLIT(F1061,"" ""),LEN(SPLIT(F1061,"" ""))&gt;2)))"),"теллаж|для|горшков|каф|для|горшков|мест|ножках|збука|иний|135х32х113|атериал")</f>
        <v>теллаж|для|горшков|каф|для|горшков|мест|ножках|збука|иний|135х32х113|атериал</v>
      </c>
      <c r="I1061" s="6"/>
      <c r="J1061" s="6"/>
    </row>
    <row r="1062">
      <c r="A1062" s="12" t="s">
        <v>3016</v>
      </c>
      <c r="B1062" s="7" t="s">
        <v>91</v>
      </c>
      <c r="C1062" s="7" t="s">
        <v>3017</v>
      </c>
      <c r="D1062" s="8">
        <v>1352700.0</v>
      </c>
      <c r="E1062" s="9">
        <v>1.0</v>
      </c>
      <c r="F1062" s="10" t="str">
        <f>IFERROR(__xludf.DUMMYFUNCTION("LOWER(REGEXREPLACE(B1062&amp;"" ""&amp;C1062,""[^а-яa-z0-9 ]"","" ""))")," олл шторы  олл шторы белые однотонные   слуги доставки и монтажа")</f>
        <v> олл шторы  олл шторы белые однотонные   слуги доставки и монтажа</v>
      </c>
      <c r="G1062" s="10" t="str">
        <f>IFERROR(__xludf.DUMMYFUNCTION("TEXTJOIN(""|"",TRUE,UNIQUE(FILTER(SPLIT(F1062,"" ""),LEN(SPLIT(F1062,"" ""))&gt;2)))"),"олл|шторы|олл|шторы|белые|однотонные|слуги|доставки|монтажа")</f>
        <v>олл|шторы|олл|шторы|белые|однотонные|слуги|доставки|монтажа</v>
      </c>
      <c r="I1062" s="6"/>
      <c r="J1062" s="6"/>
    </row>
    <row r="1063">
      <c r="A1063" s="12" t="s">
        <v>3018</v>
      </c>
      <c r="B1063" s="12" t="s">
        <v>3019</v>
      </c>
      <c r="C1063" s="7" t="s">
        <v>3020</v>
      </c>
      <c r="D1063" s="8">
        <v>2024600.0</v>
      </c>
      <c r="E1063" s="9">
        <v>1.0</v>
      </c>
      <c r="F1063" s="10" t="str">
        <f>IFERROR(__xludf.DUMMYFUNCTION("LOWER(REGEXREPLACE(B1063&amp;"" ""&amp;C1063,""[^а-яa-z0-9 ]"","" ""))")," троительство соляной пещеры  1  еновое предложение на строительство соляной пещеры  1   омплектация  люкс")</f>
        <v> троительство соляной пещеры  1  еновое предложение на строительство соляной пещеры  1   омплектация  люкс</v>
      </c>
      <c r="G1063" s="10" t="str">
        <f>IFERROR(__xludf.DUMMYFUNCTION("TEXTJOIN(""|"",TRUE,UNIQUE(FILTER(SPLIT(F1063,"" ""),LEN(SPLIT(F1063,""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I1063" s="6"/>
      <c r="J1063" s="6"/>
    </row>
    <row r="1064">
      <c r="A1064" s="12" t="s">
        <v>3021</v>
      </c>
      <c r="B1064" s="12" t="s">
        <v>3022</v>
      </c>
      <c r="C1064" s="7" t="s">
        <v>3023</v>
      </c>
      <c r="D1064" s="8">
        <v>2077900.0</v>
      </c>
      <c r="E1064" s="9">
        <v>1.0</v>
      </c>
      <c r="F1064" s="10" t="str">
        <f>IFERROR(__xludf.DUMMYFUNCTION("LOWER(REGEXREPLACE(B1064&amp;"" ""&amp;C1064,""[^а-яa-z0-9 ]"","" ""))")," троительство соляной пещеры  2  еновое предложение на строительство соляной пещеры  2   омплектация  люкс")</f>
        <v> троительство соляной пещеры  2  еновое предложение на строительство соляной пещеры  2   омплектация  люкс</v>
      </c>
      <c r="G1064" s="10" t="str">
        <f>IFERROR(__xludf.DUMMYFUNCTION("TEXTJOIN(""|"",TRUE,UNIQUE(FILTER(SPLIT(F1064,"" ""),LEN(SPLIT(F1064,""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I1064" s="6"/>
      <c r="J1064" s="6"/>
    </row>
    <row r="1065">
      <c r="A1065" s="12" t="s">
        <v>3024</v>
      </c>
      <c r="B1065" s="7" t="s">
        <v>3025</v>
      </c>
      <c r="C1065" s="7" t="s">
        <v>3026</v>
      </c>
      <c r="D1065" s="8">
        <v>14400.0</v>
      </c>
      <c r="E1065" s="9">
        <v>4.0</v>
      </c>
      <c r="F1065" s="10" t="str">
        <f>IFERROR(__xludf.DUMMYFUNCTION("LOWER(REGEXREPLACE(B1065&amp;"" ""&amp;C1065,""[^а-яa-z0-9 ]"","" ""))")," едро 18л  бъем 18 л  атериал     плластик  ип  едро без крышки  орма  рямоугольная")</f>
        <v> едро 18л  бъем 18 л  атериал     плластик  ип  едро без крышки  орма  рямоугольная</v>
      </c>
      <c r="G1065" s="10" t="str">
        <f>IFERROR(__xludf.DUMMYFUNCTION("TEXTJOIN(""|"",TRUE,UNIQUE(FILTER(SPLIT(F1065,"" ""),LEN(SPLIT(F1065,"" ""))&gt;2)))"),"едро|18л|бъем|атериал|плластик|едро|без|крышки|орма|рямоугольная")</f>
        <v>едро|18л|бъем|атериал|плластик|едро|без|крышки|орма|рямоугольная</v>
      </c>
      <c r="I1065" s="6"/>
      <c r="J1065" s="6"/>
    </row>
    <row r="1066">
      <c r="A1066" s="12" t="s">
        <v>3027</v>
      </c>
      <c r="B1066" s="7" t="s">
        <v>3028</v>
      </c>
      <c r="C1066" s="7" t="s">
        <v>3029</v>
      </c>
      <c r="D1066" s="8">
        <v>90000.0</v>
      </c>
      <c r="E1066" s="9">
        <v>6.0</v>
      </c>
      <c r="F1066" s="10" t="str">
        <f>IFERROR(__xludf.DUMMYFUNCTION("LOWER(REGEXREPLACE(B1066&amp;"" ""&amp;C1066,""[^а-яa-z0-9 ]"","" ""))")," вухвед рная тележка  атериа  ластик  аксимальная нагрузка на всю конструкцию 80 кг  оличество поворотных колес 4 шт  оличество ведер 2 шт")</f>
        <v> вухвед рная тележка  атериа  ластик  аксимальная нагрузка на всю конструкцию 80 кг  оличество поворотных колес 4 шт  оличество ведер 2 шт</v>
      </c>
      <c r="G1066" s="10" t="str">
        <f>IFERROR(__xludf.DUMMYFUNCTION("TEXTJOIN(""|"",TRUE,UNIQUE(FILTER(SPLIT(F1066,"" ""),LEN(SPLIT(F1066,"" ""))&gt;2)))"),"вухвед|рная|тележка|атериа|ластик|аксимальная|нагрузка|всю|конструкцию|оличество|поворотных|колес|оличество|ведер")</f>
        <v>вухвед|рная|тележка|атериа|ластик|аксимальная|нагрузка|всю|конструкцию|оличество|поворотных|колес|оличество|ведер</v>
      </c>
      <c r="I1066" s="6"/>
      <c r="J1066" s="6"/>
    </row>
    <row r="1067">
      <c r="A1067" s="12" t="s">
        <v>3030</v>
      </c>
      <c r="B1067" s="7" t="s">
        <v>3031</v>
      </c>
      <c r="C1067" s="7" t="s">
        <v>3032</v>
      </c>
      <c r="D1067" s="8">
        <v>18000.0</v>
      </c>
      <c r="E1067" s="9">
        <v>12.0</v>
      </c>
      <c r="F1067" s="10" t="str">
        <f>IFERROR(__xludf.DUMMYFUNCTION("LOWER(REGEXREPLACE(B1067&amp;"" ""&amp;C1067,""[^а-яa-z0-9 ]"","" ""))")," вабра с платформой  лина насадки 40см  ирина насадки 12 см  ысота насадки 1 5 см  лина ручки 130 см")</f>
        <v> вабра с платформой  лина насадки 40см  ирина насадки 12 см  ысота насадки 1 5 см  лина ручки 130 см</v>
      </c>
      <c r="G1067" s="10" t="str">
        <f>IFERROR(__xludf.DUMMYFUNCTION("TEXTJOIN(""|"",TRUE,UNIQUE(FILTER(SPLIT(F1067,"" ""),LEN(SPLIT(F1067,"" ""))&gt;2)))"),"вабра|платформой|лина|насадки|40см|ирина|насадки|ысота|насадки|лина|ручки|130")</f>
        <v>вабра|платформой|лина|насадки|40см|ирина|насадки|ысота|насадки|лина|ручки|130</v>
      </c>
      <c r="I1067" s="6"/>
      <c r="J1067" s="6"/>
    </row>
    <row r="1068">
      <c r="A1068" s="12" t="s">
        <v>3033</v>
      </c>
      <c r="B1068" s="7" t="s">
        <v>3034</v>
      </c>
      <c r="C1068" s="7" t="s">
        <v>3035</v>
      </c>
      <c r="D1068" s="8">
        <v>130200.0</v>
      </c>
      <c r="E1068" s="9">
        <v>3.0</v>
      </c>
      <c r="F1068" s="10" t="str">
        <f>IFERROR(__xludf.DUMMYFUNCTION("LOWER(REGEXREPLACE(B1068&amp;"" ""&amp;C1068,""[^а-яa-z0-9 ]"","" ""))")," каф металлический для одежды и инвентаря  каф           размер 1860 500 500 мм")</f>
        <v> каф металлический для одежды и инвентаря  каф           размер 1860 500 500 мм</v>
      </c>
      <c r="G1068" s="10" t="str">
        <f>IFERROR(__xludf.DUMMYFUNCTION("TEXTJOIN(""|"",TRUE,UNIQUE(FILTER(SPLIT(F1068,"" ""),LEN(SPLIT(F1068,"" ""))&gt;2)))"),"каф|металлический|для|одежды|инвентаря|каф|размер|1860|500|500")</f>
        <v>каф|металлический|для|одежды|инвентаря|каф|размер|1860|500|500</v>
      </c>
      <c r="I1068" s="6"/>
      <c r="J1068" s="6"/>
    </row>
    <row r="1069">
      <c r="A1069" s="12" t="s">
        <v>3036</v>
      </c>
      <c r="B1069" s="7" t="s">
        <v>3037</v>
      </c>
      <c r="C1069" s="7" t="s">
        <v>3026</v>
      </c>
      <c r="D1069" s="8">
        <v>14400.0</v>
      </c>
      <c r="E1069" s="9">
        <v>4.0</v>
      </c>
      <c r="F1069" s="10" t="str">
        <f>IFERROR(__xludf.DUMMYFUNCTION("LOWER(REGEXREPLACE(B1069&amp;"" ""&amp;C1069,""[^а-яa-z0-9 ]"","" ""))")," едро   бъем 18 л  атериал     плластик  ип  едро без крышки  орма  рямоугольная")</f>
        <v> едро   бъем 18 л  атериал     плластик  ип  едро без крышки  орма  рямоугольная</v>
      </c>
      <c r="G1069" s="10" t="str">
        <f>IFERROR(__xludf.DUMMYFUNCTION("TEXTJOIN(""|"",TRUE,UNIQUE(FILTER(SPLIT(F1069,"" ""),LEN(SPLIT(F1069,"" ""))&gt;2)))"),"едро|бъем|атериал|плластик|едро|без|крышки|орма|рямоугольная")</f>
        <v>едро|бъем|атериал|плластик|едро|без|крышки|орма|рямоугольная</v>
      </c>
      <c r="I1069" s="6"/>
      <c r="J1069" s="6"/>
    </row>
    <row r="1070">
      <c r="A1070" s="12" t="s">
        <v>3038</v>
      </c>
      <c r="B1070" s="7" t="s">
        <v>3039</v>
      </c>
      <c r="C1070" s="7" t="s">
        <v>3040</v>
      </c>
      <c r="D1070" s="8">
        <v>22500.0</v>
      </c>
      <c r="E1070" s="9">
        <v>20.0</v>
      </c>
      <c r="F1070" s="10" t="str">
        <f>IFERROR(__xludf.DUMMYFUNCTION("LOWER(REGEXREPLACE(B1070&amp;"" ""&amp;C1070,""[^а-яa-z0-9 ]"","" ""))")," еркало  ирина  см  55  ысота  см  80  одсветка нет")</f>
        <v> еркало  ирина  см  55  ысота  см  80  одсветка нет</v>
      </c>
      <c r="G1070" s="10" t="str">
        <f>IFERROR(__xludf.DUMMYFUNCTION("TEXTJOIN(""|"",TRUE,UNIQUE(FILTER(SPLIT(F1070,"" ""),LEN(SPLIT(F1070,"" ""))&gt;2)))"),"еркало|ирина|ысота|одсветка|нет")</f>
        <v>еркало|ирина|ысота|одсветка|нет</v>
      </c>
      <c r="I1070" s="6"/>
      <c r="J1070" s="6"/>
    </row>
    <row r="1071">
      <c r="A1071" s="12" t="s">
        <v>3041</v>
      </c>
      <c r="B1071" s="7" t="s">
        <v>3042</v>
      </c>
      <c r="C1071" s="7" t="s">
        <v>3043</v>
      </c>
      <c r="D1071" s="8">
        <v>8800.0</v>
      </c>
      <c r="E1071" s="9">
        <v>432.0</v>
      </c>
      <c r="F1071" s="10" t="str">
        <f>IFERROR(__xludf.DUMMYFUNCTION("LOWER(REGEXREPLACE(B1071&amp;"" ""&amp;C1071,""[^а-яa-z0-9 ]"","" ""))")," рючки  рючки для хранения полотенец  фартуков   атериал крючка    плав металлов")</f>
        <v> рючки  рючки для хранения полотенец  фартуков   атериал крючка    плав металлов</v>
      </c>
      <c r="G1071" s="10" t="str">
        <f>IFERROR(__xludf.DUMMYFUNCTION("TEXTJOIN(""|"",TRUE,UNIQUE(FILTER(SPLIT(F1071,"" ""),LEN(SPLIT(F1071,"" ""))&gt;2)))"),"рючки|рючки|для|хранения|полотенец|фартуков|атериал|крючка|плав|металлов")</f>
        <v>рючки|рючки|для|хранения|полотенец|фартуков|атериал|крючка|плав|металлов</v>
      </c>
      <c r="I1071" s="6"/>
      <c r="J1071" s="6"/>
    </row>
    <row r="1072">
      <c r="A1072" s="12" t="s">
        <v>3044</v>
      </c>
      <c r="B1072" s="7" t="s">
        <v>3045</v>
      </c>
      <c r="C1072" s="7" t="s">
        <v>3032</v>
      </c>
      <c r="D1072" s="8">
        <v>18000.0</v>
      </c>
      <c r="E1072" s="9">
        <v>4.0</v>
      </c>
      <c r="F1072" s="10" t="str">
        <f>IFERROR(__xludf.DUMMYFUNCTION("LOWER(REGEXREPLACE(B1072&amp;"" ""&amp;C1072,""[^а-яa-z0-9 ]"","" ""))")," вабра  лина насадки 40см  ирина насадки 12 см  ысота насадки 1 5 см  лина ручки 130 см")</f>
        <v> вабра  лина насадки 40см  ирина насадки 12 см  ысота насадки 1 5 см  лина ручки 130 см</v>
      </c>
      <c r="G1072" s="10" t="str">
        <f>IFERROR(__xludf.DUMMYFUNCTION("TEXTJOIN(""|"",TRUE,UNIQUE(FILTER(SPLIT(F1072,"" ""),LEN(SPLIT(F1072,"" ""))&gt;2)))"),"вабра|лина|насадки|40см|ирина|насадки|ысота|насадки|лина|ручки|130")</f>
        <v>вабра|лина|насадки|40см|ирина|насадки|ысота|насадки|лина|ручки|130</v>
      </c>
      <c r="I1072" s="6"/>
      <c r="J1072" s="6"/>
    </row>
    <row r="1073">
      <c r="A1073" s="12" t="s">
        <v>3046</v>
      </c>
      <c r="B1073" s="7" t="s">
        <v>3047</v>
      </c>
      <c r="C1073" s="7" t="s">
        <v>3048</v>
      </c>
      <c r="D1073" s="8">
        <v>136500.0</v>
      </c>
      <c r="E1073" s="9">
        <v>1.0</v>
      </c>
      <c r="F1073" s="10" t="str">
        <f>IFERROR(__xludf.DUMMYFUNCTION("LOWER(REGEXREPLACE(B1073&amp;"" ""&amp;C1073,""[^а-яa-z0-9 ]"","" ""))")," ресло руководителя  ресло    888 кзам     подл пл 818 1 кзам  крест пл d680 м п  кол   ")</f>
        <v> ресло руководителя  ресло    888 кзам     подл пл 818 1 кзам  крест пл d680 м п  кол   </v>
      </c>
      <c r="G1073" s="10" t="str">
        <f>IFERROR(__xludf.DUMMYFUNCTION("TEXTJOIN(""|"",TRUE,UNIQUE(FILTER(SPLIT(F1073,"" ""),LEN(SPLIT(F1073,"" ""))&gt;2)))"),"ресло|руководителя|ресло|888|кзам|подл|818|кзам|крест|d680|кол")</f>
        <v>ресло|руководителя|ресло|888|кзам|подл|818|кзам|крест|d680|кол</v>
      </c>
      <c r="I1073" s="6"/>
      <c r="J1073" s="6"/>
    </row>
    <row r="1074">
      <c r="A1074" s="12" t="s">
        <v>3049</v>
      </c>
      <c r="B1074" s="7" t="s">
        <v>3050</v>
      </c>
      <c r="C1074" s="14" t="s">
        <v>3051</v>
      </c>
      <c r="D1074" s="8">
        <v>4949.0</v>
      </c>
      <c r="E1074" s="9">
        <v>33.0</v>
      </c>
      <c r="F1074" s="10" t="str">
        <f>IFERROR(__xludf.DUMMYFUNCTION("LOWER(REGEXREPLACE(B1074&amp;"" ""&amp;C1074,""[^а-яa-z0-9 ]"","" ""))"),"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f>
        <v>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v>
      </c>
      <c r="G1074" s="10" t="str">
        <f>IFERROR(__xludf.DUMMYFUNCTION("TEXTJOIN(""|"",TRUE,UNIQUE(FILTER(SPLIT(F1074,"" ""),LEN(SPLIT(F1074,"" ""))&gt;2)))"),"испенсер|для|бумажных|полотенец|испенсер|для|бумажных|полотенец|типа|ialli|атериал|пластик|укладка|открывается|ключом|небольшое|окошко|для|контроля|заполнения")</f>
        <v>испенсер|для|бумажных|полотенец|испенсер|для|бумажных|полотенец|типа|ialli|атериал|пластик|укладка|открывается|ключом|небольшое|окошко|для|контроля|заполнения</v>
      </c>
      <c r="I1074" s="6"/>
      <c r="J1074" s="6"/>
    </row>
    <row r="1075">
      <c r="A1075" s="12" t="s">
        <v>3052</v>
      </c>
      <c r="B1075" s="7" t="s">
        <v>3053</v>
      </c>
      <c r="C1075" s="14" t="s">
        <v>3054</v>
      </c>
      <c r="D1075" s="8">
        <v>8905.0</v>
      </c>
      <c r="E1075" s="9">
        <v>63.0</v>
      </c>
      <c r="F1075" s="10" t="str">
        <f>IFERROR(__xludf.DUMMYFUNCTION("LOWER(REGEXREPLACE(B1075&amp;"" ""&amp;C1075,""[^а-яa-z0-9 ]"","" ""))"),"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f>
        <v>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v>
      </c>
      <c r="G1075" s="10" t="str">
        <f>IFERROR(__xludf.DUMMYFUNCTION("TEXTJOIN(""|"",TRUE,UNIQUE(FILTER(SPLIT(F1075,"" ""),LEN(SPLIT(F1075,"" ""))&gt;2)))"),"испенсер|антивандальный|для|туалетной|бумаги|испенсер|для|туалетной|бумаги|рулонах|типа|umbo|атериал|пластик|ручная|подача|открывается|помощью|ключа")</f>
        <v>испенсер|антивандальный|для|туалетной|бумаги|испенсер|для|туалетной|бумаги|рулонах|типа|umbo|атериал|пластик|ручная|подача|открывается|помощью|ключа</v>
      </c>
      <c r="I1075" s="6"/>
      <c r="J1075" s="6"/>
    </row>
    <row r="1076">
      <c r="A1076" s="12" t="s">
        <v>3055</v>
      </c>
      <c r="B1076" s="7" t="s">
        <v>3056</v>
      </c>
      <c r="C1076" s="7" t="s">
        <v>3057</v>
      </c>
      <c r="D1076" s="8">
        <v>94500.0</v>
      </c>
      <c r="E1076" s="9">
        <v>42.0</v>
      </c>
      <c r="F1076" s="10" t="str">
        <f>IFERROR(__xludf.DUMMYFUNCTION("LOWER(REGEXREPLACE(B1076&amp;"" ""&amp;C1076,""[^а-яa-z0-9 ]"","" ""))"),"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устойчива"&amp;"я  с безопасно обработанными кромками  подходит для ежедневного использования ")</f>
        <v>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устойчивая  с безопасно обработанными кромками  подходит для ежедневного использования </v>
      </c>
      <c r="G1076" s="10" t="str">
        <f>IFERROR(__xludf.DUMMYFUNCTION("TEXTJOIN(""|"",TRUE,UNIQUE(FILTER(SPLIT(F1076,"" ""),LEN(SPLIT(F1076,""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amp;"жедн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жедневного|использования</v>
      </c>
      <c r="I1076" s="6"/>
      <c r="J1076" s="6"/>
    </row>
    <row r="1077">
      <c r="A1077" s="12" t="s">
        <v>3058</v>
      </c>
      <c r="B1077" s="7" t="s">
        <v>3059</v>
      </c>
      <c r="C1077" s="7" t="s">
        <v>3060</v>
      </c>
      <c r="D1077" s="8">
        <v>94500.0</v>
      </c>
      <c r="E1077" s="9">
        <v>31.0</v>
      </c>
      <c r="F1077" s="10" t="str">
        <f>IFERROR(__xludf.DUMMYFUNCTION("LOWER(REGEXREPLACE(B1077&amp;"" ""&amp;C1077,""[^а-яa-z0-9 ]"","" ""))"),"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усто"&amp;"йчивая  с безопасно обработанными кромками  подходит для ежедневного использования ")</f>
        <v>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устойчивая  с безопасно обработанными кромками  подходит для ежедневного использования </v>
      </c>
      <c r="G1077" s="10" t="str">
        <f>IFERROR(__xludf.DUMMYFUNCTION("TEXTJOIN(""|"",TRUE,UNIQUE(FILTER(SPLIT(F1077,"" ""),LEN(SPLIT(F1077,""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amp;"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евного|использования</v>
      </c>
      <c r="I1077" s="6"/>
      <c r="J1077" s="6"/>
    </row>
    <row r="1078">
      <c r="A1078" s="12" t="s">
        <v>3061</v>
      </c>
      <c r="B1078" s="12" t="s">
        <v>3062</v>
      </c>
      <c r="C1078" s="7" t="s">
        <v>3063</v>
      </c>
      <c r="D1078" s="8">
        <v>9000.0</v>
      </c>
      <c r="E1078" s="9">
        <v>190.0</v>
      </c>
      <c r="F1078" s="10" t="str">
        <f>IFERROR(__xludf.DUMMYFUNCTION("LOWER(REGEXREPLACE(B1078&amp;"" ""&amp;C1078,""[^а-яa-z0-9 ]"","" ""))")," ягкая подушка  абор подушек для создания мягкой зоны  размер 30х30см")</f>
        <v> ягкая подушка  абор подушек для создания мягкой зоны  размер 30х30см</v>
      </c>
      <c r="G1078" s="10" t="str">
        <f>IFERROR(__xludf.DUMMYFUNCTION("TEXTJOIN(""|"",TRUE,UNIQUE(FILTER(SPLIT(F1078,"" ""),LEN(SPLIT(F1078,"" ""))&gt;2)))"),"ягкая|подушка|абор|подушек|для|создания|мягкой|зоны|размер|30х30см")</f>
        <v>ягкая|подушка|абор|подушек|для|создания|мягкой|зоны|размер|30х30см</v>
      </c>
      <c r="I1078" s="6"/>
      <c r="J1078" s="6"/>
    </row>
    <row r="1079">
      <c r="A1079" s="12" t="s">
        <v>3064</v>
      </c>
      <c r="B1079" s="12" t="s">
        <v>3065</v>
      </c>
      <c r="C1079" s="14" t="s">
        <v>3066</v>
      </c>
      <c r="D1079" s="8">
        <v>30343.0</v>
      </c>
      <c r="E1079" s="9">
        <v>78.0</v>
      </c>
      <c r="F1079" s="10" t="str">
        <f>IFERROR(__xludf.DUMMYFUNCTION("LOWER(REGEXREPLACE(B1079&amp;"" ""&amp;C1079,""[^а-яa-z0-9 ]"","" ""))")," камья детская узкая  камья деревянная на металлической основе 1500х300х450 мм")</f>
        <v> камья детская узкая  камья деревянная на металлической основе 1500х300х450 мм</v>
      </c>
      <c r="G1079" s="10" t="str">
        <f>IFERROR(__xludf.DUMMYFUNCTION("TEXTJOIN(""|"",TRUE,UNIQUE(FILTER(SPLIT(F1079,"" ""),LEN(SPLIT(F1079,"" ""))&gt;2)))"),"камья|детская|узкая|камья|деревянная|металлической|основе|1500х300х450")</f>
        <v>камья|детская|узкая|камья|деревянная|металлической|основе|1500х300х450</v>
      </c>
      <c r="I1079" s="6"/>
      <c r="J1079" s="6"/>
    </row>
    <row r="1080">
      <c r="A1080" s="12" t="s">
        <v>3067</v>
      </c>
      <c r="B1080" s="7" t="s">
        <v>3068</v>
      </c>
      <c r="C1080" s="7" t="s">
        <v>3069</v>
      </c>
      <c r="D1080" s="8">
        <v>327600.0</v>
      </c>
      <c r="E1080" s="9">
        <v>1.0</v>
      </c>
      <c r="F1080" s="10" t="str">
        <f>IFERROR(__xludf.DUMMYFUNCTION("LOWER(REGEXREPLACE(B1080&amp;"" ""&amp;C1080,""[^а-яa-z0-9 ]"","" ""))"),"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"&amp;"эмоционального напряжения ")</f>
        <v>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эмоционального напряжения </v>
      </c>
      <c r="G1080" s="10" t="str">
        <f>IFERROR(__xludf.DUMMYFUNCTION("TEXTJOIN(""|"",TRUE,UNIQUE(FILTER(SPLIT(F1080,"" ""),LEN(SPLIT(F1080,"" ""))&gt;2)))"),"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amp;"ряжения")</f>
        <v>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ряжения</v>
      </c>
      <c r="I1080" s="6"/>
      <c r="J1080" s="6"/>
    </row>
    <row r="1081">
      <c r="A1081" s="12" t="s">
        <v>3070</v>
      </c>
      <c r="B1081" s="12" t="s">
        <v>3071</v>
      </c>
      <c r="C1081" s="7" t="s">
        <v>3072</v>
      </c>
      <c r="D1081" s="8">
        <v>157500.0</v>
      </c>
      <c r="E1081" s="9">
        <v>16.0</v>
      </c>
      <c r="F1081" s="10" t="str">
        <f>IFERROR(__xludf.DUMMYFUNCTION("LOWER(REGEXREPLACE(B1081&amp;"" ""&amp;C1081,""[^а-яa-z0-9 ]"","" ""))")," авесной шкаф  каф навесной  двухстворчатый  распашной   атериал              азмеры  800х300х720мм")</f>
        <v> авесной шкаф  каф навесной  двухстворчатый  распашной   атериал              азмеры  800х300х720мм</v>
      </c>
      <c r="G1081" s="10" t="str">
        <f>IFERROR(__xludf.DUMMYFUNCTION("TEXTJOIN(""|"",TRUE,UNIQUE(FILTER(SPLIT(F1081,"" ""),LEN(SPLIT(F1081,"" ""))&gt;2)))"),"авесной|шкаф|каф|навесной|двухстворчатый|распашной|атериал|азмеры|800х300х720мм")</f>
        <v>авесной|шкаф|каф|навесной|двухстворчатый|распашной|атериал|азмеры|800х300х720мм</v>
      </c>
      <c r="I1081" s="6"/>
      <c r="J1081" s="6"/>
    </row>
    <row r="1082">
      <c r="A1082" s="12" t="s">
        <v>3073</v>
      </c>
      <c r="B1082" s="7" t="s">
        <v>3074</v>
      </c>
      <c r="C1082" s="7" t="s">
        <v>3075</v>
      </c>
      <c r="D1082" s="8">
        <v>199500.0</v>
      </c>
      <c r="E1082" s="9">
        <v>2.0</v>
      </c>
      <c r="F1082" s="10" t="str">
        <f>IFERROR(__xludf.DUMMYFUNCTION("LOWER(REGEXREPLACE(B1082&amp;"" ""&amp;C1082,""[^а-яa-z0-9 ]"","" ""))")," иван   иван  uick  ab  lim  ofa  лина  1900 мм  ширина  800 мм  высота  850 мм  ")</f>
        <v> иван   иван  uick  ab  lim  ofa  лина  1900 мм  ширина  800 мм  высота  850 мм  </v>
      </c>
      <c r="G1082" s="10" t="str">
        <f>IFERROR(__xludf.DUMMYFUNCTION("TEXTJOIN(""|"",TRUE,UNIQUE(FILTER(SPLIT(F1082,"" ""),LEN(SPLIT(F1082,"" ""))&gt;2)))"),"иван|иван|uick|lim|ofa|лина|1900|ширина|800|высота|850")</f>
        <v>иван|иван|uick|lim|ofa|лина|1900|ширина|800|высота|850</v>
      </c>
      <c r="I1082" s="6"/>
      <c r="J1082" s="6"/>
    </row>
    <row r="1083">
      <c r="A1083" s="12" t="s">
        <v>3076</v>
      </c>
      <c r="B1083" s="12" t="s">
        <v>3077</v>
      </c>
      <c r="C1083" s="7" t="s">
        <v>3078</v>
      </c>
      <c r="D1083" s="8">
        <v>735000.0</v>
      </c>
      <c r="E1083" s="9">
        <v>1.0</v>
      </c>
      <c r="F1083" s="10" t="str">
        <f>IFERROR(__xludf.DUMMYFUNCTION("LOWER(REGEXREPLACE(B1083&amp;"" ""&amp;C1083,""[^а-яa-z0-9 ]"","" ""))")," иван руководителя  ирина  мм 1480  лубина  мм 820  ысота  мм 670")</f>
        <v> иван руководителя  ирина  мм 1480  лубина  мм 820  ысота  мм 670</v>
      </c>
      <c r="G1083" s="10" t="str">
        <f>IFERROR(__xludf.DUMMYFUNCTION("TEXTJOIN(""|"",TRUE,UNIQUE(FILTER(SPLIT(F1083,"" ""),LEN(SPLIT(F1083,"" ""))&gt;2)))"),"иван|руководителя|ирина|1480|лубина|820|ысота|670")</f>
        <v>иван|руководителя|ирина|1480|лубина|820|ысота|670</v>
      </c>
      <c r="I1083" s="6"/>
      <c r="J1083" s="6"/>
    </row>
    <row r="1084">
      <c r="A1084" s="12" t="s">
        <v>3079</v>
      </c>
      <c r="B1084" s="12" t="s">
        <v>3080</v>
      </c>
      <c r="C1084" s="7" t="s">
        <v>3081</v>
      </c>
      <c r="D1084" s="8">
        <v>42000.0</v>
      </c>
      <c r="E1084" s="9">
        <v>202.0</v>
      </c>
      <c r="F1084" s="10" t="str">
        <f>IFERROR(__xludf.DUMMYFUNCTION("LOWER(REGEXREPLACE(B1084&amp;"" ""&amp;C1084,""[^а-яa-z0-9 ]"","" ""))")," етский стул с спинкой  2 3 лет   етский стул со спинкой для 3 лет  260 200 550 250 мм")</f>
        <v> етский стул с спинкой  2 3 лет   етский стул со спинкой для 3 лет  260 200 550 250 мм</v>
      </c>
      <c r="G1084" s="10" t="str">
        <f>IFERROR(__xludf.DUMMYFUNCTION("TEXTJOIN(""|"",TRUE,UNIQUE(FILTER(SPLIT(F1084,"" ""),LEN(SPLIT(F1084,"" ""))&gt;2)))"),"етский|стул|спинкой|лет|етский|стул|спинкой|для|лет|260|200|550|250")</f>
        <v>етский|стул|спинкой|лет|етский|стул|спинкой|для|лет|260|200|550|250</v>
      </c>
      <c r="I1084" s="6"/>
      <c r="J1084" s="6"/>
    </row>
    <row r="1085">
      <c r="A1085" s="12" t="s">
        <v>3082</v>
      </c>
      <c r="B1085" s="12" t="s">
        <v>3083</v>
      </c>
      <c r="C1085" s="7" t="s">
        <v>3084</v>
      </c>
      <c r="D1085" s="8">
        <v>42000.0</v>
      </c>
      <c r="E1085" s="9">
        <v>194.0</v>
      </c>
      <c r="F1085" s="10" t="str">
        <f>IFERROR(__xludf.DUMMYFUNCTION("LOWER(REGEXREPLACE(B1085&amp;"" ""&amp;C1085,""[^а-яa-z0-9 ]"","" ""))")," етский стул с спинкой  4  лет   етский стул со спинкой для 4   300 220 590 270")</f>
        <v> етский стул с спинкой  4  лет   етский стул со спинкой для 4   300 220 590 270</v>
      </c>
      <c r="G1085" s="10" t="str">
        <f>IFERROR(__xludf.DUMMYFUNCTION("TEXTJOIN(""|"",TRUE,UNIQUE(FILTER(SPLIT(F1085,"" ""),LEN(SPLIT(F1085,"" ""))&gt;2)))"),"етский|стул|спинкой|лет|етский|стул|спинкой|для|300|220|590|270")</f>
        <v>етский|стул|спинкой|лет|етский|стул|спинкой|для|300|220|590|270</v>
      </c>
      <c r="I1085" s="6"/>
      <c r="J1085" s="6"/>
    </row>
    <row r="1086">
      <c r="A1086" s="12" t="s">
        <v>3085</v>
      </c>
      <c r="B1086" s="12" t="s">
        <v>3086</v>
      </c>
      <c r="C1086" s="7" t="s">
        <v>3087</v>
      </c>
      <c r="D1086" s="8">
        <v>157500.0</v>
      </c>
      <c r="E1086" s="9">
        <v>3.0</v>
      </c>
      <c r="F1086" s="10" t="str">
        <f>IFERROR(__xludf.DUMMYFUNCTION("LOWER(REGEXREPLACE(B1086&amp;"" ""&amp;C1086,""[^а-яa-z0-9 ]"","" ""))")," ардеробная вешалка  ирина 109 см  ысота 179 см  лубина 74 см  атериал  еталл")</f>
        <v> ардеробная вешалка  ирина 109 см  ысота 179 см  лубина 74 см  атериал  еталл</v>
      </c>
      <c r="G1086" s="10" t="str">
        <f>IFERROR(__xludf.DUMMYFUNCTION("TEXTJOIN(""|"",TRUE,UNIQUE(FILTER(SPLIT(F1086,"" ""),LEN(SPLIT(F1086,"" ""))&gt;2)))"),"ардеробная|вешалка|ирина|109|ысота|179|лубина|атериал|еталл")</f>
        <v>ардеробная|вешалка|ирина|109|ысота|179|лубина|атериал|еталл</v>
      </c>
      <c r="I1086" s="6"/>
      <c r="J1086" s="6"/>
    </row>
    <row r="1087">
      <c r="A1087" s="12" t="s">
        <v>3088</v>
      </c>
      <c r="B1087" s="7" t="s">
        <v>3089</v>
      </c>
      <c r="C1087" s="7" t="s">
        <v>3090</v>
      </c>
      <c r="D1087" s="8">
        <v>13600.0</v>
      </c>
      <c r="E1087" s="9">
        <v>5.0</v>
      </c>
      <c r="F1087" s="10" t="str">
        <f>IFERROR(__xludf.DUMMYFUNCTION("LOWER(REGEXREPLACE(B1087&amp;"" ""&amp;C1087,""[^а-яa-z0-9 ]"","" ""))")," ровать  гровая или декоративная кровать с комплектом текстильных элементов   спользуется в сюжетно ролевых играх ")</f>
        <v> ровать  гровая или декоративная кровать с комплектом текстильных элементов   спользуется в сюжетно ролевых играх </v>
      </c>
      <c r="G1087" s="10" t="str">
        <f>IFERROR(__xludf.DUMMYFUNCTION("TEXTJOIN(""|"",TRUE,UNIQUE(FILTER(SPLIT(F1087,"" ""),LEN(SPLIT(F1087,"" ""))&gt;2)))"),"ровать|гровая|или|декоративная|кровать|комплектом|текстильных|элементов|спользуется|сюжетно|ролевых|играх")</f>
        <v>ровать|гровая|или|декоративная|кровать|комплектом|текстильных|элементов|спользуется|сюжетно|ролевых|играх</v>
      </c>
      <c r="I1087" s="6"/>
      <c r="J1087" s="6"/>
    </row>
    <row r="1088">
      <c r="A1088" s="12" t="s">
        <v>3091</v>
      </c>
      <c r="B1088" s="12" t="s">
        <v>3092</v>
      </c>
      <c r="C1088" s="7" t="s">
        <v>3093</v>
      </c>
      <c r="D1088" s="8">
        <v>420000.0</v>
      </c>
      <c r="E1088" s="9">
        <v>1.0</v>
      </c>
      <c r="F1088" s="10" t="str">
        <f>IFERROR(__xludf.DUMMYFUNCTION("LOWER(REGEXREPLACE(B1088&amp;"" ""&amp;C1088,""[^а-яa-z0-9 ]"","" ""))")," тойка ресепшен  тойка ресепшен прямая   азмеры   ирина  1640 мм   лубина  510 мм   ысота  1150 мм")</f>
        <v> тойка ресепшен  тойка ресепшен прямая   азмеры   ирина  1640 мм   лубина  510 мм   ысота  1150 мм</v>
      </c>
      <c r="G1088" s="10" t="str">
        <f>IFERROR(__xludf.DUMMYFUNCTION("TEXTJOIN(""|"",TRUE,UNIQUE(FILTER(SPLIT(F1088,"" ""),LEN(SPLIT(F1088,"" ""))&gt;2)))"),"тойка|ресепшен|тойка|ресепшен|прямая|азмеры|ирина|1640|лубина|510|ысота|1150")</f>
        <v>тойка|ресепшен|тойка|ресепшен|прямая|азмеры|ирина|1640|лубина|510|ысота|1150</v>
      </c>
      <c r="I1088" s="6"/>
      <c r="J1088" s="6"/>
    </row>
    <row r="1089">
      <c r="A1089" s="12" t="s">
        <v>3094</v>
      </c>
      <c r="B1089" s="12" t="s">
        <v>3095</v>
      </c>
      <c r="C1089" s="7" t="s">
        <v>3096</v>
      </c>
      <c r="D1089" s="8">
        <v>6300000.0</v>
      </c>
      <c r="E1089" s="9">
        <v>1.0</v>
      </c>
      <c r="F1089" s="10" t="str">
        <f>IFERROR(__xludf.DUMMYFUNCTION("LOWER(REGEXREPLACE(B1089&amp;"" ""&amp;C1089,""[^а-яa-z0-9 ]"","" ""))")," ценический занавес и карниз  истема горизонтального раздвижного занавеса с электроприводом с пультом дистанционного управления ")</f>
        <v> ценический занавес и карниз  истема горизонтального раздвижного занавеса с электроприводом с пультом дистанционного управления </v>
      </c>
      <c r="G1089" s="10" t="str">
        <f>IFERROR(__xludf.DUMMYFUNCTION("TEXTJOIN(""|"",TRUE,UNIQUE(FILTER(SPLIT(F1089,"" ""),LEN(SPLIT(F1089,"" ""))&gt;2)))"),"ценический|занавес|карниз|истема|горизонтального|раздвижного|занавеса|электроприводом|пультом|дистанционного|управления")</f>
        <v>ценический|занавес|карниз|истема|горизонтального|раздвижного|занавеса|электроприводом|пультом|дистанционного|управления</v>
      </c>
      <c r="I1089" s="6"/>
      <c r="J1089" s="6"/>
    </row>
    <row r="1090">
      <c r="A1090" s="12" t="s">
        <v>3097</v>
      </c>
      <c r="B1090" s="12" t="s">
        <v>3098</v>
      </c>
      <c r="C1090" s="7" t="s">
        <v>3099</v>
      </c>
      <c r="D1090" s="8">
        <v>283500.0</v>
      </c>
      <c r="E1090" s="9">
        <v>1.0</v>
      </c>
      <c r="F1090" s="10" t="str">
        <f>IFERROR(__xludf.DUMMYFUNCTION("LOWER(REGEXREPLACE(B1090&amp;"" ""&amp;C1090,""[^а-яa-z0-9 ]"","" ""))")," иван  мягкий   иван  мягкий   3 х местный  с подлокотниками")</f>
        <v> иван  мягкий   иван  мягкий   3 х местный  с подлокотниками</v>
      </c>
      <c r="G1090" s="10" t="str">
        <f>IFERROR(__xludf.DUMMYFUNCTION("TEXTJOIN(""|"",TRUE,UNIQUE(FILTER(SPLIT(F1090,"" ""),LEN(SPLIT(F1090,"" ""))&gt;2)))"),"иван|мягкий|иван|мягкий|местный|подлокотниками")</f>
        <v>иван|мягкий|иван|мягкий|местный|подлокотниками</v>
      </c>
      <c r="I1090" s="6"/>
      <c r="J1090" s="6"/>
    </row>
    <row r="1091">
      <c r="A1091" s="12" t="s">
        <v>3100</v>
      </c>
      <c r="B1091" s="7" t="s">
        <v>3101</v>
      </c>
      <c r="C1091" s="7" t="s">
        <v>3102</v>
      </c>
      <c r="D1091" s="8">
        <v>2850000.0</v>
      </c>
      <c r="E1091" s="9">
        <v>1.0</v>
      </c>
      <c r="F1091" s="10" t="str">
        <f>IFERROR(__xludf.DUMMYFUNCTION("LOWER(REGEXREPLACE(B1091&amp;"" ""&amp;C1091,""[^а-яa-z0-9 ]"","" ""))")," ардеробная на 70 мест  ардеробный шкаф для верхней одежды  азмеры  ширина 2 2 м  длина 3 3 м  высота 1 8м   асстояние между крючками  330мм")</f>
        <v> ардеробная на 70 мест  ардеробный шкаф для верхней одежды  азмеры  ширина 2 2 м  длина 3 3 м  высота 1 8м   асстояние между крючками  330мм</v>
      </c>
      <c r="G1091" s="10" t="str">
        <f>IFERROR(__xludf.DUMMYFUNCTION("TEXTJOIN(""|"",TRUE,UNIQUE(FILTER(SPLIT(F1091,"" ""),LEN(SPLIT(F1091,"" ""))&gt;2)))"),"ардеробная|мест|ардеробный|шкаф|для|верхней|одежды|азмеры|ширина|длина|высота|асстояние|между|крючками|330мм")</f>
        <v>ардеробная|мест|ардеробный|шкаф|для|верхней|одежды|азмеры|ширина|длина|высота|асстояние|между|крючками|330мм</v>
      </c>
      <c r="I1091" s="6"/>
      <c r="J1091" s="6"/>
    </row>
    <row r="1092">
      <c r="A1092" s="12" t="s">
        <v>3103</v>
      </c>
      <c r="B1092" s="7" t="s">
        <v>3104</v>
      </c>
      <c r="C1092" s="7" t="s">
        <v>3105</v>
      </c>
      <c r="D1092" s="8">
        <v>850000.0</v>
      </c>
      <c r="E1092" s="9">
        <v>1.0</v>
      </c>
      <c r="F1092" s="10" t="str">
        <f>IFERROR(__xludf.DUMMYFUNCTION("LOWER(REGEXREPLACE(B1092&amp;"" ""&amp;C1092,""[^а-яa-z0-9 ]"","" ""))")," осударственная символика  тенд объемный настенный                ")</f>
        <v> осударственная символика  тенд объемный настенный                </v>
      </c>
      <c r="G1092" s="10" t="str">
        <f>IFERROR(__xludf.DUMMYFUNCTION("TEXTJOIN(""|"",TRUE,UNIQUE(FILTER(SPLIT(F1092,"" ""),LEN(SPLIT(F1092,"" ""))&gt;2)))"),"осударственная|символика|тенд|объемный|настенный")</f>
        <v>осударственная|символика|тенд|объемный|настенный</v>
      </c>
      <c r="I1092" s="6"/>
      <c r="J1092" s="6"/>
    </row>
    <row r="1093">
      <c r="A1093" s="15" t="s">
        <v>3106</v>
      </c>
      <c r="B1093" s="12" t="s">
        <v>3107</v>
      </c>
      <c r="C1093" s="14" t="s">
        <v>3108</v>
      </c>
      <c r="D1093" s="8">
        <v>30809.0</v>
      </c>
      <c r="E1093" s="9">
        <v>320.0</v>
      </c>
      <c r="F1093" s="10" t="str">
        <f>IFERROR(__xludf.DUMMYFUNCTION("LOWER(REGEXREPLACE(B1093&amp;"" ""&amp;C1093,""[^а-яa-z0-9 ]"","" ""))")," ровать для сна  группы 3    ровать детская односпальная  размеры 1400х600х450мм       16мм  без острых углов")</f>
        <v> ровать для сна  группы 3    ровать детская односпальная  размеры 1400х600х450мм       16мм  без острых углов</v>
      </c>
      <c r="G1093" s="10" t="str">
        <f>IFERROR(__xludf.DUMMYFUNCTION("TEXTJOIN(""|"",TRUE,UNIQUE(FILTER(SPLIT(F1093,"" ""),LEN(SPLIT(F1093,"" ""))&gt;2)))"),"ровать|для|сна|группы|ровать|детская|односпальная|размеры|1400х600х450мм|16мм|без|острых|углов")</f>
        <v>ровать|для|сна|группы|ровать|детская|односпальная|размеры|1400х600х450мм|16мм|без|острых|углов</v>
      </c>
      <c r="I1093" s="6"/>
      <c r="J1093" s="6"/>
    </row>
    <row r="1094">
      <c r="A1094" s="12" t="s">
        <v>3109</v>
      </c>
      <c r="B1094" s="7" t="s">
        <v>3110</v>
      </c>
      <c r="C1094" s="7" t="s">
        <v>3111</v>
      </c>
      <c r="D1094" s="8">
        <v>189000.0</v>
      </c>
      <c r="E1094" s="9">
        <v>1.0</v>
      </c>
      <c r="F1094" s="10" t="str">
        <f>IFERROR(__xludf.DUMMYFUNCTION("LOWER(REGEXREPLACE(B1094&amp;"" ""&amp;C1094,""[^а-яa-z0-9 ]"","" ""))")," руглый стол  тол для совместного чтения  обсуждений и игровых занятий   пособствует развитию общения между детьми   атериал        или дерево   иаметр   1000 1200 мм ")</f>
        <v> руглый стол  тол для совместного чтения  обсуждений и игровых занятий   пособствует развитию общения между детьми   атериал        или дерево   иаметр   1000 1200 мм </v>
      </c>
      <c r="G1094" s="10" t="str">
        <f>IFERROR(__xludf.DUMMYFUNCTION("TEXTJOIN(""|"",TRUE,UNIQUE(FILTER(SPLIT(F1094,"" ""),LEN(SPLIT(F1094,"" ""))&gt;2)))"),"руглый|стол|тол|для|совместного|чтения|обсуждений|игровых|занятий|пособствует|развитию|общения|между|детьми|атериал|или|дерево|иаметр|1000|1200")</f>
        <v>руглый|стол|тол|для|совместного|чтения|обсуждений|игровых|занятий|пособствует|развитию|общения|между|детьми|атериал|или|дерево|иаметр|1000|1200</v>
      </c>
      <c r="I1094" s="6"/>
      <c r="J1094" s="6"/>
    </row>
    <row r="1095">
      <c r="A1095" s="12" t="s">
        <v>3112</v>
      </c>
      <c r="B1095" s="7" t="s">
        <v>3113</v>
      </c>
      <c r="C1095" s="7" t="s">
        <v>3114</v>
      </c>
      <c r="D1095" s="8">
        <v>105000.0</v>
      </c>
      <c r="E1095" s="9">
        <v>4.0</v>
      </c>
      <c r="F1095" s="10" t="str">
        <f>IFERROR(__xludf.DUMMYFUNCTION("LOWER(REGEXREPLACE(B1095&amp;"" ""&amp;C1095,""[^а-яa-z0-9 ]"","" ""))"),"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"&amp;"для использования в помещениях ")</f>
        <v>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для использования в помещениях </v>
      </c>
      <c r="G1095" s="10" t="str">
        <f>IFERROR(__xludf.DUMMYFUNCTION("TEXTJOIN(""|"",TRUE,UNIQUE(FILTER(SPLIT(F1095,"" ""),LEN(SPLIT(F1095,"" ""))&gt;2)))"),"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amp;"х")</f>
        <v>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х</v>
      </c>
      <c r="I1095" s="6"/>
      <c r="J1095" s="6"/>
    </row>
    <row r="1096">
      <c r="A1096" s="12" t="s">
        <v>3115</v>
      </c>
      <c r="B1096" s="7" t="s">
        <v>3116</v>
      </c>
      <c r="C1096" s="7" t="s">
        <v>3117</v>
      </c>
      <c r="D1096" s="8">
        <v>283500.0</v>
      </c>
      <c r="E1096" s="9">
        <v>3.0</v>
      </c>
      <c r="F1096" s="10" t="str">
        <f>IFERROR(__xludf.DUMMYFUNCTION("LOWER(REGEXREPLACE(B1096&amp;"" ""&amp;C1096,""[^а-яa-z0-9 ]"","" ""))")," ушетка процедурная  ушетка предназначена для осмотров  процедур и медицинских манипуляций в медблоке       азмеры 560х1930х670")</f>
        <v> ушетка процедурная  ушетка предназначена для осмотров  процедур и медицинских манипуляций в медблоке       азмеры 560х1930х670</v>
      </c>
      <c r="G1096" s="10" t="str">
        <f>IFERROR(__xludf.DUMMYFUNCTION("TEXTJOIN(""|"",TRUE,UNIQUE(FILTER(SPLIT(F1096,"" ""),LEN(SPLIT(F1096,"" ""))&gt;2)))"),"ушетка|процедурная|ушетка|предназначена|для|осмотров|процедур|медицинских|манипуляций|медблоке|азмеры|560х1930х670")</f>
        <v>ушетка|процедурная|ушетка|предназначена|для|осмотров|процедур|медицинских|манипуляций|медблоке|азмеры|560х1930х670</v>
      </c>
      <c r="I1096" s="6"/>
      <c r="J1096" s="6"/>
    </row>
    <row r="1097">
      <c r="A1097" s="12" t="s">
        <v>3118</v>
      </c>
      <c r="B1097" s="7" t="s">
        <v>3119</v>
      </c>
      <c r="C1097" s="7" t="s">
        <v>3120</v>
      </c>
      <c r="D1097" s="8">
        <v>23400.0</v>
      </c>
      <c r="E1097" s="9">
        <v>325.0</v>
      </c>
      <c r="F1097" s="10" t="str">
        <f>IFERROR(__xludf.DUMMYFUNCTION("LOWER(REGEXREPLACE(B1097&amp;"" ""&amp;C1097,""[^а-яa-z0-9 ]"","" ""))"),"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безопасно"&amp;"сть   спользуемые материалы устойчивы к деформации  влаге и подходят для регулярной санитарной обработки ")</f>
        <v>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безопасность   спользуемые материалы устойчивы к деформации  влаге и подходят для регулярной санитарной обработки </v>
      </c>
      <c r="G1097" s="10" t="str">
        <f>IFERROR(__xludf.DUMMYFUNCTION("TEXTJOIN(""|"",TRUE,UNIQUE(FILTER(SPLIT(F1097,"" ""),LEN(SPLIT(F1097,"" ""))&gt;2)))"),"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amp;"ы|деформации|влаге|подходят|для|регулярной|санитарной|обработки")</f>
        <v>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ы|деформации|влаге|подходят|для|регулярной|санитарной|обработки</v>
      </c>
      <c r="I1097" s="6"/>
      <c r="J1097" s="6"/>
    </row>
    <row r="1098">
      <c r="A1098" s="12" t="s">
        <v>3121</v>
      </c>
      <c r="B1098" s="7" t="s">
        <v>3122</v>
      </c>
      <c r="C1098" s="7" t="s">
        <v>3123</v>
      </c>
      <c r="D1098" s="8">
        <v>23400.0</v>
      </c>
      <c r="E1098" s="9">
        <v>20.0</v>
      </c>
      <c r="F1098" s="10" t="str">
        <f>IFERROR(__xludf.DUMMYFUNCTION("LOWER(REGEXREPLACE(B1098&amp;"" ""&amp;C1098,""[^а-яa-z0-9 ]"","" ""))")," атрас   азмеры изделия  по параметрам кровати  длина   1400 мм  ширина   600 мм   ипоаллергенный матрас для детской кровати ")</f>
        <v> атрас   азмеры изделия  по параметрам кровати  длина   1400 мм  ширина   600 мм   ипоаллергенный матрас для детской кровати </v>
      </c>
      <c r="G1098" s="10" t="str">
        <f>IFERROR(__xludf.DUMMYFUNCTION("TEXTJOIN(""|"",TRUE,UNIQUE(FILTER(SPLIT(F1098,"" ""),LEN(SPLIT(F1098,"" ""))&gt;2)))"),"атрас|азмеры|изделия|параметрам|кровати|длина|1400|ширина|600|ипоаллергенный|матрас|для|детской|кровати")</f>
        <v>атрас|азмеры|изделия|параметрам|кровати|длина|1400|ширина|600|ипоаллергенный|матрас|для|детской|кровати</v>
      </c>
      <c r="I1098" s="6"/>
      <c r="J1098" s="6"/>
    </row>
    <row r="1099">
      <c r="A1099" s="7"/>
      <c r="B1099" s="7" t="s">
        <v>3124</v>
      </c>
      <c r="C1099" s="7" t="s">
        <v>3125</v>
      </c>
      <c r="D1099" s="8">
        <v>23400.0</v>
      </c>
      <c r="E1099" s="9">
        <v>5.0</v>
      </c>
      <c r="F1099" s="10" t="str">
        <f>IFERROR(__xludf.DUMMYFUNCTION("LOWER(REGEXREPLACE(B1099&amp;"" ""&amp;C1099,""[^а-яa-z0-9 ]"","" ""))")," атрас  группа 2 х лет   азмеры изделия  по параметрам кровати  длина   120 см  ширина   60 см   ипоаллергенный матрас для детской кровати ")</f>
        <v> атрас  группа 2 х лет   азмеры изделия  по параметрам кровати  длина   120 см  ширина   60 см   ипоаллергенный матрас для детской кровати </v>
      </c>
      <c r="G1099" s="10" t="str">
        <f>IFERROR(__xludf.DUMMYFUNCTION("TEXTJOIN(""|"",TRUE,UNIQUE(FILTER(SPLIT(F1099,"" ""),LEN(SPLIT(F1099,"" ""))&gt;2)))"),"атрас|группа|лет|азмеры|изделия|параметрам|кровати|длина|120|ширина|ипоаллергенный|матрас|для|детской|кровати")</f>
        <v>атрас|группа|лет|азмеры|изделия|параметрам|кровати|длина|120|ширина|ипоаллергенный|матрас|для|детской|кровати</v>
      </c>
      <c r="I1099" s="6"/>
      <c r="J1099" s="6"/>
    </row>
    <row r="1100">
      <c r="A1100" s="12" t="s">
        <v>3126</v>
      </c>
      <c r="B1100" s="7" t="s">
        <v>3127</v>
      </c>
      <c r="C1100" s="7" t="s">
        <v>3128</v>
      </c>
      <c r="D1100" s="8">
        <v>191300.0</v>
      </c>
      <c r="E1100" s="9">
        <v>11.0</v>
      </c>
      <c r="F1100" s="10" t="str">
        <f>IFERROR(__xludf.DUMMYFUNCTION("LOWER(REGEXREPLACE(B1100&amp;"" ""&amp;C1100,""[^а-яa-z0-9 ]"","" ""))"),"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"&amp;"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обесп"&amp;"ечивая компактное хранение и удобство использования ")</f>
        <v>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обеспечивая компактное хранение и удобство использования </v>
      </c>
      <c r="G1100" s="10" t="str">
        <f>IFERROR(__xludf.DUMMYFUNCTION("TEXTJOIN(""|"",TRUE,UNIQUE(FILTER(SPLIT(F1100,"" ""),LEN(SPLIT(F1100,"" ""))&gt;2)))"),"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amp;"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amp;"вания")</f>
        <v>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вания</v>
      </c>
      <c r="I1100" s="6"/>
      <c r="J1100" s="6"/>
    </row>
    <row r="1101">
      <c r="A1101" s="12" t="s">
        <v>3129</v>
      </c>
      <c r="B1101" s="7" t="s">
        <v>3130</v>
      </c>
      <c r="C1101" s="7" t="s">
        <v>3131</v>
      </c>
      <c r="D1101" s="8">
        <v>231000.0</v>
      </c>
      <c r="E1101" s="9">
        <v>3.0</v>
      </c>
      <c r="F1101" s="10" t="str">
        <f>IFERROR(__xludf.DUMMYFUNCTION("LOWER(REGEXREPLACE(B1101&amp;"" ""&amp;C1101,""[^а-яa-z0-9 ]"","" ""))"),"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f>
        <v>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v>
      </c>
      <c r="G1101" s="10" t="str">
        <f>IFERROR(__xludf.DUMMYFUNCTION("TEXTJOIN(""|"",TRUE,UNIQUE(FILTER(SPLIT(F1101,"" ""),LEN(SPLIT(F1101,"" ""))&gt;2)))"),"одуль|стеллажный|открытыми|полками|для|хранения|материалов|одуль|открытыми|полками|для|хранения|игрушек|абариты|изделия|900|340|700|атериал|корпуса|кромкой")</f>
        <v>одуль|стеллажный|открытыми|полками|для|хранения|материалов|одуль|открытыми|полками|для|хранения|игрушек|абариты|изделия|900|340|700|атериал|корпуса|кромкой</v>
      </c>
      <c r="I1101" s="6"/>
      <c r="J1101" s="6"/>
    </row>
    <row r="1102">
      <c r="A1102" s="12" t="s">
        <v>3132</v>
      </c>
      <c r="B1102" s="7" t="s">
        <v>3133</v>
      </c>
      <c r="C1102" s="7" t="s">
        <v>3134</v>
      </c>
      <c r="D1102" s="8">
        <v>121800.0</v>
      </c>
      <c r="E1102" s="9">
        <v>7.0</v>
      </c>
      <c r="F1102" s="10" t="str">
        <f>IFERROR(__xludf.DUMMYFUNCTION("LOWER(REGEXREPLACE(B1102&amp;"" ""&amp;C1102,""[^а-яa-z0-9 ]"","" ""))"),"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f>
        <v>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v>
      </c>
      <c r="G1102" s="10" t="str">
        <f>IFERROR(__xludf.DUMMYFUNCTION("TEXTJOIN(""|"",TRUE,UNIQUE(FILTER(SPLIT(F1102,"" ""),LEN(SPLIT(F1102,"" ""))&gt;2)))"),"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f>
        <v>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v>
      </c>
      <c r="I1102" s="6"/>
      <c r="J1102" s="6"/>
    </row>
    <row r="1103">
      <c r="A1103" s="12" t="s">
        <v>3135</v>
      </c>
      <c r="B1103" s="7" t="s">
        <v>3136</v>
      </c>
      <c r="C1103" s="7" t="s">
        <v>3137</v>
      </c>
      <c r="D1103" s="8">
        <v>52500.0</v>
      </c>
      <c r="E1103" s="9">
        <v>5.0</v>
      </c>
      <c r="F1103" s="10" t="str">
        <f>IFERROR(__xludf.DUMMYFUNCTION("LOWER(REGEXREPLACE(B1103&amp;"" ""&amp;C1103,""[^а-яa-z0-9 ]"","" ""))")," астенная полка для хранения дидактических материалов психолога  репится к стене   азмеры 1000х200х630")</f>
        <v> астенная полка для хранения дидактических материалов психолога  репится к стене   азмеры 1000х200х630</v>
      </c>
      <c r="G1103" s="10" t="str">
        <f>IFERROR(__xludf.DUMMYFUNCTION("TEXTJOIN(""|"",TRUE,UNIQUE(FILTER(SPLIT(F1103,"" ""),LEN(SPLIT(F1103,"" ""))&gt;2)))"),"астенная|полка|для|хранения|дидактических|материалов|психолога|репится|стене|азмеры|1000х200х630")</f>
        <v>астенная|полка|для|хранения|дидактических|материалов|психолога|репится|стене|азмеры|1000х200х630</v>
      </c>
      <c r="I1103" s="6"/>
      <c r="J1103" s="6"/>
    </row>
    <row r="1104">
      <c r="A1104" s="12" t="s">
        <v>3138</v>
      </c>
      <c r="B1104" s="7" t="s">
        <v>3139</v>
      </c>
      <c r="C1104" s="7" t="s">
        <v>3140</v>
      </c>
      <c r="D1104" s="8">
        <v>117000.0</v>
      </c>
      <c r="E1104" s="9">
        <v>1.0</v>
      </c>
      <c r="F1104" s="10" t="str">
        <f>IFERROR(__xludf.DUMMYFUNCTION("LOWER(REGEXREPLACE(B1104&amp;"" ""&amp;C1104,""[^а-яa-z0-9 ]"","" ""))"),"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безопасную"&amp;" конструкцию  соответствующую требованиям детских учреждений ")</f>
        <v>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 конструкцию  соответствующую требованиям детских учреждений </v>
      </c>
      <c r="G1104" s="10" t="str">
        <f>IFERROR(__xludf.DUMMYFUNCTION("TEXTJOIN(""|"",TRUE,UNIQUE(FILTER(SPLIT(F1104,"" ""),LEN(SPLIT(F1104,"" ""))&gt;2)))"),"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amp;"ующую|требованиям|детских|учреждений")</f>
        <v>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ующую|требованиям|детских|учреждений</v>
      </c>
      <c r="I1104" s="6"/>
      <c r="J1104" s="6"/>
    </row>
    <row r="1105">
      <c r="A1105" s="12" t="s">
        <v>3141</v>
      </c>
      <c r="B1105" s="7" t="s">
        <v>3142</v>
      </c>
      <c r="C1105" s="7" t="s">
        <v>3143</v>
      </c>
      <c r="D1105" s="8">
        <v>62500.0</v>
      </c>
      <c r="E1105" s="9">
        <v>1.0</v>
      </c>
      <c r="F1105" s="10" t="str">
        <f>IFERROR(__xludf.DUMMYFUNCTION("LOWER(REGEXREPLACE(B1105&amp;"" ""&amp;C1105,""[^а-яa-z0-9 ]"","" ""))"),"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о"&amp;"борудованию ")</f>
        <v>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оборудованию </v>
      </c>
      <c r="G1105" s="10" t="str">
        <f>IFERROR(__xludf.DUMMYFUNCTION("TEXTJOIN(""|"",TRUE,UNIQUE(FILTER(SPLIT(F1105,"" ""),LEN(SPLIT(F1105,"" ""))&gt;2)))"),"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f>
        <v>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v>
      </c>
      <c r="I1105" s="6"/>
      <c r="J1105" s="6"/>
    </row>
    <row r="1106">
      <c r="A1106" s="12" t="s">
        <v>3144</v>
      </c>
      <c r="B1106" s="7" t="s">
        <v>3145</v>
      </c>
      <c r="C1106" s="7" t="s">
        <v>3146</v>
      </c>
      <c r="D1106" s="8">
        <v>110700.0</v>
      </c>
      <c r="E1106" s="9">
        <v>2.0</v>
      </c>
      <c r="F1106" s="10" t="str">
        <f>IFERROR(__xludf.DUMMYFUNCTION("LOWER(REGEXREPLACE(B1106&amp;"" ""&amp;C1106,""[^а-яa-z0-9 ]"","" ""))"),"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f>
        <v>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v>
      </c>
      <c r="G1106" s="10" t="str">
        <f>IFERROR(__xludf.DUMMYFUNCTION("TEXTJOIN(""|"",TRUE,UNIQUE(FILTER(SPLIT(F1106,"" ""),LEN(SPLIT(F1106,"" ""))&gt;2)))"),"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f>
        <v>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v>
      </c>
      <c r="I1106" s="6"/>
      <c r="J1106" s="6"/>
    </row>
    <row r="1107">
      <c r="A1107" s="12" t="s">
        <v>3147</v>
      </c>
      <c r="B1107" s="7" t="s">
        <v>3148</v>
      </c>
      <c r="C1107" s="7" t="s">
        <v>3149</v>
      </c>
      <c r="D1107" s="8">
        <v>14400.0</v>
      </c>
      <c r="E1107" s="9">
        <v>31.0</v>
      </c>
      <c r="F1107" s="10" t="str">
        <f>IFERROR(__xludf.DUMMYFUNCTION("LOWER(REGEXREPLACE(B1107&amp;"" ""&amp;C1107,""[^а-яa-z0-9 ]"","" ""))"),"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f>
        <v>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v>
      </c>
      <c r="G1107" s="10" t="str">
        <f>IFERROR(__xludf.DUMMYFUNCTION("TEXTJOIN(""|"",TRUE,UNIQUE(FILTER(SPLIT(F1107,"" ""),LEN(SPLIT(F1107,"" ""))&gt;2)))"),"атяжной|потолок|подсветкой|отолочная|конструкция|встроенной|светодиодной|подсветкой|беспечивает|равномерное|освещение|декоративный|эффект|помещении")</f>
        <v>атяжной|потолок|подсветкой|отолочная|конструкция|встроенной|светодиодной|подсветкой|беспечивает|равномерное|освещение|декоративный|эффект|помещении</v>
      </c>
      <c r="I1107" s="6"/>
      <c r="J1107" s="6"/>
    </row>
    <row r="1108">
      <c r="A1108" s="12" t="s">
        <v>3150</v>
      </c>
      <c r="B1108" s="7" t="s">
        <v>3151</v>
      </c>
      <c r="C1108" s="7" t="s">
        <v>3152</v>
      </c>
      <c r="D1108" s="8">
        <v>94500.0</v>
      </c>
      <c r="E1108" s="9">
        <v>1.0</v>
      </c>
      <c r="F1108" s="10" t="str">
        <f>IFERROR(__xludf.DUMMYFUNCTION("LOWER(REGEXREPLACE(B1108&amp;"" ""&amp;C1108,""[^а-яa-z0-9 ]"","" ""))")," ткрытая полка  теллаж 8 секций  азмеры 720x390x1820 мм")</f>
        <v> ткрытая полка  теллаж 8 секций  азмеры 720x390x1820 мм</v>
      </c>
      <c r="G1108" s="10" t="str">
        <f>IFERROR(__xludf.DUMMYFUNCTION("TEXTJOIN(""|"",TRUE,UNIQUE(FILTER(SPLIT(F1108,"" ""),LEN(SPLIT(F1108,"" ""))&gt;2)))"),"ткрытая|полка|теллаж|секций|азмеры|720x390x1820")</f>
        <v>ткрытая|полка|теллаж|секций|азмеры|720x390x1820</v>
      </c>
      <c r="I1108" s="6"/>
      <c r="J1108" s="6"/>
    </row>
    <row r="1109">
      <c r="A1109" s="12" t="s">
        <v>3153</v>
      </c>
      <c r="B1109" s="7" t="s">
        <v>3154</v>
      </c>
      <c r="C1109" s="7" t="s">
        <v>3155</v>
      </c>
      <c r="D1109" s="8">
        <v>178500.0</v>
      </c>
      <c r="E1109" s="9">
        <v>11.0</v>
      </c>
      <c r="F1109" s="10" t="str">
        <f>IFERROR(__xludf.DUMMYFUNCTION("LOWER(REGEXREPLACE(B1109&amp;"" ""&amp;C1109,""[^а-яa-z0-9 ]"","" ""))")," ткрытые стеллажи с контейнерами  ткрытые стеллажи с контейнерами   азмеры 1800х430х620мм")</f>
        <v> ткрытые стеллажи с контейнерами  ткрытые стеллажи с контейнерами   азмеры 1800х430х620мм</v>
      </c>
      <c r="G1109" s="10" t="str">
        <f>IFERROR(__xludf.DUMMYFUNCTION("TEXTJOIN(""|"",TRUE,UNIQUE(FILTER(SPLIT(F1109,"" ""),LEN(SPLIT(F1109,"" ""))&gt;2)))"),"ткрытые|стеллажи|контейнерами|ткрытые|стеллажи|контейнерами|азмеры|1800х430х620мм")</f>
        <v>ткрытые|стеллажи|контейнерами|ткрытые|стеллажи|контейнерами|азмеры|1800х430х620мм</v>
      </c>
      <c r="I1109" s="6"/>
      <c r="J1109" s="6"/>
    </row>
    <row r="1110">
      <c r="A1110" s="12" t="s">
        <v>3156</v>
      </c>
      <c r="B1110" s="7" t="s">
        <v>3157</v>
      </c>
      <c r="C1110" s="14" t="s">
        <v>3158</v>
      </c>
      <c r="D1110" s="8">
        <v>92317.0</v>
      </c>
      <c r="E1110" s="9">
        <v>134.0</v>
      </c>
      <c r="F1110" s="10" t="str">
        <f>IFERROR(__xludf.DUMMYFUNCTION("LOWER(REGEXREPLACE(B1110&amp;"" ""&amp;C1110,""[^а-яa-z0-9 ]"","" ""))")," ткрытый стеллаж   каф стеллаж открытый 2000х300х1000мм   орпус  полки из      16мм  20 ячеек  задняя стенка из     5мм")</f>
        <v> ткрытый стеллаж   каф стеллаж открытый 2000х300х1000мм   орпус  полки из      16мм  20 ячеек  задняя стенка из     5мм</v>
      </c>
      <c r="G1110" s="10" t="str">
        <f>IFERROR(__xludf.DUMMYFUNCTION("TEXTJOIN(""|"",TRUE,UNIQUE(FILTER(SPLIT(F1110,"" ""),LEN(SPLIT(F1110,"" ""))&gt;2)))"),"ткрытый|стеллаж|каф|стеллаж|открытый|2000х300х1000мм|орпус|полки|16мм|ячеек|задняя|стенка|5мм")</f>
        <v>ткрытый|стеллаж|каф|стеллаж|открытый|2000х300х1000мм|орпус|полки|16мм|ячеек|задняя|стенка|5мм</v>
      </c>
      <c r="I1110" s="6"/>
      <c r="J1110" s="6"/>
    </row>
    <row r="1111">
      <c r="A1111" s="12" t="s">
        <v>3159</v>
      </c>
      <c r="B1111" s="7" t="s">
        <v>3160</v>
      </c>
      <c r="C1111" s="7" t="s">
        <v>3161</v>
      </c>
      <c r="D1111" s="8">
        <v>94500.0</v>
      </c>
      <c r="E1111" s="9">
        <v>5.0</v>
      </c>
      <c r="F1111" s="10" t="str">
        <f>IFERROR(__xludf.DUMMYFUNCTION("LOWER(REGEXREPLACE(B1111&amp;"" ""&amp;C1111,""[^а-яa-z0-9 ]"","" ""))"),"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аз"&amp;"меры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f>
        <v>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v>
      </c>
      <c r="G1111" s="10" t="str">
        <f>IFERROR(__xludf.DUMMYFUNCTION("TEXTJOIN(""|"",TRUE,UNIQUE(FILTER(SPLIT(F1111,"" ""),LEN(SPLIT(F1111,"" ""))&gt;2)))"),"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amp;"1180|ширина|580|тол|устойчивый|безопасными|округлыми|кромками|рассчитан|ежедневное|использование|детских|учреждениях")</f>
        <v>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1180|ширина|580|тол|устойчивый|безопасными|округлыми|кромками|рассчитан|ежедневное|использование|детских|учреждениях</v>
      </c>
      <c r="I1111" s="6"/>
      <c r="J1111" s="6"/>
    </row>
    <row r="1112">
      <c r="A1112" s="12" t="s">
        <v>3162</v>
      </c>
      <c r="B1112" s="7" t="s">
        <v>3163</v>
      </c>
      <c r="C1112" s="7" t="s">
        <v>3164</v>
      </c>
      <c r="D1112" s="8">
        <v>315000.0</v>
      </c>
      <c r="E1112" s="9">
        <v>0.0</v>
      </c>
      <c r="F1112" s="10" t="str">
        <f>IFERROR(__xludf.DUMMYFUNCTION("LOWER(REGEXREPLACE(B1112&amp;"" ""&amp;C1112,""[^а-яa-z0-9 ]"","" ""))"),"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удобног"&amp;"о доступа и безопасного хранения инвентаря ")</f>
        <v>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удобного доступа и безопасного хранения инвентаря </v>
      </c>
      <c r="G1112" s="10" t="str">
        <f>IFERROR(__xludf.DUMMYFUNCTION("TEXTJOIN(""|"",TRUE,UNIQUE(FILTER(SPLIT(F1112,"" ""),LEN(SPLIT(F1112,"" ""))&gt;2)))"),"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amp;"о|хранения|инвентаря")</f>
        <v>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о|хранения|инвентаря</v>
      </c>
      <c r="I1112" s="6"/>
      <c r="J1112" s="6"/>
    </row>
    <row r="1113">
      <c r="A1113" s="12" t="s">
        <v>3165</v>
      </c>
      <c r="B1113" s="7" t="s">
        <v>3166</v>
      </c>
      <c r="C1113" s="7" t="s">
        <v>3167</v>
      </c>
      <c r="D1113" s="8">
        <v>17600.0</v>
      </c>
      <c r="E1113" s="9">
        <v>0.0</v>
      </c>
      <c r="F1113" s="10" t="str">
        <f>IFERROR(__xludf.DUMMYFUNCTION("LOWER(REGEXREPLACE(B1113&amp;"" ""&amp;C1113,""[^а-яa-z0-9 ]"","" ""))"),"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защи"&amp;"тными элементами в местах соприкосновения с инструментом ")</f>
        <v>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защитными элементами в местах соприкосновения с инструментом </v>
      </c>
      <c r="G1113" s="10" t="str">
        <f>IFERROR(__xludf.DUMMYFUNCTION("TEXTJOIN(""|"",TRUE,UNIQUE(FILTER(SPLIT(F1113,"" ""),LEN(SPLIT(F1113,"" ""))&gt;2)))"),"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amp;"стах|соприкосновения|инструментом")</f>
        <v>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стах|соприкосновения|инструментом</v>
      </c>
      <c r="I1113" s="6"/>
      <c r="J1113" s="6"/>
    </row>
    <row r="1114">
      <c r="A1114" s="12" t="s">
        <v>3168</v>
      </c>
      <c r="B1114" s="7" t="s">
        <v>3169</v>
      </c>
      <c r="C1114" s="7" t="s">
        <v>3170</v>
      </c>
      <c r="D1114" s="8">
        <v>136500.0</v>
      </c>
      <c r="E1114" s="9">
        <v>5.0</v>
      </c>
      <c r="F1114" s="10" t="str">
        <f>IFERROR(__xludf.DUMMYFUNCTION("LOWER(REGEXREPLACE(B1114&amp;"" ""&amp;C1114,""[^а-яa-z0-9 ]"","" ""))"),"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f>
        <v>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v>
      </c>
      <c r="G1114" s="10" t="str">
        <f>IFERROR(__xludf.DUMMYFUNCTION("TEXTJOIN(""|"",TRUE,UNIQUE(FILTER(SPLIT(F1114,"" ""),LEN(SPLIT(F1114,"" ""))&gt;2)))"),"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f>
        <v>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v>
      </c>
      <c r="I1114" s="6"/>
      <c r="J1114" s="6"/>
    </row>
    <row r="1115">
      <c r="A1115" s="12" t="s">
        <v>3171</v>
      </c>
      <c r="B1115" s="7" t="s">
        <v>3172</v>
      </c>
      <c r="C1115" s="7" t="s">
        <v>3173</v>
      </c>
      <c r="D1115" s="8">
        <v>31500.0</v>
      </c>
      <c r="E1115" s="9">
        <v>20.0</v>
      </c>
      <c r="F1115" s="10" t="str">
        <f>IFERROR(__xludf.DUMMYFUNCTION("LOWER(REGEXREPLACE(B1115&amp;"" ""&amp;C1115,""[^а-яa-z0-9 ]"","" ""))"),"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f>
        <v>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v>
      </c>
      <c r="G1115" s="10" t="str">
        <f>IFERROR(__xludf.DUMMYFUNCTION("TEXTJOIN(""|"",TRUE,UNIQUE(FILTER(SPLIT(F1115,"" ""),LEN(SPLIT(F1115,"" ""))&gt;2)))"),"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f>
        <v>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v>
      </c>
      <c r="I1115" s="6"/>
      <c r="J1115" s="6"/>
    </row>
    <row r="1116">
      <c r="A1116" s="12" t="s">
        <v>3174</v>
      </c>
      <c r="B1116" s="7" t="s">
        <v>3175</v>
      </c>
      <c r="C1116" s="7" t="s">
        <v>3176</v>
      </c>
      <c r="D1116" s="8">
        <v>25200.0</v>
      </c>
      <c r="E1116" s="9">
        <v>3.0</v>
      </c>
      <c r="F1116" s="10" t="str">
        <f>IFERROR(__xludf.DUMMYFUNCTION("LOWER(REGEXREPLACE(B1116&amp;"" ""&amp;C1116,""[^а-яa-z0-9 ]"","" ""))"),"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"&amp;" онструкция устойчивая и безопасная для использования в помещениях     ")</f>
        <v>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онструкция устойчивая и безопасная для использования в помещениях     </v>
      </c>
      <c r="G1116" s="10" t="str">
        <f>IFERROR(__xludf.DUMMYFUNCTION("TEXTJOIN(""|"",TRUE,UNIQUE(FILTER(SPLIT(F1116,"" ""),LEN(SPLIT(F1116,"" ""))&gt;2)))"),"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amp;"ивая|безопасная|для|использования|помещениях")</f>
        <v>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ивая|безопасная|для|использования|помещениях</v>
      </c>
      <c r="I1116" s="6"/>
      <c r="J1116" s="6"/>
    </row>
    <row r="1117">
      <c r="A1117" s="12" t="s">
        <v>3177</v>
      </c>
      <c r="B1117" s="7" t="s">
        <v>3178</v>
      </c>
      <c r="C1117" s="7" t="s">
        <v>3179</v>
      </c>
      <c r="D1117" s="8">
        <v>219200.0</v>
      </c>
      <c r="E1117" s="9">
        <v>2.0</v>
      </c>
      <c r="F1117" s="10" t="str">
        <f>IFERROR(__xludf.DUMMYFUNCTION("LOWER(REGEXREPLACE(B1117&amp;"" ""&amp;C1117,""[^а-яa-z0-9 ]"","" ""))")," одставка vpn7 4  азмеры  800x574x550 мм")</f>
        <v> одставка vpn7 4  азмеры  800x574x550 мм</v>
      </c>
      <c r="G1117" s="10" t="str">
        <f>IFERROR(__xludf.DUMMYFUNCTION("TEXTJOIN(""|"",TRUE,UNIQUE(FILTER(SPLIT(F1117,"" ""),LEN(SPLIT(F1117,"" ""))&gt;2)))"),"одставка|vpn7|азмеры|800x574x550")</f>
        <v>одставка|vpn7|азмеры|800x574x550</v>
      </c>
      <c r="I1117" s="6"/>
      <c r="J1117" s="6"/>
    </row>
    <row r="1118">
      <c r="A1118" s="12" t="s">
        <v>3180</v>
      </c>
      <c r="B1118" s="7" t="s">
        <v>3181</v>
      </c>
      <c r="C1118" s="7" t="s">
        <v>3182</v>
      </c>
      <c r="D1118" s="8">
        <v>290300.0</v>
      </c>
      <c r="E1118" s="9">
        <v>2.0</v>
      </c>
      <c r="F1118" s="10" t="str">
        <f>IFERROR(__xludf.DUMMYFUNCTION("LOWER(REGEXREPLACE(B1118&amp;"" ""&amp;C1118,""[^а-яa-z0-9 ]"","" ""))")," одставка vpn7 5  азмеры  1200x574x550 мм")</f>
        <v> одставка vpn7 5  азмеры  1200x574x550 мм</v>
      </c>
      <c r="G1118" s="10" t="str">
        <f>IFERROR(__xludf.DUMMYFUNCTION("TEXTJOIN(""|"",TRUE,UNIQUE(FILTER(SPLIT(F1118,"" ""),LEN(SPLIT(F1118,"" ""))&gt;2)))"),"одставка|vpn7|азмеры|1200x574x550")</f>
        <v>одставка|vpn7|азмеры|1200x574x550</v>
      </c>
      <c r="I1118" s="6"/>
      <c r="J1118" s="6"/>
    </row>
    <row r="1119">
      <c r="A1119" s="12" t="s">
        <v>3183</v>
      </c>
      <c r="B1119" s="7" t="s">
        <v>3184</v>
      </c>
      <c r="C1119" s="7" t="s">
        <v>3185</v>
      </c>
      <c r="D1119" s="8">
        <v>156800.0</v>
      </c>
      <c r="E1119" s="9">
        <v>3.0</v>
      </c>
      <c r="F1119" s="10" t="str">
        <f>IFERROR(__xludf.DUMMYFUNCTION("LOWER(REGEXREPLACE(B1119&amp;"" ""&amp;C1119,""[^а-яa-z0-9 ]"","" ""))")," одтоварник ce st50120  ержавеющая сталь 430    перфорированной полкой   араметры  1200x500x300 mm")</f>
        <v> одтоварник ce st50120  ержавеющая сталь 430    перфорированной полкой   араметры  1200x500x300 mm</v>
      </c>
      <c r="G1119" s="10" t="str">
        <f>IFERROR(__xludf.DUMMYFUNCTION("TEXTJOIN(""|"",TRUE,UNIQUE(FILTER(SPLIT(F1119,"" ""),LEN(SPLIT(F1119,"" ""))&gt;2)))"),"одтоварник|st50120|ержавеющая|сталь|430|перфорированной|полкой|араметры|1200x500x300")</f>
        <v>одтоварник|st50120|ержавеющая|сталь|430|перфорированной|полкой|араметры|1200x500x300</v>
      </c>
      <c r="I1119" s="6"/>
      <c r="J1119" s="6"/>
    </row>
    <row r="1120">
      <c r="A1120" s="12" t="s">
        <v>3186</v>
      </c>
      <c r="B1120" s="7" t="s">
        <v>3187</v>
      </c>
      <c r="C1120" s="7" t="s">
        <v>3188</v>
      </c>
      <c r="D1120" s="8">
        <v>388200.0</v>
      </c>
      <c r="E1120" s="9">
        <v>1.0</v>
      </c>
      <c r="F1120" s="10" t="str">
        <f>IFERROR(__xludf.DUMMYFUNCTION("LOWER(REGEXREPLACE(B1120&amp;"" ""&amp;C1120,""[^а-яa-z0-9 ]"","" ""))")," олка для вытяжки ce dofr320x40  ержавеющая сталь 430   араметры  3200x400x500 мм")</f>
        <v> олка для вытяжки ce dofr320x40  ержавеющая сталь 430   араметры  3200x400x500 мм</v>
      </c>
      <c r="G1120" s="10" t="str">
        <f>IFERROR(__xludf.DUMMYFUNCTION("TEXTJOIN(""|"",TRUE,UNIQUE(FILTER(SPLIT(F1120,"" ""),LEN(SPLIT(F1120,"" ""))&gt;2)))"),"олка|для|вытяжки|dofr320x40|ержавеющая|сталь|430|араметры|3200x400x500")</f>
        <v>олка|для|вытяжки|dofr320x40|ержавеющая|сталь|430|араметры|3200x400x500</v>
      </c>
      <c r="I1120" s="6"/>
      <c r="J1120" s="6"/>
    </row>
    <row r="1121">
      <c r="A1121" s="12" t="s">
        <v>3189</v>
      </c>
      <c r="B1121" s="7" t="s">
        <v>3190</v>
      </c>
      <c r="C1121" s="7" t="s">
        <v>3191</v>
      </c>
      <c r="D1121" s="8">
        <v>252000.0</v>
      </c>
      <c r="E1121" s="9">
        <v>2.0</v>
      </c>
      <c r="F1121" s="10" t="str">
        <f>IFERROR(__xludf.DUMMYFUNCTION("LOWER(REGEXREPLACE(B1121&amp;"" ""&amp;C1121,""[^а-яa-z0-9 ]"","" ""))")," олка для книг  олка предназначена для хранения детской и методической литературы   азмеры   ирина 540 мм  лубина360 мм  ысота 460 мм")</f>
        <v> олка для книг  олка предназначена для хранения детской и методической литературы   азмеры   ирина 540 мм  лубина360 мм  ысота 460 мм</v>
      </c>
      <c r="G1121" s="10" t="str">
        <f>IFERROR(__xludf.DUMMYFUNCTION("TEXTJOIN(""|"",TRUE,UNIQUE(FILTER(SPLIT(F1121,"" ""),LEN(SPLIT(F1121,"" ""))&gt;2)))"),"олка|для|книг|олка|предназначена|для|хранения|детской|методической|литературы|азмеры|ирина|540|лубина360|ысота|460")</f>
        <v>олка|для|книг|олка|предназначена|для|хранения|детской|методической|литературы|азмеры|ирина|540|лубина360|ысота|460</v>
      </c>
      <c r="I1121" s="6"/>
      <c r="J1121" s="6"/>
    </row>
    <row r="1122">
      <c r="A1122" s="12" t="s">
        <v>3192</v>
      </c>
      <c r="B1122" s="7" t="s">
        <v>3193</v>
      </c>
      <c r="C1122" s="7" t="s">
        <v>3194</v>
      </c>
      <c r="D1122" s="8">
        <v>126000.0</v>
      </c>
      <c r="E1122" s="9">
        <v>1.0</v>
      </c>
      <c r="F1122" s="10" t="str">
        <f>IFERROR(__xludf.DUMMYFUNCTION("LOWER(REGEXREPLACE(B1122&amp;"" ""&amp;C1122,""[^а-яa-z0-9 ]"","" ""))")," олка книжная настенная  астенная книжная полка   азмеры   ирина 530 мм   лубина120 мм   ысота 800 мм")</f>
        <v> олка книжная настенная  астенная книжная полка   азмеры   ирина 530 мм   лубина120 мм   ысота 800 мм</v>
      </c>
      <c r="G1122" s="10" t="str">
        <f>IFERROR(__xludf.DUMMYFUNCTION("TEXTJOIN(""|"",TRUE,UNIQUE(FILTER(SPLIT(F1122,"" ""),LEN(SPLIT(F1122,"" ""))&gt;2)))"),"олка|книжная|настенная|астенная|книжная|полка|азмеры|ирина|530|лубина120|ысота|800")</f>
        <v>олка|книжная|настенная|астенная|книжная|полка|азмеры|ирина|530|лубина120|ысота|800</v>
      </c>
      <c r="I1122" s="6"/>
      <c r="J1122" s="6"/>
    </row>
    <row r="1123">
      <c r="A1123" s="12" t="s">
        <v>3195</v>
      </c>
      <c r="B1123" s="7" t="s">
        <v>3196</v>
      </c>
      <c r="C1123" s="7" t="s">
        <v>3197</v>
      </c>
      <c r="D1123" s="8">
        <v>72300.0</v>
      </c>
      <c r="E1123" s="9">
        <v>1.0</v>
      </c>
      <c r="F1123" s="10" t="str">
        <f>IFERROR(__xludf.DUMMYFUNCTION("LOWER(REGEXREPLACE(B1123&amp;"" ""&amp;C1123,""[^а-яa-z0-9 ]"","" ""))")," олка настенная ce dr140x30  ержавеющая сталь 430   динарная   араметры  1400x300x40 мм")</f>
        <v> олка настенная ce dr140x30  ержавеющая сталь 430   динарная   араметры  1400x300x40 мм</v>
      </c>
      <c r="G1123" s="10" t="str">
        <f>IFERROR(__xludf.DUMMYFUNCTION("TEXTJOIN(""|"",TRUE,UNIQUE(FILTER(SPLIT(F1123,"" ""),LEN(SPLIT(F1123,"" ""))&gt;2)))"),"олка|настенная|dr140x30|ержавеющая|сталь|430|динарная|араметры|1400x300x40")</f>
        <v>олка|настенная|dr140x30|ержавеющая|сталь|430|динарная|араметры|1400x300x40</v>
      </c>
      <c r="I1123" s="6"/>
      <c r="J1123" s="6"/>
    </row>
    <row r="1124">
      <c r="A1124" s="12" t="s">
        <v>3198</v>
      </c>
      <c r="B1124" s="7" t="s">
        <v>3199</v>
      </c>
      <c r="C1124" s="7" t="s">
        <v>3200</v>
      </c>
      <c r="D1124" s="8">
        <v>74700.0</v>
      </c>
      <c r="E1124" s="9">
        <v>3.0</v>
      </c>
      <c r="F1124" s="10" t="str">
        <f>IFERROR(__xludf.DUMMYFUNCTION("LOWER(REGEXREPLACE(B1124&amp;"" ""&amp;C1124,""[^а-яa-z0-9 ]"","" ""))")," олка настенная ce dr150x30  ержавеющая сталь 430   азмеры 1500х300х40 мм")</f>
        <v> олка настенная ce dr150x30  ержавеющая сталь 430   азмеры 1500х300х40 мм</v>
      </c>
      <c r="G1124" s="10" t="str">
        <f>IFERROR(__xludf.DUMMYFUNCTION("TEXTJOIN(""|"",TRUE,UNIQUE(FILTER(SPLIT(F1124,"" ""),LEN(SPLIT(F1124,"" ""))&gt;2)))"),"олка|настенная|dr150x30|ержавеющая|сталь|430|азмеры|1500х300х40")</f>
        <v>олка|настенная|dr150x30|ержавеющая|сталь|430|азмеры|1500х300х40</v>
      </c>
      <c r="I1124" s="6"/>
      <c r="J1124" s="6"/>
    </row>
    <row r="1125">
      <c r="A1125" s="12" t="s">
        <v>3201</v>
      </c>
      <c r="B1125" s="7" t="s">
        <v>3202</v>
      </c>
      <c r="C1125" s="7" t="s">
        <v>3203</v>
      </c>
      <c r="D1125" s="8">
        <v>83300.0</v>
      </c>
      <c r="E1125" s="9">
        <v>3.0</v>
      </c>
      <c r="F1125" s="10" t="str">
        <f>IFERROR(__xludf.DUMMYFUNCTION("LOWER(REGEXREPLACE(B1125&amp;"" ""&amp;C1125,""[^а-яa-z0-9 ]"","" ""))")," олка настенная ce dr180x30  ержавеющая сталь 430   динарная   араметры  1800x300x40 мм ")</f>
        <v> олка настенная ce dr180x30  ержавеющая сталь 430   динарная   араметры  1800x300x40 мм </v>
      </c>
      <c r="G1125" s="10" t="str">
        <f>IFERROR(__xludf.DUMMYFUNCTION("TEXTJOIN(""|"",TRUE,UNIQUE(FILTER(SPLIT(F1125,"" ""),LEN(SPLIT(F1125,"" ""))&gt;2)))"),"олка|настенная|dr180x30|ержавеющая|сталь|430|динарная|араметры|1800x300x40")</f>
        <v>олка|настенная|dr180x30|ержавеющая|сталь|430|динарная|араметры|1800x300x40</v>
      </c>
      <c r="I1125" s="6"/>
      <c r="J1125" s="6"/>
    </row>
    <row r="1126">
      <c r="A1126" s="12" t="s">
        <v>3204</v>
      </c>
      <c r="B1126" s="7" t="s">
        <v>3205</v>
      </c>
      <c r="C1126" s="7" t="s">
        <v>3206</v>
      </c>
      <c r="D1126" s="8">
        <v>73500.0</v>
      </c>
      <c r="E1126" s="9">
        <v>5.0</v>
      </c>
      <c r="F1126" s="10" t="str">
        <f>IFERROR(__xludf.DUMMYFUNCTION("LOWER(REGEXREPLACE(B1126&amp;"" ""&amp;C1126,""[^а-яa-z0-9 ]"","" ""))"),"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не"&amp;"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ис"&amp;"тиранию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индивид"&amp;"уальной работы и релаксации ")</f>
        <v>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индивидуальной работы и релаксации </v>
      </c>
      <c r="G1126" s="10" t="str">
        <f>IFERROR(__xludf.DUMMYFUNCTION("TEXTJOIN(""|"",TRUE,UNIQUE(FILTER(SPLIT(F1126,"" ""),LEN(SPLIT(F1126,"" ""))&gt;2)))"),"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amp;"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amp;"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f>
        <v>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v>
      </c>
      <c r="I1126" s="6"/>
      <c r="J1126" s="6"/>
    </row>
    <row r="1127">
      <c r="A1127" s="12" t="s">
        <v>3207</v>
      </c>
      <c r="B1127" s="7" t="s">
        <v>3208</v>
      </c>
      <c r="C1127" s="7" t="s">
        <v>3209</v>
      </c>
      <c r="D1127" s="8">
        <v>84000.0</v>
      </c>
      <c r="E1127" s="9">
        <v>2.0</v>
      </c>
      <c r="F1127" s="10" t="str">
        <f>IFERROR(__xludf.DUMMYFUNCTION("LOWER(REGEXREPLACE(B1127&amp;"" ""&amp;C1127,""[^а-яa-z0-9 ]"","" ""))"),"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ткань"&amp;"  ксфорд  чехол съ мный   вет   ж лтый ")</f>
        <v>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  ксфорд  чехол съ мный   вет   ж лтый </v>
      </c>
      <c r="G1127" s="10" t="str">
        <f>IFERROR(__xludf.DUMMYFUNCTION("TEXTJOIN(""|"",TRUE,UNIQUE(FILTER(SPLIT(F1127,"" ""),LEN(SPLIT(F1127,"" ""))&gt;2)))"),"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f>
        <v>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v>
      </c>
      <c r="I1127" s="6"/>
      <c r="J1127" s="6"/>
    </row>
    <row r="1128">
      <c r="A1128" s="12" t="s">
        <v>3210</v>
      </c>
      <c r="B1128" s="7" t="s">
        <v>3211</v>
      </c>
      <c r="C1128" s="7" t="s">
        <v>3212</v>
      </c>
      <c r="D1128" s="8">
        <v>224100.0</v>
      </c>
      <c r="E1128" s="9">
        <v>1.0</v>
      </c>
      <c r="F1128" s="10" t="str">
        <f>IFERROR(__xludf.DUMMYFUNCTION("LOWER(REGEXREPLACE(B1128&amp;"" ""&amp;C1128,""[^а-яa-z0-9 ]"","" ""))")," ервисная полка двухуровневая ce sr2180x40  ержавеющая сталь 430  2 х уровневая  азмеры  1800x400x700 мм")</f>
        <v> ервисная полка двухуровневая ce sr2180x40  ержавеющая сталь 430  2 х уровневая  азмеры  1800x400x700 мм</v>
      </c>
      <c r="G1128" s="10" t="str">
        <f>IFERROR(__xludf.DUMMYFUNCTION("TEXTJOIN(""|"",TRUE,UNIQUE(FILTER(SPLIT(F1128,"" ""),LEN(SPLIT(F1128,"" ""))&gt;2)))"),"ервисная|полка|двухуровневая|sr2180x40|ержавеющая|сталь|430|уровневая|азмеры|1800x400x700")</f>
        <v>ервисная|полка|двухуровневая|sr2180x40|ержавеющая|сталь|430|уровневая|азмеры|1800x400x700</v>
      </c>
      <c r="I1128" s="6"/>
      <c r="J1128" s="6"/>
    </row>
    <row r="1129">
      <c r="A1129" s="12" t="s">
        <v>3213</v>
      </c>
      <c r="B1129" s="7" t="s">
        <v>3214</v>
      </c>
      <c r="C1129" s="7" t="s">
        <v>3215</v>
      </c>
      <c r="D1129" s="8">
        <v>168000.0</v>
      </c>
      <c r="E1129" s="9">
        <v>4.0</v>
      </c>
      <c r="F1129" s="10" t="str">
        <f>IFERROR(__xludf.DUMMYFUNCTION("LOWER(REGEXREPLACE(B1129&amp;"" ""&amp;C1129,""[^а-яa-z0-9 ]"","" ""))")," теллаж  открытый   теллаж   азмеры 900 340 700 мм")</f>
        <v> теллаж  открытый   теллаж   азмеры 900 340 700 мм</v>
      </c>
      <c r="G1129" s="10" t="str">
        <f>IFERROR(__xludf.DUMMYFUNCTION("TEXTJOIN(""|"",TRUE,UNIQUE(FILTER(SPLIT(F1129,"" ""),LEN(SPLIT(F1129,"" ""))&gt;2)))"),"теллаж|открытый|теллаж|азмеры|900|340|700")</f>
        <v>теллаж|открытый|теллаж|азмеры|900|340|700</v>
      </c>
      <c r="I1129" s="6"/>
      <c r="J1129" s="6"/>
    </row>
    <row r="1130">
      <c r="A1130" s="12" t="s">
        <v>3216</v>
      </c>
      <c r="B1130" s="7" t="s">
        <v>3217</v>
      </c>
      <c r="C1130" s="7" t="s">
        <v>3218</v>
      </c>
      <c r="D1130" s="8">
        <v>483000.0</v>
      </c>
      <c r="E1130" s="9">
        <v>2.0</v>
      </c>
      <c r="F1130" s="10" t="str">
        <f>IFERROR(__xludf.DUMMYFUNCTION("LOWER(REGEXREPLACE(B1130&amp;"" ""&amp;C1130,""[^а-яa-z0-9 ]"","" ""))")," теллаж детский игровой с выкатными ящиками  акрытый стеллаж   сть 4 секции с закрывающимися дверцами и 2 выдвижных ящика   азмер  730х434х1148 мм    х х   ")</f>
        <v> теллаж детский игровой с выкатными ящиками  акрытый стеллаж   сть 4 секции с закрывающимися дверцами и 2 выдвижных ящика   азмер  730х434х1148 мм    х х   </v>
      </c>
      <c r="G1130" s="10" t="str">
        <f>IFERROR(__xludf.DUMMYFUNCTION("TEXTJOIN(""|"",TRUE,UNIQUE(FILTER(SPLIT(F1130,"" ""),LEN(SPLIT(F1130,"" ""))&gt;2)))"),"теллаж|детский|игровой|выкатными|ящиками|акрытый|стеллаж|сть|секции|закрывающимися|дверцами|выдвижных|ящика|азмер|730х434х1148")</f>
        <v>теллаж|детский|игровой|выкатными|ящиками|акрытый|стеллаж|сть|секции|закрывающимися|дверцами|выдвижных|ящика|азмер|730х434х1148</v>
      </c>
      <c r="I1130" s="6"/>
      <c r="J1130" s="6"/>
    </row>
    <row r="1131">
      <c r="A1131" s="12" t="s">
        <v>3219</v>
      </c>
      <c r="B1131" s="7" t="s">
        <v>3220</v>
      </c>
      <c r="C1131" s="7" t="s">
        <v>3221</v>
      </c>
      <c r="D1131" s="8">
        <v>163800.0</v>
      </c>
      <c r="E1131" s="9">
        <v>1.0</v>
      </c>
      <c r="F1131" s="10" t="str">
        <f>IFERROR(__xludf.DUMMYFUNCTION("LOWER(REGEXREPLACE(B1131&amp;"" ""&amp;C1131,""[^а-яa-z0-9 ]"","" ""))")," теллаж для дидактических материалов  азмеры   ирина 1000 мм  глубина 300 мм  высота 1280 мм")</f>
        <v> теллаж для дидактических материалов  азмеры   ирина 1000 мм  глубина 300 мм  высота 1280 мм</v>
      </c>
      <c r="G1131" s="10" t="str">
        <f>IFERROR(__xludf.DUMMYFUNCTION("TEXTJOIN(""|"",TRUE,UNIQUE(FILTER(SPLIT(F1131,"" ""),LEN(SPLIT(F1131,"" ""))&gt;2)))"),"теллаж|для|дидактических|материалов|азмеры|ирина|1000|глубина|300|высота|1280")</f>
        <v>теллаж|для|дидактических|материалов|азмеры|ирина|1000|глубина|300|высота|1280</v>
      </c>
      <c r="I1131" s="6"/>
      <c r="J1131" s="6"/>
    </row>
    <row r="1132">
      <c r="A1132" s="12" t="s">
        <v>3222</v>
      </c>
      <c r="B1132" s="7" t="s">
        <v>3223</v>
      </c>
      <c r="C1132" s="7" t="s">
        <v>3224</v>
      </c>
      <c r="D1132" s="8">
        <v>73500.0</v>
      </c>
      <c r="E1132" s="9">
        <v>8.0</v>
      </c>
      <c r="F1132" s="10" t="str">
        <f>IFERROR(__xludf.DUMMYFUNCTION("LOWER(REGEXREPLACE(B1132&amp;"" ""&amp;C1132,""[^а-яa-z0-9 ]"","" ""))"),"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f>
        <v>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v>
      </c>
      <c r="G1132" s="10" t="str">
        <f>IFERROR(__xludf.DUMMYFUNCTION("TEXTJOIN(""|"",TRUE,UNIQUE(FILTER(SPLIT(F1132,"" ""),LEN(SPLIT(F1132,"" ""))&gt;2)))"),"теллаж|металлический|еталлический|стеллаж|предназначен|для|хранения|инвентаря|материалов|тличается|прочностью|устойчивостью|долговечностью|азмеры|2500х1000х600")</f>
        <v>теллаж|металлический|еталлический|стеллаж|предназначен|для|хранения|инвентаря|материалов|тличается|прочностью|устойчивостью|долговечностью|азмеры|2500х1000х600</v>
      </c>
      <c r="I1132" s="6"/>
      <c r="J1132" s="6"/>
    </row>
    <row r="1133">
      <c r="A1133" s="12" t="s">
        <v>3225</v>
      </c>
      <c r="B1133" s="7" t="s">
        <v>3226</v>
      </c>
      <c r="C1133" s="7" t="s">
        <v>3227</v>
      </c>
      <c r="D1133" s="8">
        <v>328200.0</v>
      </c>
      <c r="E1133" s="9">
        <v>1.0</v>
      </c>
      <c r="F1133" s="10" t="str">
        <f>IFERROR(__xludf.DUMMYFUNCTION("LOWER(REGEXREPLACE(B1133&amp;"" ""&amp;C1133,""[^а-яa-z0-9 ]"","" ""))")," теллаж ce ir120x40x180  ержавеющая сталь 430    4 сплошными полками   азмеры  1200x400x1800 мм")</f>
        <v> теллаж ce ir120x40x180  ержавеющая сталь 430    4 сплошными полками   азмеры  1200x400x1800 мм</v>
      </c>
      <c r="G1133" s="10" t="str">
        <f>IFERROR(__xludf.DUMMYFUNCTION("TEXTJOIN(""|"",TRUE,UNIQUE(FILTER(SPLIT(F1133,"" ""),LEN(SPLIT(F1133,"" ""))&gt;2)))"),"теллаж|ir120x40x180|ержавеющая|сталь|430|сплошными|полками|азмеры|1200x400x1800")</f>
        <v>теллаж|ir120x40x180|ержавеющая|сталь|430|сплошными|полками|азмеры|1200x400x1800</v>
      </c>
      <c r="I1133" s="6"/>
      <c r="J1133" s="6"/>
    </row>
    <row r="1134">
      <c r="A1134" s="12" t="s">
        <v>3228</v>
      </c>
      <c r="B1134" s="7" t="s">
        <v>3229</v>
      </c>
      <c r="C1134" s="7" t="s">
        <v>3230</v>
      </c>
      <c r="D1134" s="8">
        <v>354000.0</v>
      </c>
      <c r="E1134" s="9">
        <v>1.0</v>
      </c>
      <c r="F1134" s="10" t="str">
        <f>IFERROR(__xludf.DUMMYFUNCTION("LOWER(REGEXREPLACE(B1134&amp;"" ""&amp;C1134,""[^а-яa-z0-9 ]"","" ""))")," теллаж ce ir120x50x180  ержавеющая сталь 430    4 сплошными полками   азмеры  1200x500x1800 мм")</f>
        <v> теллаж ce ir120x50x180  ержавеющая сталь 430    4 сплошными полками   азмеры  1200x500x1800 мм</v>
      </c>
      <c r="G1134" s="10" t="str">
        <f>IFERROR(__xludf.DUMMYFUNCTION("TEXTJOIN(""|"",TRUE,UNIQUE(FILTER(SPLIT(F1134,"" ""),LEN(SPLIT(F1134,"" ""))&gt;2)))"),"теллаж|ir120x50x180|ержавеющая|сталь|430|сплошными|полками|азмеры|1200x500x1800")</f>
        <v>теллаж|ir120x50x180|ержавеющая|сталь|430|сплошными|полками|азмеры|1200x500x1800</v>
      </c>
      <c r="I1134" s="6"/>
      <c r="J1134" s="6"/>
    </row>
    <row r="1135">
      <c r="A1135" s="12" t="s">
        <v>3231</v>
      </c>
      <c r="B1135" s="7" t="s">
        <v>3232</v>
      </c>
      <c r="C1135" s="7" t="s">
        <v>3233</v>
      </c>
      <c r="D1135" s="8">
        <v>344200.0</v>
      </c>
      <c r="E1135" s="9">
        <v>1.0</v>
      </c>
      <c r="F1135" s="10" t="str">
        <f>IFERROR(__xludf.DUMMYFUNCTION("LOWER(REGEXREPLACE(B1135&amp;"" ""&amp;C1135,""[^а-яa-z0-9 ]"","" ""))")," теллаж ce ir130x40x180  ержавеющая сталь 430    4 сплошными полками   азмеры  1300x400x1800 мм")</f>
        <v> теллаж ce ir130x40x180  ержавеющая сталь 430    4 сплошными полками   азмеры  1300x400x1800 мм</v>
      </c>
      <c r="G1135" s="10" t="str">
        <f>IFERROR(__xludf.DUMMYFUNCTION("TEXTJOIN(""|"",TRUE,UNIQUE(FILTER(SPLIT(F1135,"" ""),LEN(SPLIT(F1135,"" ""))&gt;2)))"),"теллаж|ir130x40x180|ержавеющая|сталь|430|сплошными|полками|азмеры|1300x400x1800")</f>
        <v>теллаж|ir130x40x180|ержавеющая|сталь|430|сплошными|полками|азмеры|1300x400x1800</v>
      </c>
      <c r="I1135" s="6"/>
      <c r="J1135" s="6"/>
    </row>
    <row r="1136">
      <c r="A1136" s="12" t="s">
        <v>3234</v>
      </c>
      <c r="B1136" s="7" t="s">
        <v>3235</v>
      </c>
      <c r="C1136" s="7" t="s">
        <v>3236</v>
      </c>
      <c r="D1136" s="8">
        <v>380900.0</v>
      </c>
      <c r="E1136" s="9">
        <v>11.0</v>
      </c>
      <c r="F1136" s="10" t="str">
        <f>IFERROR(__xludf.DUMMYFUNCTION("LOWER(REGEXREPLACE(B1136&amp;"" ""&amp;C1136,""[^а-яa-z0-9 ]"","" ""))")," теллаж ce ir140x50x180  ержавеющая сталь 430    4 сплошными полками   азмеры  1400x500x1800 мм")</f>
        <v> теллаж ce ir140x50x180  ержавеющая сталь 430    4 сплошными полками   азмеры  1400x500x1800 мм</v>
      </c>
      <c r="G1136" s="10" t="str">
        <f>IFERROR(__xludf.DUMMYFUNCTION("TEXTJOIN(""|"",TRUE,UNIQUE(FILTER(SPLIT(F1136,"" ""),LEN(SPLIT(F1136,"" ""))&gt;2)))"),"теллаж|ir140x50x180|ержавеющая|сталь|430|сплошными|полками|азмеры|1400x500x1800")</f>
        <v>теллаж|ir140x50x180|ержавеющая|сталь|430|сплошными|полками|азмеры|1400x500x1800</v>
      </c>
      <c r="I1136" s="6"/>
      <c r="J1136" s="6"/>
    </row>
    <row r="1137">
      <c r="A1137" s="12" t="s">
        <v>3237</v>
      </c>
      <c r="B1137" s="7" t="s">
        <v>3238</v>
      </c>
      <c r="C1137" s="7" t="s">
        <v>3239</v>
      </c>
      <c r="D1137" s="8">
        <v>416400.0</v>
      </c>
      <c r="E1137" s="9">
        <v>2.0</v>
      </c>
      <c r="F1137" s="10" t="str">
        <f>IFERROR(__xludf.DUMMYFUNCTION("LOWER(REGEXREPLACE(B1137&amp;"" ""&amp;C1137,""[^а-яa-z0-9 ]"","" ""))")," теллаж ce ir170x50x180  ержавеющая сталь 430    4 сплошными полками   азмеры  1700x500x1800 мм")</f>
        <v> теллаж ce ir170x50x180  ержавеющая сталь 430    4 сплошными полками   азмеры  1700x500x1800 мм</v>
      </c>
      <c r="G1137" s="10" t="str">
        <f>IFERROR(__xludf.DUMMYFUNCTION("TEXTJOIN(""|"",TRUE,UNIQUE(FILTER(SPLIT(F1137,"" ""),LEN(SPLIT(F1137,"" ""))&gt;2)))"),"теллаж|ir170x50x180|ержавеющая|сталь|430|сплошными|полками|азмеры|1700x500x1800")</f>
        <v>теллаж|ir170x50x180|ержавеющая|сталь|430|сплошными|полками|азмеры|1700x500x1800</v>
      </c>
      <c r="I1137" s="6"/>
      <c r="J1137" s="6"/>
    </row>
    <row r="1138">
      <c r="A1138" s="12" t="s">
        <v>3240</v>
      </c>
      <c r="B1138" s="7" t="s">
        <v>3241</v>
      </c>
      <c r="C1138" s="7" t="s">
        <v>3242</v>
      </c>
      <c r="D1138" s="8">
        <v>428700.0</v>
      </c>
      <c r="E1138" s="9">
        <v>4.0</v>
      </c>
      <c r="F1138" s="10" t="str">
        <f>IFERROR(__xludf.DUMMYFUNCTION("LOWER(REGEXREPLACE(B1138&amp;"" ""&amp;C1138,""[^а-яa-z0-9 ]"","" ""))")," теллаж ce ir180x50x180  ержавеющая сталь 430    4 сплошными полками   азмеры  1800x500x1800 мм")</f>
        <v> теллаж ce ir180x50x180  ержавеющая сталь 430    4 сплошными полками   азмеры  1800x500x1800 мм</v>
      </c>
      <c r="G1138" s="10" t="str">
        <f>IFERROR(__xludf.DUMMYFUNCTION("TEXTJOIN(""|"",TRUE,UNIQUE(FILTER(SPLIT(F1138,"" ""),LEN(SPLIT(F1138,"" ""))&gt;2)))"),"теллаж|ir180x50x180|ержавеющая|сталь|430|сплошными|полками|азмеры|1800x500x1800")</f>
        <v>теллаж|ir180x50x180|ержавеющая|сталь|430|сплошными|полками|азмеры|1800x500x1800</v>
      </c>
      <c r="I1138" s="6"/>
      <c r="J1138" s="6"/>
    </row>
    <row r="1139">
      <c r="A1139" s="12" t="s">
        <v>3243</v>
      </c>
      <c r="B1139" s="7" t="s">
        <v>3244</v>
      </c>
      <c r="C1139" s="7" t="s">
        <v>3245</v>
      </c>
      <c r="D1139" s="8">
        <v>115500.0</v>
      </c>
      <c r="E1139" s="9">
        <v>5.0</v>
      </c>
      <c r="F1139" s="10" t="str">
        <f>IFERROR(__xludf.DUMMYFUNCTION("LOWER(REGEXREPLACE(B1139&amp;"" ""&amp;C1139,""[^а-яa-z0-9 ]"","" ""))"),"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f>
        <v>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v>
      </c>
      <c r="G1139" s="10" t="str">
        <f>IFERROR(__xludf.DUMMYFUNCTION("TEXTJOIN(""|"",TRUE,UNIQUE(FILTER(SPLIT(F1139,"" ""),LEN(SPLIT(F1139,"" ""))&gt;2)))"),"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f>
        <v>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v>
      </c>
      <c r="I1139" s="6"/>
      <c r="J1139" s="6"/>
    </row>
    <row r="1140">
      <c r="A1140" s="12" t="s">
        <v>3246</v>
      </c>
      <c r="B1140" s="7" t="s">
        <v>3247</v>
      </c>
      <c r="C1140" s="7" t="s">
        <v>3248</v>
      </c>
      <c r="D1140" s="8">
        <v>21000.0</v>
      </c>
      <c r="E1140" s="9">
        <v>1.0</v>
      </c>
      <c r="F1140" s="10" t="str">
        <f>IFERROR(__xludf.DUMMYFUNCTION("LOWER(REGEXREPLACE(B1140&amp;"" ""&amp;C1140,""[^а-яa-z0-9 ]"","" ""))")," тенд для поделок  тенд предназначен для демонстрации детских поделок и творческих работ   азмер 1550 740 мм  используется в групповых помещениях и коридорах     ")</f>
        <v> тенд для поделок  тенд предназначен для демонстрации детских поделок и творческих работ   азмер 1550 740 мм  используется в групповых помещениях и коридорах     </v>
      </c>
      <c r="G1140" s="10" t="str">
        <f>IFERROR(__xludf.DUMMYFUNCTION("TEXTJOIN(""|"",TRUE,UNIQUE(FILTER(SPLIT(F1140,"" ""),LEN(SPLIT(F1140,"" ""))&gt;2)))"),"тенд|для|поделок|тенд|предназначен|для|демонстрации|детских|поделок|творческих|работ|азмер|1550|740|используется|групповых|помещениях|коридорах")</f>
        <v>тенд|для|поделок|тенд|предназначен|для|демонстрации|детских|поделок|творческих|работ|азмер|1550|740|используется|групповых|помещениях|коридорах</v>
      </c>
      <c r="I1140" s="6"/>
      <c r="J1140" s="6"/>
    </row>
    <row r="1141">
      <c r="A1141" s="12" t="s">
        <v>3249</v>
      </c>
      <c r="B1141" s="7" t="s">
        <v>3250</v>
      </c>
      <c r="C1141" s="7" t="s">
        <v>3251</v>
      </c>
      <c r="D1141" s="8">
        <v>49100.0</v>
      </c>
      <c r="E1141" s="9">
        <v>10.0</v>
      </c>
      <c r="F1141" s="10" t="str">
        <f>IFERROR(__xludf.DUMMYFUNCTION("LOWER(REGEXREPLACE(B1141&amp;"" ""&amp;C1141,""[^а-яa-z0-9 ]"","" ""))"),"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f>
        <v>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v>
      </c>
      <c r="G1141" s="10" t="str">
        <f>IFERROR(__xludf.DUMMYFUNCTION("TEXTJOIN(""|"",TRUE,UNIQUE(FILTER(SPLIT(F1141,"" ""),LEN(SPLIT(F1141,"" ""))&gt;2)))"),"тойка|для|цветов|одставка|для|размещения|комнатных|растений|редназначена|для|организации|зел|ных|зон|помещении|устойчивая|безопасная|использовании")</f>
        <v>тойка|для|цветов|одставка|для|размещения|комнатных|растений|редназначена|для|организации|зел|ных|зон|помещении|устойчивая|безопасная|использовании</v>
      </c>
      <c r="I1141" s="6"/>
      <c r="J1141" s="6"/>
    </row>
    <row r="1142">
      <c r="A1142" s="12" t="s">
        <v>3252</v>
      </c>
      <c r="B1142" s="7" t="s">
        <v>3253</v>
      </c>
      <c r="C1142" s="7" t="s">
        <v>3254</v>
      </c>
      <c r="D1142" s="8">
        <v>283500.0</v>
      </c>
      <c r="E1142" s="9">
        <v>3.0</v>
      </c>
      <c r="F1142" s="10" t="str">
        <f>IFERROR(__xludf.DUMMYFUNCTION("LOWER(REGEXREPLACE(B1142&amp;"" ""&amp;C1142,""[^а-яa-z0-9 ]"","" ""))")," тол  ростой стол без полок  предназначен для раскладывания и размещения предметов  материалов и принадлежностей в образовательной среде  1200x750x750   х х   ")</f>
        <v> тол  ростой стол без полок  предназначен для раскладывания и размещения предметов  материалов и принадлежностей в образовательной среде  1200x750x750   х х   </v>
      </c>
      <c r="G1142" s="10" t="str">
        <f>IFERROR(__xludf.DUMMYFUNCTION("TEXTJOIN(""|"",TRUE,UNIQUE(FILTER(SPLIT(F1142,"" ""),LEN(SPLIT(F1142,"" ""))&gt;2)))"),"тол|ростой|стол|без|полок|предназначен|для|раскладывания|размещения|предметов|материалов|принадлежностей|образовательной|среде|1200x750x750")</f>
        <v>тол|ростой|стол|без|полок|предназначен|для|раскладывания|размещения|предметов|материалов|принадлежностей|образовательной|среде|1200x750x750</v>
      </c>
      <c r="I1142" s="6"/>
      <c r="J1142" s="6"/>
    </row>
    <row r="1143">
      <c r="A1143" s="12" t="s">
        <v>3255</v>
      </c>
      <c r="B1143" s="7" t="s">
        <v>3256</v>
      </c>
      <c r="C1143" s="7" t="s">
        <v>3257</v>
      </c>
      <c r="D1143" s="8">
        <v>262100.0</v>
      </c>
      <c r="E1143" s="9">
        <v>2.0</v>
      </c>
      <c r="F1143" s="10" t="str">
        <f>IFERROR(__xludf.DUMMYFUNCTION("LOWER(REGEXREPLACE(B1143&amp;"" ""&amp;C1143,""[^а-яa-z0-9 ]"","" ""))")," тол 1 полка ce tc1100x70  ержавеющая сталь 430    одной полкой и  бортиком   араметры  1000x700x850 мм")</f>
        <v> тол 1 полка ce tc1100x70  ержавеющая сталь 430    одной полкой и  бортиком   араметры  1000x700x850 мм</v>
      </c>
      <c r="G1143" s="10" t="str">
        <f>IFERROR(__xludf.DUMMYFUNCTION("TEXTJOIN(""|"",TRUE,UNIQUE(FILTER(SPLIT(F1143,"" ""),LEN(SPLIT(F1143,"" ""))&gt;2)))"),"тол|полка|tc1100x70|ержавеющая|сталь|430|одной|полкой|бортиком|араметры|1000x700x850")</f>
        <v>тол|полка|tc1100x70|ержавеющая|сталь|430|одной|полкой|бортиком|араметры|1000x700x850</v>
      </c>
      <c r="I1143" s="6"/>
      <c r="J1143" s="6"/>
    </row>
    <row r="1144">
      <c r="A1144" s="12" t="s">
        <v>3258</v>
      </c>
      <c r="B1144" s="7" t="s">
        <v>3259</v>
      </c>
      <c r="C1144" s="7" t="s">
        <v>3260</v>
      </c>
      <c r="D1144" s="8">
        <v>269400.0</v>
      </c>
      <c r="E1144" s="9">
        <v>1.0</v>
      </c>
      <c r="F1144" s="10" t="str">
        <f>IFERROR(__xludf.DUMMYFUNCTION("LOWER(REGEXREPLACE(B1144&amp;"" ""&amp;C1144,""[^а-яa-z0-9 ]"","" ""))")," тол 1 полка ce tc1110x70  ержавеющая сталь 430    одной полкой и бортиком   араметры  1100x700x850 мм")</f>
        <v> тол 1 полка ce tc1110x70  ержавеющая сталь 430    одной полкой и бортиком   араметры  1100x700x850 мм</v>
      </c>
      <c r="G1144" s="10" t="str">
        <f>IFERROR(__xludf.DUMMYFUNCTION("TEXTJOIN(""|"",TRUE,UNIQUE(FILTER(SPLIT(F1144,"" ""),LEN(SPLIT(F1144,"" ""))&gt;2)))"),"тол|полка|tc1110x70|ержавеющая|сталь|430|одной|полкой|бортиком|араметры|1100x700x850")</f>
        <v>тол|полка|tc1110x70|ержавеющая|сталь|430|одной|полкой|бортиком|араметры|1100x700x850</v>
      </c>
      <c r="I1144" s="6"/>
      <c r="J1144" s="6"/>
    </row>
    <row r="1145">
      <c r="A1145" s="12" t="s">
        <v>3261</v>
      </c>
      <c r="B1145" s="7" t="s">
        <v>3262</v>
      </c>
      <c r="C1145" s="7" t="s">
        <v>3263</v>
      </c>
      <c r="D1145" s="8">
        <v>378000.0</v>
      </c>
      <c r="E1145" s="9">
        <v>1.0</v>
      </c>
      <c r="F1145" s="10" t="str">
        <f>IFERROR(__xludf.DUMMYFUNCTION("LOWER(REGEXREPLACE(B1145&amp;"" ""&amp;C1145,""[^а-яa-z0-9 ]"","" ""))"),"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помещения"&amp;"х ")</f>
        <v>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помещениях </v>
      </c>
      <c r="G1145" s="10" t="str">
        <f>IFERROR(__xludf.DUMMYFUNCTION("TEXTJOIN(""|"",TRUE,UNIQUE(FILTER(SPLIT(F1145,"" ""),LEN(SPLIT(F1145,"" ""))&gt;2)))"),"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f>
        <v>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v>
      </c>
      <c r="I1145" s="6"/>
      <c r="J1145" s="6"/>
    </row>
    <row r="1146">
      <c r="A1146" s="12" t="s">
        <v>3264</v>
      </c>
      <c r="B1146" s="7" t="s">
        <v>3265</v>
      </c>
      <c r="C1146" s="7" t="s">
        <v>3266</v>
      </c>
      <c r="D1146" s="8">
        <v>276800.0</v>
      </c>
      <c r="E1146" s="9">
        <v>1.0</v>
      </c>
      <c r="F1146" s="10" t="str">
        <f>IFERROR(__xludf.DUMMYFUNCTION("LOWER(REGEXREPLACE(B1146&amp;"" ""&amp;C1146,""[^а-яa-z0-9 ]"","" ""))")," тол 1 полка ce tc1120x70  ержавеющая сталь      430    одной полкой и бортиком   араметры  1200x700x850 мм")</f>
        <v> тол 1 полка ce tc1120x70  ержавеющая сталь      430    одной полкой и бортиком   араметры  1200x700x850 мм</v>
      </c>
      <c r="G1146" s="10" t="str">
        <f>IFERROR(__xludf.DUMMYFUNCTION("TEXTJOIN(""|"",TRUE,UNIQUE(FILTER(SPLIT(F1146,"" ""),LEN(SPLIT(F1146,"" ""))&gt;2)))"),"тол|полка|tc1120x70|ержавеющая|сталь|430|одной|полкой|бортиком|араметры|1200x700x850")</f>
        <v>тол|полка|tc1120x70|ержавеющая|сталь|430|одной|полкой|бортиком|араметры|1200x700x850</v>
      </c>
      <c r="I1146" s="6"/>
      <c r="J1146" s="6"/>
    </row>
    <row r="1147">
      <c r="A1147" s="12" t="s">
        <v>3267</v>
      </c>
      <c r="B1147" s="7" t="s">
        <v>3268</v>
      </c>
      <c r="C1147" s="7" t="s">
        <v>3269</v>
      </c>
      <c r="D1147" s="8">
        <v>289000.0</v>
      </c>
      <c r="E1147" s="9">
        <v>1.0</v>
      </c>
      <c r="F1147" s="10" t="str">
        <f>IFERROR(__xludf.DUMMYFUNCTION("LOWER(REGEXREPLACE(B1147&amp;"" ""&amp;C1147,""[^а-яa-z0-9 ]"","" ""))")," тол 1 полка ce tc1130x70  ержавеющая сталь 430    одной полкой и бортиком   араметры  1300x700x850 мм")</f>
        <v> тол 1 полка ce tc1130x70  ержавеющая сталь 430    одной полкой и бортиком   араметры  1300x700x850 мм</v>
      </c>
      <c r="G1147" s="10" t="str">
        <f>IFERROR(__xludf.DUMMYFUNCTION("TEXTJOIN(""|"",TRUE,UNIQUE(FILTER(SPLIT(F1147,"" ""),LEN(SPLIT(F1147,"" ""))&gt;2)))"),"тол|полка|tc1130x70|ержавеющая|сталь|430|одной|полкой|бортиком|араметры|1300x700x850")</f>
        <v>тол|полка|tc1130x70|ержавеющая|сталь|430|одной|полкой|бортиком|араметры|1300x700x850</v>
      </c>
      <c r="I1147" s="6"/>
      <c r="J1147" s="6"/>
    </row>
    <row r="1148">
      <c r="A1148" s="12" t="s">
        <v>3270</v>
      </c>
      <c r="B1148" s="7" t="s">
        <v>3271</v>
      </c>
      <c r="C1148" s="7" t="s">
        <v>3272</v>
      </c>
      <c r="D1148" s="8">
        <v>297600.0</v>
      </c>
      <c r="E1148" s="9">
        <v>1.0</v>
      </c>
      <c r="F1148" s="10" t="str">
        <f>IFERROR(__xludf.DUMMYFUNCTION("LOWER(REGEXREPLACE(B1148&amp;"" ""&amp;C1148,""[^а-яa-z0-9 ]"","" ""))")," тол 1 полка ce tc1140x70  ержавеющая сталь      430    одной полкой и бортиком   араметры  1400x700x850 мм")</f>
        <v> тол 1 полка ce tc1140x70  ержавеющая сталь      430    одной полкой и бортиком   араметры  1400x700x850 мм</v>
      </c>
      <c r="G1148" s="10" t="str">
        <f>IFERROR(__xludf.DUMMYFUNCTION("TEXTJOIN(""|"",TRUE,UNIQUE(FILTER(SPLIT(F1148,"" ""),LEN(SPLIT(F1148,"" ""))&gt;2)))"),"тол|полка|tc1140x70|ержавеющая|сталь|430|одной|полкой|бортиком|араметры|1400x700x850")</f>
        <v>тол|полка|tc1140x70|ержавеющая|сталь|430|одной|полкой|бортиком|араметры|1400x700x850</v>
      </c>
      <c r="I1148" s="6"/>
      <c r="J1148" s="6"/>
    </row>
    <row r="1149">
      <c r="A1149" s="12" t="s">
        <v>3273</v>
      </c>
      <c r="B1149" s="7" t="s">
        <v>3274</v>
      </c>
      <c r="C1149" s="7" t="s">
        <v>3275</v>
      </c>
      <c r="D1149" s="8">
        <v>307400.0</v>
      </c>
      <c r="E1149" s="9">
        <v>1.0</v>
      </c>
      <c r="F1149" s="10" t="str">
        <f>IFERROR(__xludf.DUMMYFUNCTION("LOWER(REGEXREPLACE(B1149&amp;"" ""&amp;C1149,""[^а-яa-z0-9 ]"","" ""))")," тол 1 полка ce tc1150x70  ержавеющая сталь      430    одной полкой и бортиком   араметры  1500x700x850 мм")</f>
        <v> тол 1 полка ce tc1150x70  ержавеющая сталь      430    одной полкой и бортиком   араметры  1500x700x850 мм</v>
      </c>
      <c r="G1149" s="10" t="str">
        <f>IFERROR(__xludf.DUMMYFUNCTION("TEXTJOIN(""|"",TRUE,UNIQUE(FILTER(SPLIT(F1149,"" ""),LEN(SPLIT(F1149,"" ""))&gt;2)))"),"тол|полка|tc1150x70|ержавеющая|сталь|430|одной|полкой|бортиком|араметры|1500x700x850")</f>
        <v>тол|полка|tc1150x70|ержавеющая|сталь|430|одной|полкой|бортиком|араметры|1500x700x850</v>
      </c>
      <c r="I1149" s="6"/>
      <c r="J1149" s="6"/>
    </row>
    <row r="1150">
      <c r="A1150" s="12" t="s">
        <v>3276</v>
      </c>
      <c r="B1150" s="7" t="s">
        <v>3277</v>
      </c>
      <c r="C1150" s="7" t="s">
        <v>3278</v>
      </c>
      <c r="D1150" s="8">
        <v>338000.0</v>
      </c>
      <c r="E1150" s="9">
        <v>1.0</v>
      </c>
      <c r="F1150" s="10" t="str">
        <f>IFERROR(__xludf.DUMMYFUNCTION("LOWER(REGEXREPLACE(B1150&amp;"" ""&amp;C1150,""[^а-яa-z0-9 ]"","" ""))")," тол 1 полка ce tc1180x70  ержавеющая сталь      430    одной полкой и бортиком   араметры  1800x700x850 мм")</f>
        <v> тол 1 полка ce tc1180x70  ержавеющая сталь      430    одной полкой и бортиком   араметры  1800x700x850 мм</v>
      </c>
      <c r="G1150" s="10" t="str">
        <f>IFERROR(__xludf.DUMMYFUNCTION("TEXTJOIN(""|"",TRUE,UNIQUE(FILTER(SPLIT(F1150,"" ""),LEN(SPLIT(F1150,"" ""))&gt;2)))"),"тол|полка|tc1180x70|ержавеющая|сталь|430|одной|полкой|бортиком|араметры|1800x700x850")</f>
        <v>тол|полка|tc1180x70|ержавеющая|сталь|430|одной|полкой|бортиком|араметры|1800x700x850</v>
      </c>
      <c r="I1150" s="6"/>
      <c r="J1150" s="6"/>
    </row>
    <row r="1151">
      <c r="A1151" s="12" t="s">
        <v>3279</v>
      </c>
      <c r="B1151" s="7" t="s">
        <v>3280</v>
      </c>
      <c r="C1151" s="7" t="s">
        <v>3281</v>
      </c>
      <c r="D1151" s="8">
        <v>641800.0</v>
      </c>
      <c r="E1151" s="9">
        <v>1.0</v>
      </c>
      <c r="F1151" s="10" t="str">
        <f>IFERROR(__xludf.DUMMYFUNCTION("LOWER(REGEXREPLACE(B1151&amp;"" ""&amp;C1151,""[^а-яa-z0-9 ]"","" ""))")," тол верх пэ ce tcp180x70  ержавеющая сталь 430   олщина полиэтилена  4 см   ез полки  с бортиком   араметры  1800x700x850 мм")</f>
        <v> тол верх пэ ce tcp180x70  ержавеющая сталь 430   олщина полиэтилена  4 см   ез полки  с бортиком   араметры  1800x700x850 мм</v>
      </c>
      <c r="G1151" s="10" t="str">
        <f>IFERROR(__xludf.DUMMYFUNCTION("TEXTJOIN(""|"",TRUE,UNIQUE(FILTER(SPLIT(F1151,"" ""),LEN(SPLIT(F1151,"" ""))&gt;2)))"),"тол|верх|tcp180x70|ержавеющая|сталь|430|олщина|полиэтилена|полки|бортиком|араметры|1800x700x850")</f>
        <v>тол|верх|tcp180x70|ержавеющая|сталь|430|олщина|полиэтилена|полки|бортиком|араметры|1800x700x850</v>
      </c>
      <c r="I1151" s="6"/>
      <c r="J1151" s="6"/>
    </row>
    <row r="1152">
      <c r="A1152" s="12" t="s">
        <v>3282</v>
      </c>
      <c r="B1152" s="7" t="s">
        <v>3283</v>
      </c>
      <c r="C1152" s="7" t="s">
        <v>3284</v>
      </c>
      <c r="D1152" s="8">
        <v>31500.0</v>
      </c>
      <c r="E1152" s="9">
        <v>13.0</v>
      </c>
      <c r="F1152" s="10" t="str">
        <f>IFERROR(__xludf.DUMMYFUNCTION("LOWER(REGEXREPLACE(B1152&amp;"" ""&amp;C1152,""[^а-яa-z0-9 ]"","" ""))"),"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ле"&amp;"гко очищается ")</f>
        <v>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легко очищается </v>
      </c>
      <c r="G1152" s="10" t="str">
        <f>IFERROR(__xludf.DUMMYFUNCTION("TEXTJOIN(""|"",TRUE,UNIQUE(FILTER(SPLIT(F1152,"" ""),LEN(SPLIT(F1152,"" ""))&gt;2)))"),"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f>
        <v>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v>
      </c>
      <c r="I1152" s="6"/>
      <c r="J1152" s="6"/>
    </row>
    <row r="1153">
      <c r="A1153" s="12" t="s">
        <v>3285</v>
      </c>
      <c r="B1153" s="7" t="s">
        <v>3286</v>
      </c>
      <c r="C1153" s="7" t="s">
        <v>3287</v>
      </c>
      <c r="D1153" s="8">
        <v>303700.0</v>
      </c>
      <c r="E1153" s="9">
        <v>1.0</v>
      </c>
      <c r="F1153" s="10" t="str">
        <f>IFERROR(__xludf.DUMMYFUNCTION("LOWER(REGEXREPLACE(B1153&amp;"" ""&amp;C1153,""[^а-яa-z0-9 ]"","" ""))")," тол для грязной посуды ce tbs100x75  ержавеющая сталь      430    воронкой для отходов  без полки   араметры  1000x700x850 мм")</f>
        <v> тол для грязной посуды ce tbs100x75  ержавеющая сталь      430    воронкой для отходов  без полки   араметры  1000x700x850 мм</v>
      </c>
      <c r="G1153" s="10" t="str">
        <f>IFERROR(__xludf.DUMMYFUNCTION("TEXTJOIN(""|"",TRUE,UNIQUE(FILTER(SPLIT(F1153,"" ""),LEN(SPLIT(F1153,"" ""))&gt;2)))"),"тол|для|грязной|посуды|tbs100x75|ержавеющая|сталь|430|воронкой|для|отходов|без|полки|араметры|1000x700x850")</f>
        <v>тол|для|грязной|посуды|tbs100x75|ержавеющая|сталь|430|воронкой|для|отходов|без|полки|араметры|1000x700x850</v>
      </c>
      <c r="I1153" s="6"/>
      <c r="J1153" s="6"/>
    </row>
    <row r="1154">
      <c r="A1154" s="12" t="s">
        <v>3288</v>
      </c>
      <c r="B1154" s="7" t="s">
        <v>3289</v>
      </c>
      <c r="C1154" s="7" t="s">
        <v>3290</v>
      </c>
      <c r="D1154" s="8">
        <v>283500.0</v>
      </c>
      <c r="E1154" s="9">
        <v>10.0</v>
      </c>
      <c r="F1154" s="10" t="str">
        <f>IFERROR(__xludf.DUMMYFUNCTION("LOWER(REGEXREPLACE(B1154&amp;"" ""&amp;C1154,""[^а-яa-z0-9 ]"","" ""))")," тол для кабинета  азмеры  1500 600 750 мм  умба предназначена для хранения бумаги  документации и методических материалов   снащена выдвижными ящиками")</f>
        <v> тол для кабинета  азмеры  1500 600 750 мм  умба предназначена для хранения бумаги  документации и методических материалов   снащена выдвижными ящиками</v>
      </c>
      <c r="G1154" s="10" t="str">
        <f>IFERROR(__xludf.DUMMYFUNCTION("TEXTJOIN(""|"",TRUE,UNIQUE(FILTER(SPLIT(F1154,"" ""),LEN(SPLIT(F1154,"" ""))&gt;2)))"),"тол|для|кабинета|азмеры|1500|600|750|умба|предназначена|для|хранения|бумаги|документации|методических|материалов|снащена|выдвижными|ящиками")</f>
        <v>тол|для|кабинета|азмеры|1500|600|750|умба|предназначена|для|хранения|бумаги|документации|методических|материалов|снащена|выдвижными|ящиками</v>
      </c>
      <c r="I1154" s="6"/>
      <c r="J1154" s="6"/>
    </row>
    <row r="1155">
      <c r="A1155" s="12" t="s">
        <v>3291</v>
      </c>
      <c r="B1155" s="7" t="s">
        <v>3292</v>
      </c>
      <c r="C1155" s="7" t="s">
        <v>3293</v>
      </c>
      <c r="D1155" s="8">
        <v>586700.0</v>
      </c>
      <c r="E1155" s="9">
        <v>1.0</v>
      </c>
      <c r="F1155" s="10" t="str">
        <f>IFERROR(__xludf.DUMMYFUNCTION("LOWER(REGEXREPLACE(B1155&amp;"" ""&amp;C1155,""[^а-яa-z0-9 ]"","" ""))"),"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отс"&amp;"ерстием для отходов  габариты  1200х80х850 мм")</f>
        <v>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отсерстием для отходов  габариты  1200х80х850 мм</v>
      </c>
      <c r="G1155" s="10" t="str">
        <f>IFERROR(__xludf.DUMMYFUNCTION("TEXTJOIN(""|"",TRUE,UNIQUE(FILTER(SPLIT(F1155,"" ""),LEN(SPLIT(F1155,"" ""))&gt;2)))"),"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amp;"850")</f>
        <v>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850</v>
      </c>
      <c r="I1155" s="6"/>
      <c r="J1155" s="6"/>
    </row>
    <row r="1156">
      <c r="A1156" s="12" t="s">
        <v>3294</v>
      </c>
      <c r="B1156" s="7" t="s">
        <v>3295</v>
      </c>
      <c r="C1156" s="7" t="s">
        <v>3296</v>
      </c>
      <c r="D1156" s="8">
        <v>105000.0</v>
      </c>
      <c r="E1156" s="9">
        <v>1.0</v>
      </c>
      <c r="F1156" s="10" t="str">
        <f>IFERROR(__xludf.DUMMYFUNCTION("LOWER(REGEXREPLACE(B1156&amp;"" ""&amp;C1156,""[^а-яa-z0-9 ]"","" ""))"),"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f>
        <v>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v>
      </c>
      <c r="G1156" s="10" t="str">
        <f>IFERROR(__xludf.DUMMYFUNCTION("TEXTJOIN(""|"",TRUE,UNIQUE(FILTER(SPLIT(F1156,"" ""),LEN(SPLIT(F1156,"" ""))&gt;2)))"),"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f>
        <v>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v>
      </c>
      <c r="I1156" s="6"/>
      <c r="J1156" s="6"/>
    </row>
    <row r="1157">
      <c r="A1157" s="12" t="s">
        <v>3297</v>
      </c>
      <c r="B1157" s="7" t="s">
        <v>3298</v>
      </c>
      <c r="C1157" s="7" t="s">
        <v>3299</v>
      </c>
      <c r="D1157" s="8">
        <v>434800.0</v>
      </c>
      <c r="E1157" s="9">
        <v>2.0</v>
      </c>
      <c r="F1157" s="10" t="str">
        <f>IFERROR(__xludf.DUMMYFUNCTION("LOWER(REGEXREPLACE(B1157&amp;"" ""&amp;C1157,""[^а-яa-z0-9 ]"","" ""))")," тол для мытья овощей ce tsy120x70  ержавеющая сталь      430   аковина для мытья и сушки   араметры  1200x700x850 мм")</f>
        <v> тол для мытья овощей ce tsy120x70  ержавеющая сталь      430   аковина для мытья и сушки   араметры  1200x700x850 мм</v>
      </c>
      <c r="G1157" s="10" t="str">
        <f>IFERROR(__xludf.DUMMYFUNCTION("TEXTJOIN(""|"",TRUE,UNIQUE(FILTER(SPLIT(F1157,"" ""),LEN(SPLIT(F1157,"" ""))&gt;2)))"),"тол|для|мытья|овощей|tsy120x70|ержавеющая|сталь|430|аковина|для|мытья|сушки|араметры|1200x700x850")</f>
        <v>тол|для|мытья|овощей|tsy120x70|ержавеющая|сталь|430|аковина|для|мытья|сушки|араметры|1200x700x850</v>
      </c>
      <c r="I1157" s="6"/>
      <c r="J1157" s="6"/>
    </row>
    <row r="1158">
      <c r="A1158" s="12" t="s">
        <v>3300</v>
      </c>
      <c r="B1158" s="7" t="s">
        <v>3301</v>
      </c>
      <c r="C1158" s="7" t="s">
        <v>3302</v>
      </c>
      <c r="D1158" s="8">
        <v>514400.0</v>
      </c>
      <c r="E1158" s="9">
        <v>1.0</v>
      </c>
      <c r="F1158" s="10" t="str">
        <f>IFERROR(__xludf.DUMMYFUNCTION("LOWER(REGEXREPLACE(B1158&amp;"" ""&amp;C1158,""[^а-яa-z0-9 ]"","" ""))")," тол для обработки рыбы ce tbh120x70  ержавеющая сталь      430   аковина для мытья и сушки  c полиэтиленовой доской для резки   араметры  1200x700x850 мм")</f>
        <v> тол для обработки рыбы ce tbh120x70  ержавеющая сталь      430   аковина для мытья и сушки  c полиэтиленовой доской для резки   араметры  1200x700x850 мм</v>
      </c>
      <c r="G1158" s="10" t="str">
        <f>IFERROR(__xludf.DUMMYFUNCTION("TEXTJOIN(""|"",TRUE,UNIQUE(FILTER(SPLIT(F1158,"" ""),LEN(SPLIT(F1158,"" ""))&gt;2)))"),"тол|для|обработки|рыбы|tbh120x70|ержавеющая|сталь|430|аковина|для|мытья|сушки|полиэтиленовой|доской|для|резки|араметры|1200x700x850")</f>
        <v>тол|для|обработки|рыбы|tbh120x70|ержавеющая|сталь|430|аковина|для|мытья|сушки|полиэтиленовой|доской|для|резки|араметры|1200x700x850</v>
      </c>
      <c r="I1158" s="6"/>
      <c r="J1158" s="6"/>
    </row>
    <row r="1159">
      <c r="A1159" s="12" t="s">
        <v>3303</v>
      </c>
      <c r="B1159" s="7" t="s">
        <v>3304</v>
      </c>
      <c r="C1159" s="7" t="s">
        <v>3305</v>
      </c>
      <c r="D1159" s="8">
        <v>252000.0</v>
      </c>
      <c r="E1159" s="9">
        <v>1.0</v>
      </c>
      <c r="F1159" s="10" t="str">
        <f>IFERROR(__xludf.DUMMYFUNCTION("LOWER(REGEXREPLACE(B1159&amp;"" ""&amp;C1159,""[^а-яa-z0-9 ]"","" ""))"),"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становл"&amp;"ен на кол сных опорах диаметром 50 мм   атериал        16 мм   се углы скруглены ")</f>
        <v>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становлен на кол сных опорах диаметром 50 мм   атериал        16 мм   се углы скруглены </v>
      </c>
      <c r="G1159" s="10" t="str">
        <f>IFERROR(__xludf.DUMMYFUNCTION("TEXTJOIN(""|"",TRUE,UNIQUE(FILTER(SPLIT(F1159,"" ""),LEN(SPLIT(F1159,"" ""))&gt;2)))"),"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amp;"тром|атериал|углы|скруглены")</f>
        <v>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тром|атериал|углы|скруглены</v>
      </c>
      <c r="I1159" s="6"/>
      <c r="J1159" s="6"/>
    </row>
    <row r="1160">
      <c r="A1160" s="12" t="s">
        <v>3306</v>
      </c>
      <c r="B1160" s="7" t="s">
        <v>3307</v>
      </c>
      <c r="C1160" s="7" t="s">
        <v>3308</v>
      </c>
      <c r="D1160" s="8">
        <v>113300.0</v>
      </c>
      <c r="E1160" s="9">
        <v>3.0</v>
      </c>
      <c r="F1160" s="10" t="str">
        <f>IFERROR(__xludf.DUMMYFUNCTION("LOWER(REGEXREPLACE(B1160&amp;"" ""&amp;C1160,""[^а-яa-z0-9 ]"","" ""))")," тол инструментальный  тол используется для размещения медицинских инструментов и расходных материалов   600х400х860 мм ")</f>
        <v> тол инструментальный  тол используется для размещения медицинских инструментов и расходных материалов   600х400х860 мм </v>
      </c>
      <c r="G1160" s="10" t="str">
        <f>IFERROR(__xludf.DUMMYFUNCTION("TEXTJOIN(""|"",TRUE,UNIQUE(FILTER(SPLIT(F1160,"" ""),LEN(SPLIT(F1160,"" ""))&gt;2)))"),"тол|инструментальный|тол|используется|для|размещения|медицинских|инструментов|расходных|материалов|600х400х860")</f>
        <v>тол|инструментальный|тол|используется|для|размещения|медицинских|инструментов|расходных|материалов|600х400х860</v>
      </c>
      <c r="I1160" s="6"/>
      <c r="J1160" s="6"/>
    </row>
    <row r="1161">
      <c r="A1161" s="12" t="s">
        <v>3309</v>
      </c>
      <c r="B1161" s="7" t="s">
        <v>3310</v>
      </c>
      <c r="C1161" s="7" t="s">
        <v>3311</v>
      </c>
      <c r="D1161" s="8">
        <v>402900.0</v>
      </c>
      <c r="E1161" s="9">
        <v>1.0</v>
      </c>
      <c r="F1161" s="10" t="str">
        <f>IFERROR(__xludf.DUMMYFUNCTION("LOWER(REGEXREPLACE(B1161&amp;"" ""&amp;C1161,""[^а-яa-z0-9 ]"","" ""))")," тол на роликах ce tch120x60  ержавеющая сталь      430    полкой и 4 колесами   араметры  1200x600x850 ммй")</f>
        <v> тол на роликах ce tch120x60  ержавеющая сталь      430    полкой и 4 колесами   араметры  1200x600x850 ммй</v>
      </c>
      <c r="G1161" s="10" t="str">
        <f>IFERROR(__xludf.DUMMYFUNCTION("TEXTJOIN(""|"",TRUE,UNIQUE(FILTER(SPLIT(F1161,"" ""),LEN(SPLIT(F1161,"" ""))&gt;2)))"),"тол|роликах|tch120x60|ержавеющая|сталь|430|полкой|колесами|араметры|1200x600x850|ммй")</f>
        <v>тол|роликах|tch120x60|ержавеющая|сталь|430|полкой|колесами|араметры|1200x600x850|ммй</v>
      </c>
      <c r="I1161" s="6"/>
      <c r="J1161" s="6"/>
    </row>
    <row r="1162">
      <c r="A1162" s="12" t="s">
        <v>3312</v>
      </c>
      <c r="B1162" s="7" t="s">
        <v>3313</v>
      </c>
      <c r="C1162" s="7" t="s">
        <v>3314</v>
      </c>
      <c r="D1162" s="8">
        <v>503400.0</v>
      </c>
      <c r="E1162" s="9">
        <v>1.0</v>
      </c>
      <c r="F1162" s="10" t="str">
        <f>IFERROR(__xludf.DUMMYFUNCTION("LOWER(REGEXREPLACE(B1162&amp;"" ""&amp;C1162,""[^а-яa-z0-9 ]"","" ""))")," тол на роликах ce tch180x70  ержавеющая сталь      430    полкой и 4 колесами   араметры  1800x700x850 мм")</f>
        <v> тол на роликах ce tch180x70  ержавеющая сталь      430    полкой и 4 колесами   араметры  1800x700x850 мм</v>
      </c>
      <c r="G1162" s="10" t="str">
        <f>IFERROR(__xludf.DUMMYFUNCTION("TEXTJOIN(""|"",TRUE,UNIQUE(FILTER(SPLIT(F1162,"" ""),LEN(SPLIT(F1162,"" ""))&gt;2)))"),"тол|роликах|tch180x70|ержавеющая|сталь|430|полкой|колесами|араметры|1800x700x850")</f>
        <v>тол|роликах|tch180x70|ержавеющая|сталь|430|полкой|колесами|араметры|1800x700x850</v>
      </c>
      <c r="I1162" s="6"/>
      <c r="J1162" s="6"/>
    </row>
    <row r="1163">
      <c r="A1163" s="12" t="s">
        <v>3315</v>
      </c>
      <c r="B1163" s="7" t="s">
        <v>3316</v>
      </c>
      <c r="C1163" s="7" t="s">
        <v>3317</v>
      </c>
      <c r="D1163" s="8">
        <v>252000.0</v>
      </c>
      <c r="E1163" s="9">
        <v>1.0</v>
      </c>
      <c r="F1163" s="10" t="str">
        <f>IFERROR(__xludf.DUMMYFUNCTION("LOWER(REGEXREPLACE(B1163&amp;"" ""&amp;C1163,""[^а-яa-z0-9 ]"","" ""))"),"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f>
        <v>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v>
      </c>
      <c r="G1163" s="10" t="str">
        <f>IFERROR(__xludf.DUMMYFUNCTION("TEXTJOIN(""|"",TRUE,UNIQUE(FILTER(SPLIT(F1163,"" ""),LEN(SPLIT(F1163,"" ""))&gt;2)))"),"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f>
        <v>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v>
      </c>
      <c r="I1163" s="6"/>
      <c r="J1163" s="6"/>
    </row>
    <row r="1164">
      <c r="A1164" s="12" t="s">
        <v>3318</v>
      </c>
      <c r="B1164" s="7" t="s">
        <v>3319</v>
      </c>
      <c r="C1164" s="7" t="s">
        <v>3320</v>
      </c>
      <c r="D1164" s="8">
        <v>471500.0</v>
      </c>
      <c r="E1164" s="9">
        <v>1.0</v>
      </c>
      <c r="F1164" s="10" t="str">
        <f>IFERROR(__xludf.DUMMYFUNCTION("LOWER(REGEXREPLACE(B1164&amp;"" ""&amp;C1164,""[^а-яa-z0-9 ]"","" ""))")," тол подачи посудомойки ce tbg100x75  ержавеющая сталь      430    одной  раковиной без полки   ойка  50x40x25 см   араметры  1000x750x850 мм")</f>
        <v> тол подачи посудомойки ce tbg100x75  ержавеющая сталь      430    одной  раковиной без полки   ойка  50x40x25 см   араметры  1000x750x850 мм</v>
      </c>
      <c r="G1164" s="10" t="str">
        <f>IFERROR(__xludf.DUMMYFUNCTION("TEXTJOIN(""|"",TRUE,UNIQUE(FILTER(SPLIT(F1164,"" ""),LEN(SPLIT(F1164,"" ""))&gt;2)))"),"тол|подачи|посудомойки|tbg100x75|ержавеющая|сталь|430|одной|раковиной|без|полки|ойка|50x40x25|араметры|1000x750x850")</f>
        <v>тол|подачи|посудомойки|tbg100x75|ержавеющая|сталь|430|одной|раковиной|без|полки|ойка|50x40x25|араметры|1000x750x850</v>
      </c>
      <c r="I1164" s="6"/>
      <c r="J1164" s="6"/>
    </row>
    <row r="1165">
      <c r="A1165" s="12" t="s">
        <v>3321</v>
      </c>
      <c r="B1165" s="7" t="s">
        <v>3322</v>
      </c>
      <c r="C1165" s="7" t="s">
        <v>3323</v>
      </c>
      <c r="D1165" s="8">
        <v>12817.0</v>
      </c>
      <c r="E1165" s="9">
        <v>21.0</v>
      </c>
      <c r="F1165" s="10" t="str">
        <f>IFERROR(__xludf.DUMMYFUNCTION("LOWER(REGEXREPLACE(B1165&amp;"" ""&amp;C1165,""[^а-яa-z0-9 ]"","" ""))")," кустическая система  icrolab   106  10 т  2 5 т 2 5 т   выход 2     вход 3 5  ini ack")</f>
        <v> кустическая система  icrolab   106  10 т  2 5 т 2 5 т   выход 2     вход 3 5  ini ack</v>
      </c>
      <c r="G1165" s="10" t="str">
        <f>IFERROR(__xludf.DUMMYFUNCTION("TEXTJOIN(""|"",TRUE,UNIQUE(FILTER(SPLIT(F1165,"" ""),LEN(SPLIT(F1165,"" ""))&gt;2)))"),"кустическая|система|icrolab|106|выход|вход|ini|ack")</f>
        <v>кустическая|система|icrolab|106|выход|вход|ini|ack</v>
      </c>
      <c r="I1165" s="6"/>
      <c r="J1165" s="6"/>
    </row>
    <row r="1166">
      <c r="A1166" s="12" t="s">
        <v>3324</v>
      </c>
      <c r="B1166" s="7" t="s">
        <v>3325</v>
      </c>
      <c r="C1166" s="7" t="s">
        <v>3326</v>
      </c>
      <c r="D1166" s="8">
        <v>11900.0</v>
      </c>
      <c r="E1166" s="9">
        <v>35.0</v>
      </c>
      <c r="F1166" s="10" t="str">
        <f>IFERROR(__xludf.DUMMYFUNCTION("LOWER(REGEXREPLACE(B1166&amp;"" ""&amp;C1166,""[^а-яa-z0-9 ]"","" ""))")," арнитура  арнитура  4 ech    35")</f>
        <v> арнитура  арнитура  4 ech    35</v>
      </c>
      <c r="G1166" s="10" t="str">
        <f>IFERROR(__xludf.DUMMYFUNCTION("TEXTJOIN(""|"",TRUE,UNIQUE(FILTER(SPLIT(F1166,"" ""),LEN(SPLIT(F1166,"" ""))&gt;2)))"),"арнитура|арнитура|ech")</f>
        <v>арнитура|арнитура|ech</v>
      </c>
      <c r="I1166" s="6"/>
      <c r="J1166" s="6"/>
    </row>
    <row r="1167">
      <c r="A1167" s="12" t="s">
        <v>3327</v>
      </c>
      <c r="B1167" s="7" t="s">
        <v>3328</v>
      </c>
      <c r="C1167" s="7" t="s">
        <v>3329</v>
      </c>
      <c r="D1167" s="8">
        <v>615700.0</v>
      </c>
      <c r="E1167" s="9">
        <v>1.0</v>
      </c>
      <c r="F1167" s="10" t="str">
        <f>IFERROR(__xludf.DUMMYFUNCTION("LOWER(REGEXREPLACE(B1167&amp;"" ""&amp;C1167,""[^а-яa-z0-9 ]"","" ""))"),"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f>
        <v>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v>
      </c>
      <c r="G1167" s="10" t="str">
        <f>IFERROR(__xludf.DUMMYFUNCTION("TEXTJOIN(""|"",TRUE,UNIQUE(FILTER(SPLIT(F1167,"" ""),LEN(SPLIT(F1167,"" ""))&gt;2)))"),"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f>
        <v>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v>
      </c>
      <c r="I1167" s="6"/>
      <c r="J1167" s="6"/>
    </row>
    <row r="1168">
      <c r="A1168" s="12" t="s">
        <v>3330</v>
      </c>
      <c r="B1168" s="12" t="s">
        <v>3331</v>
      </c>
      <c r="C1168" s="7" t="s">
        <v>3332</v>
      </c>
      <c r="D1168" s="8">
        <v>1800000.0</v>
      </c>
      <c r="E1168" s="9">
        <v>7.0</v>
      </c>
      <c r="F1168" s="10" t="str">
        <f>IFERROR(__xludf.DUMMYFUNCTION("LOWER(REGEXREPLACE(B1168&amp;"" ""&amp;C1168,""[^а-яa-z0-9 ]"","" ""))"),"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"&amp;"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демонстр"&amp;"ационных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распоз"&amp;"нает жесты для вращения 3  объектов  увеличения 3  объектов   ")</f>
        <v>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распознает жесты для вращения 3  объектов  увеличения 3  объектов   </v>
      </c>
      <c r="G1168" s="10" t="str">
        <f>IFERROR(__xludf.DUMMYFUNCTION("TEXTJOIN(""|"",TRUE,UNIQUE(FILTER(SPLIT(F1168,"" ""),LEN(SPLIT(F1168,"" ""))&gt;2)))"),"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amp;"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amp;"|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f>
        <v>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v>
      </c>
      <c r="I1168" s="6"/>
      <c r="J1168" s="6"/>
    </row>
    <row r="1169">
      <c r="A1169" s="12" t="s">
        <v>3333</v>
      </c>
      <c r="B1169" s="7" t="s">
        <v>3334</v>
      </c>
      <c r="C1169" s="7" t="s">
        <v>3335</v>
      </c>
      <c r="D1169" s="8">
        <v>1735100.0</v>
      </c>
      <c r="E1169" s="9">
        <v>1.0</v>
      </c>
      <c r="F1169" s="10" t="str">
        <f>IFERROR(__xludf.DUMMYFUNCTION("LOWER(REGEXREPLACE(B1169&amp;"" ""&amp;C1169,""[^а-яa-z0-9 ]"","" ""))")," артофелечистка pat 650t  местимость  5 10 кг   ластиковый редуктор  380     ощность  0 55 к т   азмеры  48x76x102 см")</f>
        <v> артофелечистка pat 650t  местимость  5 10 кг   ластиковый редуктор  380     ощность  0 55 к т   азмеры  48x76x102 см</v>
      </c>
      <c r="G1169" s="10" t="str">
        <f>IFERROR(__xludf.DUMMYFUNCTION("TEXTJOIN(""|"",TRUE,UNIQUE(FILTER(SPLIT(F1169,"" ""),LEN(SPLIT(F1169,"" ""))&gt;2)))"),"артофелечистка|pat|650t|местимость|ластиковый|редуктор|380|ощность|азмеры|48x76x102")</f>
        <v>артофелечистка|pat|650t|местимость|ластиковый|редуктор|380|ощность|азмеры|48x76x102</v>
      </c>
      <c r="I1169" s="6"/>
      <c r="J1169" s="6"/>
    </row>
    <row r="1170">
      <c r="A1170" s="12" t="s">
        <v>3336</v>
      </c>
      <c r="B1170" s="7" t="s">
        <v>3337</v>
      </c>
      <c r="C1170" s="7" t="s">
        <v>3338</v>
      </c>
      <c r="D1170" s="8">
        <v>3988700.0</v>
      </c>
      <c r="E1170" s="9">
        <v>1.0</v>
      </c>
      <c r="F1170" s="10" t="str">
        <f>IFERROR(__xludf.DUMMYFUNCTION("LOWER(REGEXREPLACE(B1170&amp;"" ""&amp;C1170,""[^а-яa-z0-9 ]"","" ""))")," отел варочный электрический vpe7 23  бъем  80 л  0 55 м3 15 к т 400     азмеры  700 800 850 мм")</f>
        <v> отел варочный электрический vpe7 23  бъем  80 л  0 55 м3 15 к т 400     азмеры  700 800 850 мм</v>
      </c>
      <c r="G1170" s="10" t="str">
        <f>IFERROR(__xludf.DUMMYFUNCTION("TEXTJOIN(""|"",TRUE,UNIQUE(FILTER(SPLIT(F1170,"" ""),LEN(SPLIT(F1170,"" ""))&gt;2)))"),"отел|варочный|электрический|vpe7|бъем|400|азмеры|700|800|850")</f>
        <v>отел|варочный|электрический|vpe7|бъем|400|азмеры|700|800|850</v>
      </c>
      <c r="I1170" s="6"/>
      <c r="J1170" s="6"/>
    </row>
    <row r="1171">
      <c r="A1171" s="12" t="s">
        <v>3339</v>
      </c>
      <c r="B1171" s="7" t="s">
        <v>3340</v>
      </c>
      <c r="C1171" s="7" t="s">
        <v>3341</v>
      </c>
      <c r="D1171" s="8">
        <v>51000.0</v>
      </c>
      <c r="E1171" s="9">
        <v>13.0</v>
      </c>
      <c r="F1171" s="10" t="str">
        <f>IFERROR(__xludf.DUMMYFUNCTION("LOWER(REGEXREPLACE(B1171&amp;"" ""&amp;C1171,""[^а-яa-z0-9 ]"","" ""))")," улер  улер для воды      qua 1")</f>
        <v> улер  улер для воды      qua 1</v>
      </c>
      <c r="G1171" s="10" t="str">
        <f>IFERROR(__xludf.DUMMYFUNCTION("TEXTJOIN(""|"",TRUE,UNIQUE(FILTER(SPLIT(F1171,"" ""),LEN(SPLIT(F1171,"" ""))&gt;2)))"),"улер|улер|для|воды|qua")</f>
        <v>улер|улер|для|воды|qua</v>
      </c>
      <c r="I1171" s="6"/>
      <c r="J1171" s="6"/>
    </row>
    <row r="1172">
      <c r="A1172" s="12" t="s">
        <v>3342</v>
      </c>
      <c r="B1172" s="7" t="s">
        <v>3343</v>
      </c>
      <c r="C1172" s="7" t="s">
        <v>3344</v>
      </c>
      <c r="D1172" s="8">
        <v>62900.0</v>
      </c>
      <c r="E1172" s="9">
        <v>1.0</v>
      </c>
      <c r="F1172" s="10" t="str">
        <f>IFERROR(__xludf.DUMMYFUNCTION("LOWER(REGEXREPLACE(B1172&amp;"" ""&amp;C1172,""[^а-яa-z0-9 ]"","" ""))"),"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ср"&amp;"еде ")</f>
        <v>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среде </v>
      </c>
      <c r="G1172" s="10" t="str">
        <f>IFERROR(__xludf.DUMMYFUNCTION("TEXTJOIN(""|"",TRUE,UNIQUE(FILTER(SPLIT(F1172,"" ""),LEN(SPLIT(F1172,"" ""))&gt;2)))"),"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f>
        <v>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v>
      </c>
      <c r="I1172" s="6"/>
      <c r="J1172" s="6"/>
    </row>
    <row r="1173">
      <c r="A1173" s="12" t="s">
        <v>3345</v>
      </c>
      <c r="B1173" s="12" t="s">
        <v>3346</v>
      </c>
      <c r="C1173" s="7" t="s">
        <v>3347</v>
      </c>
      <c r="D1173" s="8">
        <v>176800.0</v>
      </c>
      <c r="E1173" s="9">
        <v>1.0</v>
      </c>
      <c r="F1173" s="10" t="str">
        <f>IFERROR(__xludf.DUMMYFUNCTION("LOWER(REGEXREPLACE(B1173&amp;"" ""&amp;C1173,""[^а-яa-z0-9 ]"","" ""))")," обильная стойка  обильная стойка для интерактивной панели на кол сах   иагональ экрана 75 дюймов  ")</f>
        <v> обильная стойка  обильная стойка для интерактивной панели на кол сах   иагональ экрана 75 дюймов  </v>
      </c>
      <c r="G1173" s="10" t="str">
        <f>IFERROR(__xludf.DUMMYFUNCTION("TEXTJOIN(""|"",TRUE,UNIQUE(FILTER(SPLIT(F1173,"" ""),LEN(SPLIT(F1173,"" ""))&gt;2)))"),"обильная|стойка|обильная|стойка|для|интерактивной|панели|кол|сах|иагональ|экрана|дюймов")</f>
        <v>обильная|стойка|обильная|стойка|для|интерактивной|панели|кол|сах|иагональ|экрана|дюймов</v>
      </c>
      <c r="I1173" s="6"/>
      <c r="J1173" s="6"/>
    </row>
    <row r="1174">
      <c r="A1174" s="12" t="s">
        <v>3348</v>
      </c>
      <c r="B1174" s="7" t="s">
        <v>3349</v>
      </c>
      <c r="C1174" s="7" t="s">
        <v>3350</v>
      </c>
      <c r="D1174" s="8">
        <v>1363300.0</v>
      </c>
      <c r="E1174" s="9">
        <v>1.0</v>
      </c>
      <c r="F1174" s="10" t="str">
        <f>IFERROR(__xludf.DUMMYFUNCTION("LOWER(REGEXREPLACE(B1174&amp;"" ""&amp;C1174,""[^а-яa-z0-9 ]"","" ""))")," ашина для резки овощей seb 210m  местимость  300 кг час   астольный  5 ножей  220     ощность  0 37 к т   азмеры  27x88x108 см")</f>
        <v> ашина для резки овощей seb 210m  местимость  300 кг час   астольный  5 ножей  220     ощность  0 37 к т   азмеры  27x88x108 см</v>
      </c>
      <c r="G1174" s="10" t="str">
        <f>IFERROR(__xludf.DUMMYFUNCTION("TEXTJOIN(""|"",TRUE,UNIQUE(FILTER(SPLIT(F1174,"" ""),LEN(SPLIT(F1174,"" ""))&gt;2)))"),"ашина|для|резки|овощей|seb|210m|местимость|300|час|астольный|ножей|220|ощность|азмеры|27x88x108")</f>
        <v>ашина|для|резки|овощей|seb|210m|местимость|300|час|астольный|ножей|220|ощность|азмеры|27x88x108</v>
      </c>
      <c r="I1174" s="6"/>
      <c r="J1174" s="6"/>
    </row>
    <row r="1175">
      <c r="A1175" s="12" t="s">
        <v>3351</v>
      </c>
      <c r="B1175" s="7" t="s">
        <v>3352</v>
      </c>
      <c r="C1175" s="7" t="s">
        <v>3353</v>
      </c>
      <c r="D1175" s="8">
        <v>62900.0</v>
      </c>
      <c r="E1175" s="9">
        <v>1.0</v>
      </c>
      <c r="F1175" s="10" t="str">
        <f>IFERROR(__xludf.DUMMYFUNCTION("LOWER(REGEXREPLACE(B1175&amp;"" ""&amp;C1175,""[^а-яa-z0-9 ]"","" ""))"),"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по"&amp;"рций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"&amp;"оснащена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f>
        <v>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v>
      </c>
      <c r="G1175" s="10" t="str">
        <f>IFERROR(__xludf.DUMMYFUNCTION("TEXTJOIN(""|"",TRUE,UNIQUE(FILTER(SPLIT(F1175,"" ""),LEN(SPLIT(F1175,"" ""))&gt;2)))"),"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amp;"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amp;"мопроизвольное|открывание|стройство|устанавливается|устойчивую|поверхность|подключается|сети|220|используется|взрослыми|сотрудниками")</f>
        <v>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мопроизвольное|открывание|стройство|устанавливается|устойчивую|поверхность|подключается|сети|220|используется|взрослыми|сотрудниками</v>
      </c>
      <c r="I1175" s="6"/>
      <c r="J1175" s="6"/>
    </row>
    <row r="1176">
      <c r="A1176" s="12" t="s">
        <v>3354</v>
      </c>
      <c r="B1176" s="7" t="s">
        <v>3355</v>
      </c>
      <c r="C1176" s="7" t="s">
        <v>3356</v>
      </c>
      <c r="D1176" s="8">
        <v>510100.0</v>
      </c>
      <c r="E1176" s="9">
        <v>2.0</v>
      </c>
      <c r="F1176" s="10" t="str">
        <f>IFERROR(__xludf.DUMMYFUNCTION("LOWER(REGEXREPLACE(B1176&amp;"" ""&amp;C1176,""[^а-яa-z0-9 ]"","" ""))"),"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з"&amp;"вука и ограничение уровня громкости в соответствии с требованиями   орпус выполнен без острых углов и рассчитан на стационарное использование ")</f>
        <v>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звука и ограничение уровня громкости в соответствии с требованиями   орпус выполнен без острых углов и рассчитан на стационарное использование </v>
      </c>
      <c r="G1176" s="10" t="str">
        <f>IFERROR(__xludf.DUMMYFUNCTION("TEXTJOIN(""|"",TRUE,UNIQUE(FILTER(SPLIT(F1176,"" ""),LEN(SPLIT(F1176,"" ""))&gt;2)))"),"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amp;"я|громкости|соответствии|требованиями|орпус|выполнен|без|острых|углов|рассчитан|стационарное|использование")</f>
        <v>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я|громкости|соответствии|требованиями|орпус|выполнен|без|острых|углов|рассчитан|стационарное|использование</v>
      </c>
      <c r="I1176" s="6"/>
      <c r="J1176" s="6"/>
    </row>
    <row r="1177">
      <c r="A1177" s="12" t="s">
        <v>3357</v>
      </c>
      <c r="B1177" s="7" t="s">
        <v>3358</v>
      </c>
      <c r="C1177" s="7" t="s">
        <v>3359</v>
      </c>
      <c r="D1177" s="8">
        <v>255000.0</v>
      </c>
      <c r="E1177" s="9">
        <v>1.0</v>
      </c>
      <c r="F1177" s="10" t="str">
        <f>IFERROR(__xludf.DUMMYFUNCTION("LOWER(REGEXREPLACE(B1177&amp;"" ""&amp;C1177,""[^а-яa-z0-9 ]"","" ""))"),"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отд"&amp;"ельной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з"&amp;"ащиты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"&amp;"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f>
        <v>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v>
      </c>
      <c r="G1177" s="10" t="str">
        <f>IFERROR(__xludf.DUMMYFUNCTION("TEXTJOIN(""|"",TRUE,UNIQUE(FILTER(SPLIT(F1177,"" ""),LEN(SPLIT(F1177,"" ""))&gt;2)))"),"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amp;"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amp;"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amp;"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f>
        <v>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v>
      </c>
      <c r="I1177" s="6"/>
      <c r="J1177" s="6"/>
    </row>
    <row r="1178">
      <c r="A1178" s="12" t="s">
        <v>3360</v>
      </c>
      <c r="B1178" s="7" t="s">
        <v>3361</v>
      </c>
      <c r="C1178" s="7" t="s">
        <v>3362</v>
      </c>
      <c r="D1178" s="8">
        <v>149259.0</v>
      </c>
      <c r="E1178" s="9">
        <v>1.0</v>
      </c>
      <c r="F1178" s="10" t="str">
        <f>IFERROR(__xludf.DUMMYFUNCTION("LOWER(REGEXREPLACE(B1178&amp;"" ""&amp;C1178,""[^а-яa-z0-9 ]"","" ""))"),"         pson  2110   4  15 ppm 1440 x 720 dpi            tray 150")</f>
        <v>         pson  2110   4  15 ppm 1440 x 720 dpi            tray 150</v>
      </c>
      <c r="G1178" s="10" t="str">
        <f>IFERROR(__xludf.DUMMYFUNCTION("TEXTJOIN(""|"",TRUE,UNIQUE(FILTER(SPLIT(F1178,"" ""),LEN(SPLIT(F1178,"" ""))&gt;2)))"),"pson|2110|ppm|1440|720|dpi|tray|150")</f>
        <v>pson|2110|ppm|1440|720|dpi|tray|150</v>
      </c>
      <c r="I1178" s="6"/>
      <c r="J1178" s="6"/>
    </row>
    <row r="1179">
      <c r="A1179" s="7"/>
      <c r="B1179" s="7"/>
      <c r="C1179" s="7" t="s">
        <v>3363</v>
      </c>
      <c r="D1179" s="8">
        <v>149259.0</v>
      </c>
      <c r="E1179" s="9">
        <v>1.0</v>
      </c>
      <c r="F1179" s="10" t="str">
        <f>IFERROR(__xludf.DUMMYFUNCTION("LOWER(REGEXREPLACE(B1179&amp;"" ""&amp;C1179,""[^а-яa-z0-9 ]"","" ""))"),"      pson  2110   4  15 ppm 1440 x 720 dpi            tray 151")</f>
        <v>      pson  2110   4  15 ppm 1440 x 720 dpi            tray 151</v>
      </c>
      <c r="G1179" s="10" t="str">
        <f>IFERROR(__xludf.DUMMYFUNCTION("TEXTJOIN(""|"",TRUE,UNIQUE(FILTER(SPLIT(F1179,"" ""),LEN(SPLIT(F1179,"" ""))&gt;2)))"),"pson|2110|ppm|1440|720|dpi|tray|151")</f>
        <v>pson|2110|ppm|1440|720|dpi|tray|151</v>
      </c>
      <c r="I1179" s="6"/>
      <c r="J1179" s="6"/>
    </row>
    <row r="1180">
      <c r="A1180" s="7"/>
      <c r="B1180" s="7"/>
      <c r="C1180" s="7" t="s">
        <v>3364</v>
      </c>
      <c r="D1180" s="8">
        <v>149259.0</v>
      </c>
      <c r="E1180" s="9">
        <v>1.0</v>
      </c>
      <c r="F1180" s="10" t="str">
        <f>IFERROR(__xludf.DUMMYFUNCTION("LOWER(REGEXREPLACE(B1180&amp;"" ""&amp;C1180,""[^а-яa-z0-9 ]"","" ""))"),"      pson  2110   4  15 ppm 1440 x 720 dpi            tray 152")</f>
        <v>      pson  2110   4  15 ppm 1440 x 720 dpi            tray 152</v>
      </c>
      <c r="G1180" s="10" t="str">
        <f>IFERROR(__xludf.DUMMYFUNCTION("TEXTJOIN(""|"",TRUE,UNIQUE(FILTER(SPLIT(F1180,"" ""),LEN(SPLIT(F1180,"" ""))&gt;2)))"),"pson|2110|ppm|1440|720|dpi|tray|152")</f>
        <v>pson|2110|ppm|1440|720|dpi|tray|152</v>
      </c>
      <c r="I1180" s="6"/>
      <c r="J1180" s="6"/>
    </row>
    <row r="1181">
      <c r="A1181" s="7"/>
      <c r="B1181" s="7"/>
      <c r="C1181" s="7" t="s">
        <v>3365</v>
      </c>
      <c r="D1181" s="8">
        <v>149259.0</v>
      </c>
      <c r="E1181" s="9">
        <v>1.0</v>
      </c>
      <c r="F1181" s="10" t="str">
        <f>IFERROR(__xludf.DUMMYFUNCTION("LOWER(REGEXREPLACE(B1181&amp;"" ""&amp;C1181,""[^а-яa-z0-9 ]"","" ""))"),"      pson  2110   4  15 ppm 1440 x 720 dpi            tray 153")</f>
        <v>      pson  2110   4  15 ppm 1440 x 720 dpi            tray 153</v>
      </c>
      <c r="G1181" s="10" t="str">
        <f>IFERROR(__xludf.DUMMYFUNCTION("TEXTJOIN(""|"",TRUE,UNIQUE(FILTER(SPLIT(F1181,"" ""),LEN(SPLIT(F1181,"" ""))&gt;2)))"),"pson|2110|ppm|1440|720|dpi|tray|153")</f>
        <v>pson|2110|ppm|1440|720|dpi|tray|153</v>
      </c>
      <c r="I1181" s="6"/>
      <c r="J1181" s="6"/>
    </row>
    <row r="1182">
      <c r="A1182" s="7"/>
      <c r="B1182" s="7"/>
      <c r="C1182" s="7" t="s">
        <v>3366</v>
      </c>
      <c r="D1182" s="8">
        <v>149259.0</v>
      </c>
      <c r="E1182" s="9">
        <v>1.0</v>
      </c>
      <c r="F1182" s="10" t="str">
        <f>IFERROR(__xludf.DUMMYFUNCTION("LOWER(REGEXREPLACE(B1182&amp;"" ""&amp;C1182,""[^а-яa-z0-9 ]"","" ""))"),"      pson  2110   4  15 ppm 1440 x 720 dpi            tray 154")</f>
        <v>      pson  2110   4  15 ppm 1440 x 720 dpi            tray 154</v>
      </c>
      <c r="G1182" s="10" t="str">
        <f>IFERROR(__xludf.DUMMYFUNCTION("TEXTJOIN(""|"",TRUE,UNIQUE(FILTER(SPLIT(F1182,"" ""),LEN(SPLIT(F1182,"" ""))&gt;2)))"),"pson|2110|ppm|1440|720|dpi|tray|154")</f>
        <v>pson|2110|ppm|1440|720|dpi|tray|154</v>
      </c>
      <c r="I1182" s="6"/>
      <c r="J1182" s="6"/>
    </row>
    <row r="1183">
      <c r="A1183" s="12" t="s">
        <v>3367</v>
      </c>
      <c r="B1183" s="7" t="s">
        <v>3368</v>
      </c>
      <c r="C1183" s="7" t="s">
        <v>3369</v>
      </c>
      <c r="D1183" s="8">
        <v>477540.0</v>
      </c>
      <c r="E1183" s="9">
        <v>8.0</v>
      </c>
      <c r="F1183" s="10" t="str">
        <f>IFERROR(__xludf.DUMMYFUNCTION("LOWER(REGEXREPLACE(B1183&amp;"" ""&amp;C1183,""[^а-яa-z0-9 ]"","" ""))")," оноблок   оноблок  vtech  40   ntel   ore  i3 10100 частота 3 60 4 30   z 4 ядра 8 потоков   ntel     raphics 630         4 8           256    indows 10 11")</f>
        <v> оноблок   оноблок  vtech  40   ntel   ore  i3 10100 частота 3 60 4 30   z 4 ядра 8 потоков   ntel     raphics 630         4 8           256    indows 10 11</v>
      </c>
      <c r="G1183" s="10" t="str">
        <f>IFERROR(__xludf.DUMMYFUNCTION("TEXTJOIN(""|"",TRUE,UNIQUE(FILTER(SPLIT(F1183,"" ""),LEN(SPLIT(F1183,"" ""))&gt;2)))"),"оноблок|оноблок|vtech|ntel|ore|10100|частота|ядра|потоков|ntel|raphics|630|256|indows")</f>
        <v>оноблок|оноблок|vtech|ntel|ore|10100|частота|ядра|потоков|ntel|raphics|630|256|indows</v>
      </c>
      <c r="I1183" s="6"/>
      <c r="J1183" s="6"/>
    </row>
    <row r="1184">
      <c r="A1184" s="12" t="s">
        <v>3370</v>
      </c>
      <c r="B1184" s="12" t="s">
        <v>3371</v>
      </c>
      <c r="C1184" s="7" t="s">
        <v>3372</v>
      </c>
      <c r="D1184" s="8">
        <v>255000.0</v>
      </c>
      <c r="E1184" s="9">
        <v>2.0</v>
      </c>
      <c r="F1184" s="10" t="str">
        <f>IFERROR(__xludf.DUMMYFUNCTION("LOWER(REGEXREPLACE(B1184&amp;"" ""&amp;C1184,""[^а-яa-z0-9 ]"","" ""))"),"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музыкальн"&amp;"ых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f>
        <v>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v>
      </c>
      <c r="G1184" s="10" t="str">
        <f>IFERROR(__xludf.DUMMYFUNCTION("TEXTJOIN(""|"",TRUE,UNIQUE(FILTER(SPLIT(F1184,"" ""),LEN(SPLIT(F1184,"" ""))&gt;2)))"),"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amp;"в|подвижных|игр|мероприятий|онструкция|обеспечивает|мобильность|устойчивость|удобство|перемещения|ксплуатируется|взрослыми|сотрудниками")</f>
        <v>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в|подвижных|игр|мероприятий|онструкция|обеспечивает|мобильность|устойчивость|удобство|перемещения|ксплуатируется|взрослыми|сотрудниками</v>
      </c>
      <c r="I1184" s="6"/>
      <c r="J1184" s="6"/>
    </row>
    <row r="1185">
      <c r="A1185" s="12" t="s">
        <v>3373</v>
      </c>
      <c r="B1185" s="7" t="s">
        <v>3374</v>
      </c>
      <c r="C1185" s="7" t="s">
        <v>3375</v>
      </c>
      <c r="D1185" s="8">
        <v>1487200.0</v>
      </c>
      <c r="E1185" s="9">
        <v>1.0</v>
      </c>
      <c r="F1185" s="10" t="str">
        <f>IFERROR(__xludf.DUMMYFUNCTION("LOWER(REGEXREPLACE(B1185&amp;"" ""&amp;C1185,""[^а-яa-z0-9 ]"","" ""))")," ясорубка epa 22t  ромированный   o 22   местимость  400кг  380     ощность  1 1 k    азмеры 36x78x52 см")</f>
        <v> ясорубка epa 22t  ромированный   o 22   местимость  400кг  380     ощность  1 1 k    азмеры 36x78x52 см</v>
      </c>
      <c r="G1185" s="10" t="str">
        <f>IFERROR(__xludf.DUMMYFUNCTION("TEXTJOIN(""|"",TRUE,UNIQUE(FILTER(SPLIT(F1185,"" ""),LEN(SPLIT(F1185,"" ""))&gt;2)))"),"ясорубка|epa|22t|ромированный|местимость|400кг|380|ощность|азмеры|36x78x52")</f>
        <v>ясорубка|epa|22t|ромированный|местимость|400кг|380|ощность|азмеры|36x78x52</v>
      </c>
      <c r="I1185" s="6"/>
      <c r="J1185" s="6"/>
    </row>
    <row r="1186">
      <c r="A1186" s="12" t="s">
        <v>3376</v>
      </c>
      <c r="B1186" s="7" t="s">
        <v>3377</v>
      </c>
      <c r="C1186" s="7" t="s">
        <v>3378</v>
      </c>
      <c r="D1186" s="8">
        <v>5100.0</v>
      </c>
      <c r="E1186" s="9">
        <v>5.0</v>
      </c>
      <c r="F1186" s="10" t="str">
        <f>IFERROR(__xludf.DUMMYFUNCTION("LOWER(REGEXREPLACE(B1186&amp;"" ""&amp;C1186,""[^а-яa-z0-9 ]"","" ""))"),"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и"&amp;" безопасное восприятие звука ")</f>
        <v>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 безопасное восприятие звука </v>
      </c>
      <c r="G1186" s="10" t="str">
        <f>IFERROR(__xludf.DUMMYFUNCTION("TEXTJOIN(""|"",TRUE,UNIQUE(FILTER(SPLIT(F1186,"" ""),LEN(SPLIT(F1186,"" ""))&gt;2)))"),"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amp;"сприятие|звука")</f>
        <v>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сприятие|звука</v>
      </c>
      <c r="I1186" s="6"/>
      <c r="J1186" s="6"/>
    </row>
    <row r="1187">
      <c r="A1187" s="12" t="s">
        <v>3379</v>
      </c>
      <c r="B1187" s="7" t="s">
        <v>3380</v>
      </c>
      <c r="C1187" s="7" t="s">
        <v>3381</v>
      </c>
      <c r="D1187" s="8">
        <v>732186.0</v>
      </c>
      <c r="E1187" s="9">
        <v>20.0</v>
      </c>
      <c r="F1187" s="10" t="str">
        <f>IFERROR(__xludf.DUMMYFUNCTION("LOWER(REGEXREPLACE(B1187&amp;"" ""&amp;C1187,""[^а-яa-z0-9 ]"","" ""))")," оутбук  оутбук       1502      ore i7 1355  15 6     8   256        ntel            am  11 ro")</f>
        <v> оутбук  оутбук       1502      ore i7 1355  15 6     8   256        ntel            am  11 ro</v>
      </c>
      <c r="G1187" s="10" t="str">
        <f>IFERROR(__xludf.DUMMYFUNCTION("TEXTJOIN(""|"",TRUE,UNIQUE(FILTER(SPLIT(F1187,"" ""),LEN(SPLIT(F1187,"" ""))&gt;2)))"),"оутбук|оутбук|1502|ore|1355|256|ntel")</f>
        <v>оутбук|оутбук|1502|ore|1355|256|ntel</v>
      </c>
      <c r="I1187" s="6"/>
      <c r="J1187" s="6"/>
    </row>
    <row r="1188">
      <c r="A1188" s="12" t="s">
        <v>3382</v>
      </c>
      <c r="B1188" s="7" t="s">
        <v>3383</v>
      </c>
      <c r="C1188" s="7" t="s">
        <v>3384</v>
      </c>
      <c r="D1188" s="8">
        <v>25800.0</v>
      </c>
      <c r="E1188" s="9">
        <v>4.0</v>
      </c>
      <c r="F1188" s="10" t="str">
        <f>IFERROR(__xludf.DUMMYFUNCTION("LOWER(REGEXREPLACE(B1188&amp;"" ""&amp;C1188,""[^а-яa-z0-9 ]"","" ""))")," свещение для вытяжки ce dla90  ержавеющая сталь 430  0 03 к т    араметры  880x30x40 mm")</f>
        <v> свещение для вытяжки ce dla90  ержавеющая сталь 430  0 03 к т    араметры  880x30x40 mm</v>
      </c>
      <c r="G1188" s="10" t="str">
        <f>IFERROR(__xludf.DUMMYFUNCTION("TEXTJOIN(""|"",TRUE,UNIQUE(FILTER(SPLIT(F1188,"" ""),LEN(SPLIT(F1188,"" ""))&gt;2)))"),"свещение|для|вытяжки|dla90|ержавеющая|сталь|430|араметры|880x30x40")</f>
        <v>свещение|для|вытяжки|dla90|ержавеющая|сталь|430|араметры|880x30x40</v>
      </c>
      <c r="I1188" s="6"/>
      <c r="J1188" s="6"/>
    </row>
    <row r="1189">
      <c r="A1189" s="12" t="s">
        <v>3385</v>
      </c>
      <c r="B1189" s="7" t="s">
        <v>3386</v>
      </c>
      <c r="C1189" s="7" t="s">
        <v>3387</v>
      </c>
      <c r="D1189" s="8">
        <v>161900.0</v>
      </c>
      <c r="E1189" s="9">
        <v>26.0</v>
      </c>
      <c r="F1189" s="10" t="str">
        <f>IFERROR(__xludf.DUMMYFUNCTION("LOWER(REGEXREPLACE(B1189&amp;"" ""&amp;C1189,""[^а-яa-z0-9 ]"","" ""))")," чиститель воздуха  чиститель воздуха  martmi  ir  urifier  2 ")</f>
        <v> чиститель воздуха  чиститель воздуха  martmi  ir  urifier  2 </v>
      </c>
      <c r="G1189" s="10" t="str">
        <f>IFERROR(__xludf.DUMMYFUNCTION("TEXTJOIN(""|"",TRUE,UNIQUE(FILTER(SPLIT(F1189,"" ""),LEN(SPLIT(F1189,"" ""))&gt;2)))"),"чиститель|воздуха|чиститель|воздуха|martmi|urifier")</f>
        <v>чиститель|воздуха|чиститель|воздуха|martmi|urifier</v>
      </c>
      <c r="I1189" s="6"/>
      <c r="J1189" s="6"/>
    </row>
    <row r="1190">
      <c r="A1190" s="12" t="s">
        <v>3388</v>
      </c>
      <c r="B1190" s="7" t="s">
        <v>3389</v>
      </c>
      <c r="C1190" s="7" t="s">
        <v>3390</v>
      </c>
      <c r="D1190" s="8">
        <v>542300.0</v>
      </c>
      <c r="E1190" s="9">
        <v>1.0</v>
      </c>
      <c r="F1190" s="10" t="str">
        <f>IFERROR(__xludf.DUMMYFUNCTION("LOWER(REGEXREPLACE(B1190&amp;"" ""&amp;C1190,""[^а-яa-z0-9 ]"","" ""))")," арогенератор с утюгом baby 1 8  учная подача воды   бъем  1 8 л  230 1 50  ц   азмеры  400x230x320 мм")</f>
        <v> арогенератор с утюгом baby 1 8  учная подача воды   бъем  1 8 л  230 1 50  ц   азмеры  400x230x320 мм</v>
      </c>
      <c r="G1190" s="10" t="str">
        <f>IFERROR(__xludf.DUMMYFUNCTION("TEXTJOIN(""|"",TRUE,UNIQUE(FILTER(SPLIT(F1190,"" ""),LEN(SPLIT(F1190,"" ""))&gt;2)))"),"арогенератор|утюгом|baby|учная|подача|воды|бъем|230|азмеры|400x230x320")</f>
        <v>арогенератор|утюгом|baby|учная|подача|воды|бъем|230|азмеры|400x230x320</v>
      </c>
      <c r="I1190" s="6"/>
      <c r="J1190" s="6"/>
    </row>
    <row r="1191">
      <c r="A1191" s="12" t="s">
        <v>3391</v>
      </c>
      <c r="B1191" s="7" t="s">
        <v>3392</v>
      </c>
      <c r="C1191" s="7" t="s">
        <v>3393</v>
      </c>
      <c r="D1191" s="8">
        <v>1.279E7</v>
      </c>
      <c r="E1191" s="9">
        <v>1.0</v>
      </c>
      <c r="F1191" s="10" t="str">
        <f>IFERROR(__xludf.DUMMYFUNCTION("LOWER(REGEXREPLACE(B1191&amp;"" ""&amp;C1191,""[^а-яa-z0-9 ]"","" ""))"),"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f>
        <v>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v>
      </c>
      <c r="G1191" s="10" t="str">
        <f>IFERROR(__xludf.DUMMYFUNCTION("TEXTJOIN(""|"",TRUE,UNIQUE(FILTER(SPLIT(F1191,"" ""),LEN(SPLIT(F1191,"" ""))&gt;2)))"),"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f>
        <v>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v>
      </c>
      <c r="I1191" s="6"/>
      <c r="J1191" s="6"/>
    </row>
    <row r="1192">
      <c r="A1192" s="12" t="s">
        <v>3394</v>
      </c>
      <c r="B1192" s="7" t="s">
        <v>3395</v>
      </c>
      <c r="C1192" s="7" t="s">
        <v>3396</v>
      </c>
      <c r="D1192" s="8">
        <v>2021600.0</v>
      </c>
      <c r="E1192" s="9">
        <v>2.0</v>
      </c>
      <c r="F1192" s="10" t="str">
        <f>IFERROR(__xludf.DUMMYFUNCTION("LOWER(REGEXREPLACE(B1192&amp;"" ""&amp;C1192,""[^а-яa-z0-9 ]"","" ""))")," лита электрическая vpe7 07 6 конфорок  0 84 м3   ощность  15 6 к т 400     абариты  1200х700х300 мм")</f>
        <v> лита электрическая vpe7 07 6 конфорок  0 84 м3   ощность  15 6 к т 400     абариты  1200х700х300 мм</v>
      </c>
      <c r="G1192" s="10" t="str">
        <f>IFERROR(__xludf.DUMMYFUNCTION("TEXTJOIN(""|"",TRUE,UNIQUE(FILTER(SPLIT(F1192,"" ""),LEN(SPLIT(F1192,"" ""))&gt;2)))"),"лита|электрическая|vpe7|конфорок|ощность|400|абариты|1200х700х300")</f>
        <v>лита|электрическая|vpe7|конфорок|ощность|400|абариты|1200х700х300</v>
      </c>
      <c r="I1192" s="6"/>
      <c r="J1192" s="6"/>
    </row>
    <row r="1193">
      <c r="A1193" s="12" t="s">
        <v>3397</v>
      </c>
      <c r="B1193" s="7" t="s">
        <v>3398</v>
      </c>
      <c r="C1193" s="7" t="s">
        <v>3399</v>
      </c>
      <c r="D1193" s="8">
        <v>2129700.0</v>
      </c>
      <c r="E1193" s="9">
        <v>1.0</v>
      </c>
      <c r="F1193" s="10" t="str">
        <f>IFERROR(__xludf.DUMMYFUNCTION("LOWER(REGEXREPLACE(B1193&amp;"" ""&amp;C1193,""[^а-яa-z0-9 ]"","" ""))"),"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родо"&amp;"лжительность программ  1  1 5 и 2 мин    роизводительность  1000 тарелок час  40 корзин час")</f>
        <v>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родолжительность программ  1  1 5 и 2 мин    роизводительность  1000 тарелок час  40 корзин час</v>
      </c>
      <c r="G1193" s="10" t="str">
        <f>IFERROR(__xludf.DUMMYFUNCTION("TEXTJOIN(""|"",TRUE,UNIQUE(FILTER(SPLIT(F1193,"" ""),LEN(SPLIT(F1193,"" ""))&gt;2)))"),"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amp;"ь|1000|тарелок|час|корзин|час")</f>
        <v>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ь|1000|тарелок|час|корзин|час</v>
      </c>
      <c r="I1193" s="6"/>
      <c r="J1193" s="6"/>
    </row>
    <row r="1194">
      <c r="A1194" s="12" t="s">
        <v>3400</v>
      </c>
      <c r="B1194" s="7" t="s">
        <v>3401</v>
      </c>
      <c r="C1194" s="14" t="s">
        <v>3402</v>
      </c>
      <c r="D1194" s="8">
        <v>153106.0</v>
      </c>
      <c r="E1194" s="9">
        <v>13.0</v>
      </c>
      <c r="F1194" s="10" t="str">
        <f>IFERROR(__xludf.DUMMYFUNCTION("LOWER(REGEXREPLACE(B1194&amp;"" ""&amp;C1194,""[^а-яa-z0-9 ]"","" ""))")," ылесос  ылесос индустриальный")</f>
        <v> ылесос  ылесос индустриальный</v>
      </c>
      <c r="G1194" s="10" t="str">
        <f>IFERROR(__xludf.DUMMYFUNCTION("TEXTJOIN(""|"",TRUE,UNIQUE(FILTER(SPLIT(F1194,"" ""),LEN(SPLIT(F1194,"" ""))&gt;2)))"),"ылесос|ылесос|индустриальный")</f>
        <v>ылесос|ылесос|индустриальный</v>
      </c>
      <c r="I1194" s="6"/>
      <c r="J1194" s="6"/>
    </row>
    <row r="1195">
      <c r="A1195" s="12" t="s">
        <v>3403</v>
      </c>
      <c r="B1195" s="7" t="s">
        <v>3404</v>
      </c>
      <c r="C1195" s="7" t="s">
        <v>3405</v>
      </c>
      <c r="D1195" s="8">
        <v>88400.0</v>
      </c>
      <c r="E1195" s="9">
        <v>45.0</v>
      </c>
      <c r="F1195" s="10" t="str">
        <f>IFERROR(__xludf.DUMMYFUNCTION("LOWER(REGEXREPLACE(B1195&amp;"" ""&amp;C1195,""[^а-яa-z0-9 ]"","" ""))")," ециркулятор                                         2х15     825х155х130мм  без подставки   асса без упаковки  кг  7")</f>
        <v> ециркулятор                                         2х15     825х155х130мм  без подставки   асса без упаковки  кг  7</v>
      </c>
      <c r="G1195" s="10" t="str">
        <f>IFERROR(__xludf.DUMMYFUNCTION("TEXTJOIN(""|"",TRUE,UNIQUE(FILTER(SPLIT(F1195,"" ""),LEN(SPLIT(F1195,"" ""))&gt;2)))"),"ециркулятор|2х15|825х155х130мм|без|подставки|асса|без|упаковки")</f>
        <v>ециркулятор|2х15|825х155х130мм|без|подставки|асса|без|упаковки</v>
      </c>
      <c r="I1195" s="6"/>
      <c r="J1195" s="6"/>
    </row>
    <row r="1196">
      <c r="A1196" s="12" t="s">
        <v>3406</v>
      </c>
      <c r="B1196" s="7" t="s">
        <v>3407</v>
      </c>
      <c r="C1196" s="7" t="s">
        <v>3408</v>
      </c>
      <c r="D1196" s="8">
        <v>5415.0</v>
      </c>
      <c r="E1196" s="9">
        <v>60.0</v>
      </c>
      <c r="F1196" s="10" t="str">
        <f>IFERROR(__xludf.DUMMYFUNCTION("LOWER(REGEXREPLACE(B1196&amp;"" ""&amp;C1196,""[^а-яa-z0-9 ]"","" ""))")," етевой фильтр 5 м   етевой фильтр  rip  ite  uper 6      6 розеток  5м")</f>
        <v> етевой фильтр 5 м   етевой фильтр  rip  ite  uper 6      6 розеток  5м</v>
      </c>
      <c r="G1196" s="10" t="str">
        <f>IFERROR(__xludf.DUMMYFUNCTION("TEXTJOIN(""|"",TRUE,UNIQUE(FILTER(SPLIT(F1196,"" ""),LEN(SPLIT(F1196,"" ""))&gt;2)))"),"етевой|фильтр|етевой|фильтр|rip|ite|uper|розеток")</f>
        <v>етевой|фильтр|етевой|фильтр|rip|ite|uper|розеток</v>
      </c>
      <c r="I1196" s="6"/>
      <c r="J1196" s="6"/>
    </row>
    <row r="1197">
      <c r="A1197" s="12" t="s">
        <v>3409</v>
      </c>
      <c r="B1197" s="7" t="s">
        <v>3410</v>
      </c>
      <c r="C1197" s="7" t="s">
        <v>3411</v>
      </c>
      <c r="D1197" s="8">
        <v>3143000.0</v>
      </c>
      <c r="E1197" s="9">
        <v>1.0</v>
      </c>
      <c r="F1197" s="10" t="str">
        <f>IFERROR(__xludf.DUMMYFUNCTION("LOWER(REGEXREPLACE(B1197&amp;"" ""&amp;C1197,""[^а-яa-z0-9 ]"","" ""))")," коворода опрокидываемая электрическая vpe7 22  емпература  50 230     бъем  50 л    ощность  7 2 к т   апряжение  400     абариты  700x800x850 мм")</f>
        <v> коворода опрокидываемая электрическая vpe7 22  емпература  50 230     бъем  50 л    ощность  7 2 к т   апряжение  400     абариты  700x800x850 мм</v>
      </c>
      <c r="G1197" s="10" t="str">
        <f>IFERROR(__xludf.DUMMYFUNCTION("TEXTJOIN(""|"",TRUE,UNIQUE(FILTER(SPLIT(F1197,"" ""),LEN(SPLIT(F1197,"" ""))&gt;2)))"),"коворода|опрокидываемая|электрическая|vpe7|емпература|230|бъем|ощность|апряжение|400|абариты|700x800x850")</f>
        <v>коворода|опрокидываемая|электрическая|vpe7|емпература|230|бъем|ощность|апряжение|400|абариты|700x800x850</v>
      </c>
      <c r="I1197" s="6"/>
      <c r="J1197" s="6"/>
    </row>
    <row r="1198">
      <c r="A1198" s="12" t="s">
        <v>3412</v>
      </c>
      <c r="B1198" s="7" t="s">
        <v>3413</v>
      </c>
      <c r="C1198" s="7" t="s">
        <v>3414</v>
      </c>
      <c r="D1198" s="8">
        <v>919100.0</v>
      </c>
      <c r="E1198" s="9">
        <v>1.0</v>
      </c>
      <c r="F1198" s="10" t="str">
        <f>IFERROR(__xludf.DUMMYFUNCTION("LOWER(REGEXREPLACE(B1198&amp;"" ""&amp;C1198,""[^а-яa-z0-9 ]"","" ""))"),"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f>
        <v>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v>
      </c>
      <c r="G1198" s="10" t="str">
        <f>IFERROR(__xludf.DUMMYFUNCTION("TEXTJOIN(""|"",TRUE,UNIQUE(FILTER(SPLIT(F1198,"" ""),LEN(SPLIT(F1198,"" ""))&gt;2)))"),"лайсер|250|орпус|нержавеющей|стали|зготовлен|анодированного|алюминия|иаметр|лезвия|250|лектрическое|подключение|220|ощность|азмеры|535x475x490")</f>
        <v>лайсер|250|орпус|нержавеющей|стали|зготовлен|анодированного|алюминия|иаметр|лезвия|250|лектрическое|подключение|220|ощность|азмеры|535x475x490</v>
      </c>
      <c r="I1198" s="6"/>
      <c r="J1198" s="6"/>
    </row>
    <row r="1199">
      <c r="A1199" s="12" t="s">
        <v>3415</v>
      </c>
      <c r="B1199" s="7" t="s">
        <v>3416</v>
      </c>
      <c r="C1199" s="7" t="s">
        <v>3417</v>
      </c>
      <c r="D1199" s="8">
        <v>231000.0</v>
      </c>
      <c r="E1199" s="9">
        <v>3.0</v>
      </c>
      <c r="F1199" s="10" t="str">
        <f>IFERROR(__xludf.DUMMYFUNCTION("LOWER(REGEXREPLACE(B1199&amp;"" ""&amp;C1199,""[^а-яa-z0-9 ]"","" ""))")," терилизатор ножей vbs 10  местимость  10 ножей  0 02 к т   230     льтрафиолет   аймер 0 90 мин   азмеры  500x117x600мм")</f>
        <v> терилизатор ножей vbs 10  местимость  10 ножей  0 02 к т   230     льтрафиолет   аймер 0 90 мин   азмеры  500x117x600мм</v>
      </c>
      <c r="G1199" s="10" t="str">
        <f>IFERROR(__xludf.DUMMYFUNCTION("TEXTJOIN(""|"",TRUE,UNIQUE(FILTER(SPLIT(F1199,"" ""),LEN(SPLIT(F1199,"" ""))&gt;2)))"),"терилизатор|ножей|vbs|местимость|ножей|230|льтрафиолет|аймер|мин|азмеры|500x117x600мм")</f>
        <v>терилизатор|ножей|vbs|местимость|ножей|230|льтрафиолет|аймер|мин|азмеры|500x117x600мм</v>
      </c>
      <c r="I1199" s="6"/>
      <c r="J1199" s="6"/>
    </row>
    <row r="1200">
      <c r="A1200" s="12" t="s">
        <v>3418</v>
      </c>
      <c r="B1200" s="7" t="s">
        <v>3419</v>
      </c>
      <c r="C1200" s="7" t="s">
        <v>3420</v>
      </c>
      <c r="D1200" s="8">
        <v>676600.0</v>
      </c>
      <c r="E1200" s="9">
        <v>1.0</v>
      </c>
      <c r="F1200" s="10" t="str">
        <f>IFERROR(__xludf.DUMMYFUNCTION("LOWER(REGEXREPLACE(B1200&amp;"" ""&amp;C1200,""[^а-яa-z0-9 ]"","" ""))"),"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менее"&amp;" 94 38 см   редусмотрена регулировка угла наклона и складная конструкция   ассчитана на пользователей с массой тела до 90 кг ")</f>
        <v>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 94 38 см   редусмотрена регулировка угла наклона и складная конструкция   ассчитана на пользователей с массой тела до 90 кг </v>
      </c>
      <c r="G1200" s="10" t="str">
        <f>IFERROR(__xludf.DUMMYFUNCTION("TEXTJOIN(""|"",TRUE,UNIQUE(FILTER(SPLIT(F1200,"" ""),LEN(SPLIT(F1200,"" ""))&gt;2)))"),"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amp;"а|складная|конструкция|ассчитана|пользователей|массой|тела")</f>
        <v>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а|складная|конструкция|ассчитана|пользователей|массой|тела</v>
      </c>
      <c r="I1200" s="6"/>
      <c r="J1200" s="6"/>
    </row>
    <row r="1201">
      <c r="A1201" s="12" t="s">
        <v>3421</v>
      </c>
      <c r="B1201" s="7" t="s">
        <v>3422</v>
      </c>
      <c r="C1201" s="7"/>
      <c r="D1201" s="8">
        <v>7357700.0</v>
      </c>
      <c r="E1201" s="9">
        <v>1.0</v>
      </c>
      <c r="F1201" s="10" t="str">
        <f>IFERROR(__xludf.DUMMYFUNCTION("LOWER(REGEXREPLACE(B1201&amp;"" ""&amp;C1201,""[^а-яa-z0-9 ]"","" ""))")," тиральная машина   сушильная машина qps10 ")</f>
        <v> тиральная машина   сушильная машина qps10 </v>
      </c>
      <c r="G1201" s="10" t="str">
        <f>IFERROR(__xludf.DUMMYFUNCTION("TEXTJOIN(""|"",TRUE,UNIQUE(FILTER(SPLIT(F1201,"" ""),LEN(SPLIT(F1201,"" ""))&gt;2)))"),"тиральная|машина|сушильная|машина|qps10")</f>
        <v>тиральная|машина|сушильная|машина|qps10</v>
      </c>
      <c r="I1201" s="6"/>
      <c r="J1201" s="6"/>
    </row>
    <row r="1202">
      <c r="A1202" s="12" t="s">
        <v>3423</v>
      </c>
      <c r="B1202" s="7" t="s">
        <v>3424</v>
      </c>
      <c r="C1202" s="7" t="s">
        <v>3425</v>
      </c>
      <c r="D1202" s="8">
        <v>1.84285E7</v>
      </c>
      <c r="E1202" s="9">
        <v>1.0</v>
      </c>
      <c r="F1202" s="10" t="str">
        <f>IFERROR(__xludf.DUMMYFUNCTION("LOWER(REGEXREPLACE(B1202&amp;"" ""&amp;C1202,""[^а-яa-z0-9 ]"","" ""))"),"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"&amp;"z 3 h  ")</f>
        <v>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z 3 h  </v>
      </c>
      <c r="G1202" s="10" t="str">
        <f>IFERROR(__xludf.DUMMYFUNCTION("TEXTJOIN(""|"",TRUE,UNIQUE(FILTER(SPLIT(F1202,"" ""),LEN(SPLIT(F1202,"" ""))&gt;2)))"),"тиральная|машина|240|местимость|бъем|барабана|240|актор|400|иаметр|барабана|750|бороты|стирки|rpm|бороты|отжима|980|rpm|100|горячая|вода|нагрев|лектрический|нагрев|380|415")</f>
        <v>тиральная|машина|240|местимость|бъем|барабана|240|актор|400|иаметр|барабана|750|бороты|стирки|rpm|бороты|отжима|980|rpm|100|горячая|вода|нагрев|лектрический|нагрев|380|415</v>
      </c>
      <c r="I1202" s="6"/>
      <c r="J1202" s="6"/>
    </row>
    <row r="1203">
      <c r="A1203" s="12" t="s">
        <v>3426</v>
      </c>
      <c r="B1203" s="7" t="s">
        <v>3427</v>
      </c>
      <c r="C1203" s="7" t="s">
        <v>3428</v>
      </c>
      <c r="D1203" s="8">
        <v>6783700.0</v>
      </c>
      <c r="E1203" s="9">
        <v>1.0</v>
      </c>
      <c r="F1203" s="10" t="str">
        <f>IFERROR(__xludf.DUMMYFUNCTION("LOWER(REGEXREPLACE(B1203&amp;"" ""&amp;C1203,""[^а-яa-z0-9 ]"","" ""))"),"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f>
        <v>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v>
      </c>
      <c r="G1203" s="10" t="str">
        <f>IFERROR(__xludf.DUMMYFUNCTION("TEXTJOIN(""|"",TRUE,UNIQUE(FILTER(SPLIT(F1203,"" ""),LEN(SPLIT(F1203,"" ""))&gt;2)))"),"ушильная|машина|местимость|бъем|барабана|530|иаметр|барабана|930|редняя|скорость|сушки|384|мин|лектрическая|мощность|380|415|фазы|азмеры|1975x965x1270")</f>
        <v>ушильная|машина|местимость|бъем|барабана|530|иаметр|барабана|930|редняя|скорость|сушки|384|мин|лектрическая|мощность|380|415|фазы|азмеры|1975x965x1270</v>
      </c>
      <c r="I1203" s="6"/>
      <c r="J1203" s="6"/>
    </row>
    <row r="1204">
      <c r="A1204" s="12" t="s">
        <v>3429</v>
      </c>
      <c r="B1204" s="7" t="s">
        <v>3430</v>
      </c>
      <c r="C1204" s="7" t="s">
        <v>3431</v>
      </c>
      <c r="D1204" s="8">
        <v>1.56246E7</v>
      </c>
      <c r="E1204" s="9">
        <v>1.0</v>
      </c>
      <c r="F1204" s="10" t="str">
        <f>IFERROR(__xludf.DUMMYFUNCTION("LOWER(REGEXREPLACE(B1204&amp;"" ""&amp;C1204,""[^а-яa-z0-9 ]"","" ""))"),"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кг"&amp;" ч")</f>
        <v>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 ч</v>
      </c>
      <c r="G1204" s="10" t="str">
        <f>IFERROR(__xludf.DUMMYFUNCTION("TEXTJOIN(""|"",TRUE,UNIQUE(FILTER(SPLIT(F1204,"" ""),LEN(SPLIT(F1204,"" ""))&gt;2)))"),"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f>
        <v>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v>
      </c>
      <c r="I1204" s="6"/>
      <c r="J1204" s="6"/>
    </row>
    <row r="1205">
      <c r="A1205" s="12" t="s">
        <v>3432</v>
      </c>
      <c r="B1205" s="7" t="s">
        <v>3433</v>
      </c>
      <c r="C1205" s="7" t="s">
        <v>3434</v>
      </c>
      <c r="D1205" s="8">
        <v>1487200.0</v>
      </c>
      <c r="E1205" s="9">
        <v>1.0</v>
      </c>
      <c r="F1205" s="10" t="str">
        <f>IFERROR(__xludf.DUMMYFUNCTION("LOWER(REGEXREPLACE(B1205&amp;"" ""&amp;C1205,""[^а-яa-z0-9 ]"","" ""))")," естомес hym 600t  местимость  мука вода   25 кг   20 л   отел  o600x290 мм   азмеры  70x100x104 см  380     рехфазный    ощность  1 1 к т")</f>
        <v> естомес hym 600t  местимость  мука вода   25 кг   20 л   отел  o600x290 мм   азмеры  70x100x104 см  380     рехфазный    ощность  1 1 к т</v>
      </c>
      <c r="G1205" s="10" t="str">
        <f>IFERROR(__xludf.DUMMYFUNCTION("TEXTJOIN(""|"",TRUE,UNIQUE(FILTER(SPLIT(F1205,"" ""),LEN(SPLIT(F1205,"" ""))&gt;2)))"),"естомес|hym|600t|местимость|мука|вода|отел|o600x290|азмеры|70x100x104|380|рехфазный|ощность")</f>
        <v>естомес|hym|600t|местимость|мука|вода|отел|o600x290|азмеры|70x100x104|380|рехфазный|ощность</v>
      </c>
      <c r="I1205" s="6"/>
      <c r="J1205" s="6"/>
    </row>
    <row r="1206">
      <c r="A1206" s="12" t="s">
        <v>3435</v>
      </c>
      <c r="B1206" s="7" t="s">
        <v>3436</v>
      </c>
      <c r="C1206" s="7" t="s">
        <v>3437</v>
      </c>
      <c r="D1206" s="8">
        <v>136000.0</v>
      </c>
      <c r="E1206" s="9">
        <v>26.0</v>
      </c>
      <c r="F1206" s="10" t="str">
        <f>IFERROR(__xludf.DUMMYFUNCTION("LOWER(REGEXREPLACE(B1206&amp;"" ""&amp;C1206,""[^а-яa-z0-9 ]"","" ""))")," влажнитель воздуха  влажнитель воздуха  edmond     3316")</f>
        <v> влажнитель воздуха  влажнитель воздуха  edmond     3316</v>
      </c>
      <c r="G1206" s="10" t="str">
        <f>IFERROR(__xludf.DUMMYFUNCTION("TEXTJOIN(""|"",TRUE,UNIQUE(FILTER(SPLIT(F1206,"" ""),LEN(SPLIT(F1206,"" ""))&gt;2)))"),"влажнитель|воздуха|влажнитель|воздуха|edmond|3316")</f>
        <v>влажнитель|воздуха|влажнитель|воздуха|edmond|3316</v>
      </c>
      <c r="I1206" s="6"/>
      <c r="J1206" s="6"/>
    </row>
    <row r="1207">
      <c r="A1207" s="12" t="s">
        <v>3438</v>
      </c>
      <c r="B1207" s="7" t="s">
        <v>3439</v>
      </c>
      <c r="C1207" s="7" t="s">
        <v>3440</v>
      </c>
      <c r="D1207" s="8">
        <v>153000.0</v>
      </c>
      <c r="E1207" s="9">
        <v>1.0</v>
      </c>
      <c r="F1207" s="10" t="str">
        <f>IFERROR(__xludf.DUMMYFUNCTION("LOWER(REGEXREPLACE(B1207&amp;"" ""&amp;C1207,""[^а-яa-z0-9 ]"","" ""))"),"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п"&amp;"одходит для регулярного офисного использования   онструкция безопасна в эксплуатации  проста в обслуживании  размещается в рабочей зоне персонала ")</f>
        <v>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подходит для регулярного офисного использования   онструкция безопасна в эксплуатации  проста в обслуживании  размещается в рабочей зоне персонала </v>
      </c>
      <c r="G1207" s="10" t="str">
        <f>IFERROR(__xludf.DUMMYFUNCTION("TEXTJOIN(""|"",TRUE,UNIQUE(FILTER(SPLIT(F1207,"" ""),LEN(SPLIT(F1207,"" ""))&gt;2)))"),"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amp;"егулярного|офисного|использования|онструкция|безопасна|эксплуатации|проста|обслуживании|размещается|рабочей|зоне|персонала")</f>
        <v>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егулярного|офисного|использования|онструкция|безопасна|эксплуатации|проста|обслуживании|размещается|рабочей|зоне|персонала</v>
      </c>
      <c r="I1207" s="6"/>
      <c r="J1207" s="6"/>
    </row>
    <row r="1208">
      <c r="A1208" s="12" t="s">
        <v>3441</v>
      </c>
      <c r="B1208" s="7" t="s">
        <v>3442</v>
      </c>
      <c r="C1208" s="7" t="s">
        <v>3443</v>
      </c>
      <c r="D1208" s="8">
        <v>290500.0</v>
      </c>
      <c r="E1208" s="9">
        <v>2.0</v>
      </c>
      <c r="F1208" s="10" t="str">
        <f>IFERROR(__xludf.DUMMYFUNCTION("LOWER(REGEXREPLACE(B1208&amp;"" ""&amp;C1208,""[^а-яa-z0-9 ]"","" ""))"),"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f>
        <v>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v>
      </c>
      <c r="G1208" s="10" t="str">
        <f>IFERROR(__xludf.DUMMYFUNCTION("TEXTJOIN(""|"",TRUE,UNIQUE(FILTER(SPLIT(F1208,"" ""),LEN(SPLIT(F1208,"" ""))&gt;2)))"),"ничтожитель|насекомых|ешетчатая|система|220|короткими|лампами|отребляет|электроэнергии|лощадь|воздействия|азмеры|700|215|390")</f>
        <v>ничтожитель|насекомых|ешетчатая|система|220|короткими|лампами|отребляет|электроэнергии|лощадь|воздействия|азмеры|700|215|390</v>
      </c>
      <c r="I1208" s="6"/>
      <c r="J1208" s="6"/>
    </row>
    <row r="1209">
      <c r="A1209" s="12" t="s">
        <v>3444</v>
      </c>
      <c r="B1209" s="7" t="s">
        <v>3445</v>
      </c>
      <c r="C1209" s="7" t="s">
        <v>3446</v>
      </c>
      <c r="D1209" s="8">
        <v>136000.0</v>
      </c>
      <c r="E1209" s="9">
        <v>2.0</v>
      </c>
      <c r="F1209" s="10" t="str">
        <f>IFERROR(__xludf.DUMMYFUNCTION("LOWER(REGEXREPLACE(B1209&amp;"" ""&amp;C1209,""[^а-яa-z0-9 ]"","" ""))"),"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м"&amp;"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звук"&amp;"овых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f>
        <v>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v>
      </c>
      <c r="G1209" s="10" t="str">
        <f>IFERROR(__xludf.DUMMYFUNCTION("TEXTJOIN(""|"",TRUE,UNIQUE(FILTER(SPLIT(F1209,"" ""),LEN(SPLIT(F1209,"" ""))&gt;2)))"),"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amp;"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amp;"юдения|комфортной|громкости|для|детей|итание|батарей|аккумуляторов|временем|непрерывной|работы|менее|часов")</f>
        <v>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юдения|комфортной|громкости|для|детей|итание|батарей|аккумуляторов|временем|непрерывной|работы|менее|часов</v>
      </c>
      <c r="I1209" s="6"/>
      <c r="J1209" s="6"/>
    </row>
    <row r="1210">
      <c r="A1210" s="12" t="s">
        <v>3447</v>
      </c>
      <c r="B1210" s="7" t="s">
        <v>3448</v>
      </c>
      <c r="C1210" s="7" t="s">
        <v>3448</v>
      </c>
      <c r="D1210" s="8">
        <v>9255300.0</v>
      </c>
      <c r="E1210" s="9">
        <v>1.0</v>
      </c>
      <c r="F1210" s="10" t="str">
        <f>IFERROR(__xludf.DUMMYFUNCTION("LOWER(REGEXREPLACE(B1210&amp;"" ""&amp;C1210,""[^а-яa-z0-9 ]"","" ""))")," олодильная камера 4190x3000x2400  олодильная камера 4190x3000x2400")</f>
        <v> олодильная камера 4190x3000x2400  олодильная камера 4190x3000x2400</v>
      </c>
      <c r="G1210" s="10" t="str">
        <f>IFERROR(__xludf.DUMMYFUNCTION("TEXTJOIN(""|"",TRUE,UNIQUE(FILTER(SPLIT(F1210,"" ""),LEN(SPLIT(F1210,"" ""))&gt;2)))"),"олодильная|камера|4190x3000x2400|олодильная|камера|4190x3000x2400")</f>
        <v>олодильная|камера|4190x3000x2400|олодильная|камера|4190x3000x2400</v>
      </c>
      <c r="I1210" s="6"/>
      <c r="J1210" s="6"/>
    </row>
    <row r="1211">
      <c r="A1211" s="12" t="s">
        <v>3449</v>
      </c>
      <c r="B1211" s="7" t="s">
        <v>3450</v>
      </c>
      <c r="C1211" s="7" t="s">
        <v>3451</v>
      </c>
      <c r="D1211" s="8">
        <v>144400.0</v>
      </c>
      <c r="E1211" s="9">
        <v>1.0</v>
      </c>
      <c r="F1211" s="10" t="str">
        <f>IFERROR(__xludf.DUMMYFUNCTION("LOWER(REGEXREPLACE(B1211&amp;"" ""&amp;C1211,""[^а-яa-z0-9 ]"","" ""))")," епловая завеса  омпактная тепловая завеса")</f>
        <v> епловая завеса  омпактная тепловая завеса</v>
      </c>
      <c r="G1211" s="10" t="str">
        <f>IFERROR(__xludf.DUMMYFUNCTION("TEXTJOIN(""|"",TRUE,UNIQUE(FILTER(SPLIT(F1211,"" ""),LEN(SPLIT(F1211,"" ""))&gt;2)))"),"епловая|завеса|омпактная|тепловая|завеса")</f>
        <v>епловая|завеса|омпактная|тепловая|завеса</v>
      </c>
      <c r="I1211" s="6"/>
      <c r="J1211" s="6"/>
    </row>
    <row r="1212">
      <c r="A1212" s="12" t="s">
        <v>3452</v>
      </c>
      <c r="B1212" s="7" t="s">
        <v>3453</v>
      </c>
      <c r="C1212" s="7" t="s">
        <v>3454</v>
      </c>
      <c r="D1212" s="8">
        <v>1531800.0</v>
      </c>
      <c r="E1212" s="9">
        <v>3.0</v>
      </c>
      <c r="F1212" s="10" t="str">
        <f>IFERROR(__xludf.DUMMYFUNCTION("LOWER(REGEXREPLACE(B1212&amp;"" ""&amp;C1212,""[^а-яa-z0-9 ]"","" ""))")," олодильный стол vsy 2  емпература   2  8  0 3 к т 230   1    50 60  ц   абариты  1340х700х850 мм")</f>
        <v> олодильный стол vsy 2  емпература   2  8  0 3 к т 230   1    50 60  ц   абариты  1340х700х850 мм</v>
      </c>
      <c r="G1212" s="10" t="str">
        <f>IFERROR(__xludf.DUMMYFUNCTION("TEXTJOIN(""|"",TRUE,UNIQUE(FILTER(SPLIT(F1212,"" ""),LEN(SPLIT(F1212,"" ""))&gt;2)))"),"олодильный|стол|vsy|емпература|230|абариты|1340х700х850")</f>
        <v>олодильный|стол|vsy|емпература|230|абариты|1340х700х850</v>
      </c>
      <c r="I1212" s="6"/>
      <c r="J1212" s="6"/>
    </row>
    <row r="1213">
      <c r="A1213" s="12" t="s">
        <v>3455</v>
      </c>
      <c r="B1213" s="7" t="s">
        <v>3456</v>
      </c>
      <c r="C1213" s="7" t="s">
        <v>3457</v>
      </c>
      <c r="D1213" s="8">
        <v>1827300.0</v>
      </c>
      <c r="E1213" s="9">
        <v>1.0</v>
      </c>
      <c r="F1213" s="10" t="str">
        <f>IFERROR(__xludf.DUMMYFUNCTION("LOWER(REGEXREPLACE(B1213&amp;"" ""&amp;C1213,""[^а-яa-z0-9 ]"","" ""))")," олодильный стол vsy 3  емпература   2  8     ощность  0 39 к т  230  1   50 60 ц   абариты  1820x700x850 мм")</f>
        <v> олодильный стол vsy 3  емпература   2  8     ощность  0 39 к т  230  1   50 60 ц   абариты  1820x700x850 мм</v>
      </c>
      <c r="G1213" s="10" t="str">
        <f>IFERROR(__xludf.DUMMYFUNCTION("TEXTJOIN(""|"",TRUE,UNIQUE(FILTER(SPLIT(F1213,"" ""),LEN(SPLIT(F1213,"" ""))&gt;2)))"),"олодильный|стол|vsy|емпература|ощность|230|абариты|1820x700x850")</f>
        <v>олодильный|стол|vsy|емпература|ощность|230|абариты|1820x700x850</v>
      </c>
      <c r="I1213" s="6"/>
      <c r="J1213" s="6"/>
    </row>
    <row r="1214">
      <c r="A1214" s="12" t="s">
        <v>3458</v>
      </c>
      <c r="B1214" s="7" t="s">
        <v>3459</v>
      </c>
      <c r="C1214" s="7" t="s">
        <v>3460</v>
      </c>
      <c r="D1214" s="8">
        <v>1791600.0</v>
      </c>
      <c r="E1214" s="9">
        <v>1.0</v>
      </c>
      <c r="F1214" s="10" t="str">
        <f>IFERROR(__xludf.DUMMYFUNCTION("LOWER(REGEXREPLACE(B1214&amp;"" ""&amp;C1214,""[^а-яa-z0-9 ]"","" ""))")," олодильный шкаф 1 дверь vsp 1  емпература   2  8     ощность  0 3 к т  230  1   50 60 ц   абариты  656x811x2050 мм")</f>
        <v> олодильный шкаф 1 дверь vsp 1  емпература   2  8     ощность  0 3 к т  230  1   50 60 ц   абариты  656x811x2050 мм</v>
      </c>
      <c r="G1214" s="10" t="str">
        <f>IFERROR(__xludf.DUMMYFUNCTION("TEXTJOIN(""|"",TRUE,UNIQUE(FILTER(SPLIT(F1214,"" ""),LEN(SPLIT(F1214,"" ""))&gt;2)))"),"олодильный|шкаф|дверь|vsp|емпература|ощность|230|абариты|656x811x2050")</f>
        <v>олодильный|шкаф|дверь|vsp|емпература|ощность|230|абариты|656x811x2050</v>
      </c>
      <c r="I1214" s="6"/>
      <c r="J1214" s="6"/>
    </row>
    <row r="1215">
      <c r="A1215" s="12" t="s">
        <v>3461</v>
      </c>
      <c r="B1215" s="7" t="s">
        <v>3462</v>
      </c>
      <c r="C1215" s="7" t="s">
        <v>3463</v>
      </c>
      <c r="D1215" s="8">
        <v>237200.0</v>
      </c>
      <c r="E1215" s="9">
        <v>1.0</v>
      </c>
      <c r="F1215" s="10" t="str">
        <f>IFERROR(__xludf.DUMMYFUNCTION("LOWER(REGEXREPLACE(B1215&amp;"" ""&amp;C1215,""[^а-яa-z0-9 ]"","" ""))")," вейная машинка  anome  автомат  электромеханическая  количество швейных операций 22  контроль натяжения нитей  тип челнока вертикальный")</f>
        <v> вейная машинка  anome  автомат  электромеханическая  количество швейных операций 22  контроль натяжения нитей  тип челнока вертикальный</v>
      </c>
      <c r="G1215" s="10" t="str">
        <f>IFERROR(__xludf.DUMMYFUNCTION("TEXTJOIN(""|"",TRUE,UNIQUE(FILTER(SPLIT(F1215,"" ""),LEN(SPLIT(F1215,"" ""))&gt;2)))"),"вейная|машинка|anome|автомат|электромеханическая|количество|швейных|операций|контроль|натяжения|нитей|тип|челнока|вертикальный")</f>
        <v>вейная|машинка|anome|автомат|электромеханическая|количество|швейных|операций|контроль|натяжения|нитей|тип|челнока|вертикальный</v>
      </c>
      <c r="I1215" s="6"/>
      <c r="J1215" s="6"/>
    </row>
    <row r="1216">
      <c r="A1216" s="12" t="s">
        <v>3464</v>
      </c>
      <c r="B1216" s="7" t="s">
        <v>3465</v>
      </c>
      <c r="C1216" s="7" t="s">
        <v>3466</v>
      </c>
      <c r="D1216" s="8">
        <v>2408900.0</v>
      </c>
      <c r="E1216" s="9">
        <v>1.0</v>
      </c>
      <c r="F1216" s="10" t="str">
        <f>IFERROR(__xludf.DUMMYFUNCTION("LOWER(REGEXREPLACE(B1216&amp;"" ""&amp;C1216,""[^а-яa-z0-9 ]"","" ""))"),"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f>
        <v>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v>
      </c>
      <c r="G1216" s="10" t="str">
        <f>IFERROR(__xludf.DUMMYFUNCTION("TEXTJOIN(""|"",TRUE,UNIQUE(FILTER(SPLIT(F1216,"" ""),LEN(SPLIT(F1216,"" ""))&gt;2)))"),"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f>
        <v>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v>
      </c>
      <c r="I1216" s="6"/>
      <c r="J1216" s="6"/>
    </row>
    <row r="1217">
      <c r="A1217" s="12" t="s">
        <v>3467</v>
      </c>
      <c r="B1217" s="7" t="s">
        <v>3468</v>
      </c>
      <c r="C1217" s="7" t="s">
        <v>3469</v>
      </c>
      <c r="D1217" s="8">
        <v>42500.0</v>
      </c>
      <c r="E1217" s="9">
        <v>2.0</v>
      </c>
      <c r="F1217" s="10" t="str">
        <f>IFERROR(__xludf.DUMMYFUNCTION("LOWER(REGEXREPLACE(B1217&amp;"" ""&amp;C1217,""[^а-яa-z0-9 ]"","" ""))")," ентиляция вытяжная  истема принудительной вытяжной вентиляции для обеспечения воздухообмена и поддержания комфортного микроклимата в помещении ")</f>
        <v> ентиляция вытяжная  истема принудительной вытяжной вентиляции для обеспечения воздухообмена и поддержания комфортного микроклимата в помещении </v>
      </c>
      <c r="G1217" s="10" t="str">
        <f>IFERROR(__xludf.DUMMYFUNCTION("TEXTJOIN(""|"",TRUE,UNIQUE(FILTER(SPLIT(F1217,"" ""),LEN(SPLIT(F1217,"" ""))&gt;2)))"),"ентиляция|вытяжная|истема|принудительной|вытяжной|вентиляции|для|обеспечения|воздухообмена|поддержания|комфортного|микроклимата|помещении")</f>
        <v>ентиляция|вытяжная|истема|принудительной|вытяжной|вентиляции|для|обеспечения|воздухообмена|поддержания|комфортного|микроклимата|помещении</v>
      </c>
      <c r="I1217" s="6"/>
      <c r="J1217" s="6"/>
    </row>
    <row r="1218">
      <c r="A1218" s="12" t="s">
        <v>3470</v>
      </c>
      <c r="B1218" s="12" t="s">
        <v>3471</v>
      </c>
      <c r="C1218" s="7" t="s">
        <v>3472</v>
      </c>
      <c r="D1218" s="8">
        <v>71339.0</v>
      </c>
      <c r="E1218" s="9">
        <v>1.0</v>
      </c>
      <c r="F1218" s="10" t="str">
        <f>IFERROR(__xludf.DUMMYFUNCTION("LOWER(REGEXREPLACE(B1218&amp;"" ""&amp;C1218,""[^а-яa-z0-9 ]"","" ""))")," сточник бесперебойного питания  сточник бесперебойного питания          2000    2000    1200   2x12v 9  h      175 275   2 розет   ехника шт  1 119 000 00 119 000 00   71 339")</f>
        <v> сточник бесперебойного питания  сточник бесперебойного питания          2000    2000    1200   2x12v 9  h      175 275   2 розет   ехника шт  1 119 000 00 119 000 00   71 339</v>
      </c>
      <c r="G1218" s="10" t="str">
        <f>IFERROR(__xludf.DUMMYFUNCTION("TEXTJOIN(""|"",TRUE,UNIQUE(FILTER(SPLIT(F1218,"" ""),LEN(SPLIT(F1218,"" ""))&gt;2)))"),"сточник|бесперебойного|питания|сточник|бесперебойного|питания|2000|2000|1200|2x12v|175|275|розет|ехника|119|119|339")</f>
        <v>сточник|бесперебойного|питания|сточник|бесперебойного|питания|2000|2000|1200|2x12v|175|275|розет|ехника|119|119|339</v>
      </c>
      <c r="I1218" s="6"/>
      <c r="J1218" s="6"/>
    </row>
    <row r="1219">
      <c r="A1219" s="7"/>
      <c r="B1219" s="7"/>
      <c r="C1219" s="7" t="s">
        <v>3473</v>
      </c>
      <c r="D1219" s="8">
        <v>71339.0</v>
      </c>
      <c r="E1219" s="9">
        <v>1.0</v>
      </c>
      <c r="F1219" s="10" t="str">
        <f>IFERROR(__xludf.DUMMYFUNCTION("LOWER(REGEXREPLACE(B1219&amp;"" ""&amp;C1219,""[^а-яa-z0-9 ]"","" ""))"),"  сточник бесперебойного питания          2000    2000    1200   2x12v 9  h      175 275   2 розет   ехника шт  1 119 000 00 119 000 00   71 340")</f>
        <v>  сточник бесперебойного питания          2000    2000    1200   2x12v 9  h      175 275   2 розет   ехника шт  1 119 000 00 119 000 00   71 340</v>
      </c>
      <c r="G1219" s="10" t="str">
        <f>IFERROR(__xludf.DUMMYFUNCTION("TEXTJOIN(""|"",TRUE,UNIQUE(FILTER(SPLIT(F1219,"" ""),LEN(SPLIT(F1219,"" ""))&gt;2)))"),"сточник|бесперебойного|питания|2000|2000|1200|2x12v|175|275|розет|ехника|119|119|340")</f>
        <v>сточник|бесперебойного|питания|2000|2000|1200|2x12v|175|275|розет|ехника|119|119|340</v>
      </c>
      <c r="I1219" s="6"/>
      <c r="J1219" s="6"/>
    </row>
    <row r="1220">
      <c r="A1220" s="7"/>
      <c r="B1220" s="7"/>
      <c r="C1220" s="7" t="s">
        <v>3474</v>
      </c>
      <c r="D1220" s="8">
        <v>71339.0</v>
      </c>
      <c r="E1220" s="9">
        <v>1.0</v>
      </c>
      <c r="F1220" s="10" t="str">
        <f>IFERROR(__xludf.DUMMYFUNCTION("LOWER(REGEXREPLACE(B1220&amp;"" ""&amp;C1220,""[^а-яa-z0-9 ]"","" ""))"),"  сточник бесперебойного питания          2000    2000    1200   2x12v 9  h      175 275   2 розет   ехника шт  1 119 000 00 119 000 00   71 341")</f>
        <v>  сточник бесперебойного питания          2000    2000    1200   2x12v 9  h      175 275   2 розет   ехника шт  1 119 000 00 119 000 00   71 341</v>
      </c>
      <c r="G1220" s="10" t="str">
        <f>IFERROR(__xludf.DUMMYFUNCTION("TEXTJOIN(""|"",TRUE,UNIQUE(FILTER(SPLIT(F1220,"" ""),LEN(SPLIT(F1220,"" ""))&gt;2)))"),"сточник|бесперебойного|питания|2000|2000|1200|2x12v|175|275|розет|ехника|119|119|341")</f>
        <v>сточник|бесперебойного|питания|2000|2000|1200|2x12v|175|275|розет|ехника|119|119|341</v>
      </c>
      <c r="I1220" s="6"/>
      <c r="J1220" s="6"/>
    </row>
    <row r="1221">
      <c r="A1221" s="7"/>
      <c r="B1221" s="7"/>
      <c r="C1221" s="7" t="s">
        <v>3475</v>
      </c>
      <c r="D1221" s="8">
        <v>71339.0</v>
      </c>
      <c r="E1221" s="9">
        <v>1.0</v>
      </c>
      <c r="F1221" s="10" t="str">
        <f>IFERROR(__xludf.DUMMYFUNCTION("LOWER(REGEXREPLACE(B1221&amp;"" ""&amp;C1221,""[^а-яa-z0-9 ]"","" ""))"),"  сточник бесперебойного питания          2000    2000    1200   2x12v 9  h      175 275   2 розет   ехника шт  1 119 000 00 119 000 00   71 342")</f>
        <v>  сточник бесперебойного питания          2000    2000    1200   2x12v 9  h      175 275   2 розет   ехника шт  1 119 000 00 119 000 00   71 342</v>
      </c>
      <c r="G1221" s="10" t="str">
        <f>IFERROR(__xludf.DUMMYFUNCTION("TEXTJOIN(""|"",TRUE,UNIQUE(FILTER(SPLIT(F1221,"" ""),LEN(SPLIT(F1221,"" ""))&gt;2)))"),"сточник|бесперебойного|питания|2000|2000|1200|2x12v|175|275|розет|ехника|119|119|342")</f>
        <v>сточник|бесперебойного|питания|2000|2000|1200|2x12v|175|275|розет|ехника|119|119|342</v>
      </c>
      <c r="I1221" s="6"/>
      <c r="J1221" s="6"/>
    </row>
    <row r="1222">
      <c r="A1222" s="7"/>
      <c r="B1222" s="7"/>
      <c r="C1222" s="7" t="s">
        <v>3476</v>
      </c>
      <c r="D1222" s="8">
        <v>71339.0</v>
      </c>
      <c r="E1222" s="9">
        <v>1.0</v>
      </c>
      <c r="F1222" s="10" t="str">
        <f>IFERROR(__xludf.DUMMYFUNCTION("LOWER(REGEXREPLACE(B1222&amp;"" ""&amp;C1222,""[^а-яa-z0-9 ]"","" ""))"),"  сточник бесперебойного питания          2000    2000    1200   2x12v 9  h      175 275   2 розет   ехника шт  1 119 000 00 119 000 00   71 343")</f>
        <v>  сточник бесперебойного питания          2000    2000    1200   2x12v 9  h      175 275   2 розет   ехника шт  1 119 000 00 119 000 00   71 343</v>
      </c>
      <c r="G1222" s="10" t="str">
        <f>IFERROR(__xludf.DUMMYFUNCTION("TEXTJOIN(""|"",TRUE,UNIQUE(FILTER(SPLIT(F1222,"" ""),LEN(SPLIT(F1222,"" ""))&gt;2)))"),"сточник|бесперебойного|питания|2000|2000|1200|2x12v|175|275|розет|ехника|119|119|343")</f>
        <v>сточник|бесперебойного|питания|2000|2000|1200|2x12v|175|275|розет|ехника|119|119|343</v>
      </c>
      <c r="I1222" s="6"/>
      <c r="J1222" s="6"/>
    </row>
    <row r="1223">
      <c r="A1223" s="7"/>
      <c r="B1223" s="7"/>
      <c r="C1223" s="7" t="s">
        <v>3477</v>
      </c>
      <c r="D1223" s="8">
        <v>71339.0</v>
      </c>
      <c r="E1223" s="9">
        <v>1.0</v>
      </c>
      <c r="F1223" s="10" t="str">
        <f>IFERROR(__xludf.DUMMYFUNCTION("LOWER(REGEXREPLACE(B1223&amp;"" ""&amp;C1223,""[^а-яa-z0-9 ]"","" ""))"),"  сточник бесперебойного питания          2000    2000    1200   2x12v 9  h      175 275   2 розет   ехника шт  1 119 000 00 119 000 00   71 344")</f>
        <v>  сточник бесперебойного питания          2000    2000    1200   2x12v 9  h      175 275   2 розет   ехника шт  1 119 000 00 119 000 00   71 344</v>
      </c>
      <c r="G1223" s="10" t="str">
        <f>IFERROR(__xludf.DUMMYFUNCTION("TEXTJOIN(""|"",TRUE,UNIQUE(FILTER(SPLIT(F1223,"" ""),LEN(SPLIT(F1223,"" ""))&gt;2)))"),"сточник|бесперебойного|питания|2000|2000|1200|2x12v|175|275|розет|ехника|119|119|344")</f>
        <v>сточник|бесперебойного|питания|2000|2000|1200|2x12v|175|275|розет|ехника|119|119|344</v>
      </c>
      <c r="I1223" s="6"/>
      <c r="J1223" s="6"/>
    </row>
    <row r="1224">
      <c r="A1224" s="7"/>
      <c r="B1224" s="7"/>
      <c r="C1224" s="7" t="s">
        <v>3478</v>
      </c>
      <c r="D1224" s="8">
        <v>71339.0</v>
      </c>
      <c r="E1224" s="9">
        <v>1.0</v>
      </c>
      <c r="F1224" s="10" t="str">
        <f>IFERROR(__xludf.DUMMYFUNCTION("LOWER(REGEXREPLACE(B1224&amp;"" ""&amp;C1224,""[^а-яa-z0-9 ]"","" ""))"),"  сточник бесперебойного питания          2000    2000    1200   2x12v 9  h      175 275   2 розет   ехника шт  1 119 000 00 119 000 00   71 345")</f>
        <v>  сточник бесперебойного питания          2000    2000    1200   2x12v 9  h      175 275   2 розет   ехника шт  1 119 000 00 119 000 00   71 345</v>
      </c>
      <c r="G1224" s="10" t="str">
        <f>IFERROR(__xludf.DUMMYFUNCTION("TEXTJOIN(""|"",TRUE,UNIQUE(FILTER(SPLIT(F1224,"" ""),LEN(SPLIT(F1224,"" ""))&gt;2)))"),"сточник|бесперебойного|питания|2000|2000|1200|2x12v|175|275|розет|ехника|119|119|345")</f>
        <v>сточник|бесперебойного|питания|2000|2000|1200|2x12v|175|275|розет|ехника|119|119|345</v>
      </c>
      <c r="I1224" s="6"/>
      <c r="J1224" s="6"/>
    </row>
    <row r="1225">
      <c r="A1225" s="7"/>
      <c r="B1225" s="7"/>
      <c r="C1225" s="7" t="s">
        <v>3479</v>
      </c>
      <c r="D1225" s="8">
        <v>71339.0</v>
      </c>
      <c r="E1225" s="9">
        <v>1.0</v>
      </c>
      <c r="F1225" s="10" t="str">
        <f>IFERROR(__xludf.DUMMYFUNCTION("LOWER(REGEXREPLACE(B1225&amp;"" ""&amp;C1225,""[^а-яa-z0-9 ]"","" ""))"),"  сточник бесперебойного питания          2000    2000    1200   2x12v 9  h      175 275   2 розет   ехника шт  1 119 000 00 119 000 00   71 346")</f>
        <v>  сточник бесперебойного питания          2000    2000    1200   2x12v 9  h      175 275   2 розет   ехника шт  1 119 000 00 119 000 00   71 346</v>
      </c>
      <c r="G1225" s="10" t="str">
        <f>IFERROR(__xludf.DUMMYFUNCTION("TEXTJOIN(""|"",TRUE,UNIQUE(FILTER(SPLIT(F1225,"" ""),LEN(SPLIT(F1225,"" ""))&gt;2)))"),"сточник|бесперебойного|питания|2000|2000|1200|2x12v|175|275|розет|ехника|119|119|346")</f>
        <v>сточник|бесперебойного|питания|2000|2000|1200|2x12v|175|275|розет|ехника|119|119|346</v>
      </c>
      <c r="I1225" s="6"/>
      <c r="J1225" s="6"/>
    </row>
    <row r="1226">
      <c r="A1226" s="12" t="s">
        <v>3480</v>
      </c>
      <c r="B1226" s="12" t="s">
        <v>3481</v>
      </c>
      <c r="C1226" s="7" t="s">
        <v>3482</v>
      </c>
      <c r="D1226" s="8">
        <v>10200.0</v>
      </c>
      <c r="E1226" s="9">
        <v>14.0</v>
      </c>
      <c r="F1226" s="10" t="str">
        <f>IFERROR(__xludf.DUMMYFUNCTION("LOWER(REGEXREPLACE(B1226&amp;"" ""&amp;C1226,""[^а-яa-z0-9 ]"","" ""))")," абель            абель             лина  5м ")</f>
        <v> абель            абель             лина  5м </v>
      </c>
      <c r="G1226" s="10" t="str">
        <f>IFERROR(__xludf.DUMMYFUNCTION("TEXTJOIN(""|"",TRUE,UNIQUE(FILTER(SPLIT(F1226,"" ""),LEN(SPLIT(F1226,"" ""))&gt;2)))"),"абель|абель|лина")</f>
        <v>абель|абель|лина</v>
      </c>
      <c r="I1226" s="6"/>
      <c r="J1226" s="6"/>
    </row>
    <row r="1227">
      <c r="A1227" s="12" t="s">
        <v>3483</v>
      </c>
      <c r="B1227" s="12" t="s">
        <v>3484</v>
      </c>
      <c r="C1227" s="7" t="s">
        <v>3485</v>
      </c>
      <c r="D1227" s="8">
        <v>6100.0</v>
      </c>
      <c r="E1227" s="9">
        <v>24.0</v>
      </c>
      <c r="F1227" s="10" t="str">
        <f>IFERROR(__xludf.DUMMYFUNCTION("LOWER(REGEXREPLACE(B1227&amp;"" ""&amp;C1227,""[^а-яa-z0-9 ]"","" ""))")," абель      абель     2 0  ype   лина  3 м ")</f>
        <v> абель      абель     2 0  ype   лина  3 м </v>
      </c>
      <c r="G1227" s="10" t="str">
        <f>IFERROR(__xludf.DUMMYFUNCTION("TEXTJOIN(""|"",TRUE,UNIQUE(FILTER(SPLIT(F1227,"" ""),LEN(SPLIT(F1227,"" ""))&gt;2)))"),"абель|абель|ype|лина")</f>
        <v>абель|абель|ype|лина</v>
      </c>
      <c r="I1227" s="6"/>
      <c r="J1227" s="6"/>
    </row>
    <row r="1228">
      <c r="A1228" s="12" t="s">
        <v>3486</v>
      </c>
      <c r="B1228" s="12" t="s">
        <v>3487</v>
      </c>
      <c r="C1228" s="7" t="s">
        <v>3488</v>
      </c>
      <c r="D1228" s="8">
        <v>670369.0</v>
      </c>
      <c r="E1228" s="9">
        <v>9.0</v>
      </c>
      <c r="F1228" s="10" t="str">
        <f>IFERROR(__xludf.DUMMYFUNCTION("LOWER(REGEXREPLACE(B1228&amp;"" ""&amp;C1228,""[^а-яa-z0-9 ]"","" ""))")," елевизор 65   оммерческий телевизор   65  640   65 дюймов типа   ")</f>
        <v> елевизор 65   оммерческий телевизор   65  640   65 дюймов типа   </v>
      </c>
      <c r="G1228" s="10" t="str">
        <f>IFERROR(__xludf.DUMMYFUNCTION("TEXTJOIN(""|"",TRUE,UNIQUE(FILTER(SPLIT(F1228,"" ""),LEN(SPLIT(F1228,"" ""))&gt;2)))"),"елевизор|оммерческий|телевизор|640|дюймов|типа")</f>
        <v>елевизор|оммерческий|телевизор|640|дюймов|типа</v>
      </c>
      <c r="I1228" s="6"/>
      <c r="J1228" s="6"/>
    </row>
    <row r="1229">
      <c r="A1229" s="7"/>
      <c r="B1229" s="7"/>
      <c r="C1229" s="7" t="s">
        <v>3489</v>
      </c>
      <c r="D1229" s="8">
        <v>850000.0</v>
      </c>
      <c r="E1229" s="9">
        <v>0.0</v>
      </c>
      <c r="F1229" s="10" t="str">
        <f>IFERROR(__xludf.DUMMYFUNCTION("LOWER(REGEXREPLACE(B1229&amp;"" ""&amp;C1229,""[^а-яa-z0-9 ]"","" ""))"),"  елевизор      с функцией  mart     диагональ 65 дюймов   азрешение 3840 x 2160   ltra    ")</f>
        <v>  елевизор      с функцией  mart     диагональ 65 дюймов   азрешение 3840 x 2160   ltra    </v>
      </c>
      <c r="G1229" s="10" t="str">
        <f>IFERROR(__xludf.DUMMYFUNCTION("TEXTJOIN(""|"",TRUE,UNIQUE(FILTER(SPLIT(F1229,"" ""),LEN(SPLIT(F1229,"" ""))&gt;2)))"),"елевизор|функцией|mart|диагональ|дюймов|азрешение|3840|2160|ltra")</f>
        <v>елевизор|функцией|mart|диагональ|дюймов|азрешение|3840|2160|ltra</v>
      </c>
      <c r="I1229" s="6"/>
      <c r="J1229" s="6"/>
    </row>
    <row r="1230">
      <c r="A1230" s="12" t="s">
        <v>3490</v>
      </c>
      <c r="B1230" s="12" t="s">
        <v>3491</v>
      </c>
      <c r="C1230" s="7" t="s">
        <v>3492</v>
      </c>
      <c r="D1230" s="8">
        <v>2555.0</v>
      </c>
      <c r="E1230" s="9">
        <v>14.0</v>
      </c>
      <c r="F1230" s="10" t="str">
        <f>IFERROR(__xludf.DUMMYFUNCTION("LOWER(REGEXREPLACE(B1230&amp;"" ""&amp;C1230,""[^а-яa-z0-9 ]"","" ""))")," омпьютерная мышь  ышь    125  ired  ouse")</f>
        <v> омпьютерная мышь  ышь    125  ired  ouse</v>
      </c>
      <c r="G1230" s="10" t="str">
        <f>IFERROR(__xludf.DUMMYFUNCTION("TEXTJOIN(""|"",TRUE,UNIQUE(FILTER(SPLIT(F1230,"" ""),LEN(SPLIT(F1230,"" ""))&gt;2)))"),"омпьютерная|мышь|ышь|125|ired|ouse")</f>
        <v>омпьютерная|мышь|ышь|125|ired|ouse</v>
      </c>
      <c r="I1230" s="6"/>
      <c r="J1230" s="6"/>
    </row>
    <row r="1231">
      <c r="A1231" s="12" t="s">
        <v>3493</v>
      </c>
      <c r="B1231" s="12" t="s">
        <v>3494</v>
      </c>
      <c r="C1231" s="7" t="s">
        <v>3495</v>
      </c>
      <c r="D1231" s="8">
        <v>153593.0</v>
      </c>
      <c r="E1231" s="9">
        <v>19.0</v>
      </c>
      <c r="F1231" s="10" t="str">
        <f>IFERROR(__xludf.DUMMYFUNCTION("LOWER(REGEXREPLACE(B1231&amp;"" ""&amp;C1231,""[^а-яa-z0-9 ]"","" ""))"),"    цветной         olor  aser 178nw   4  print 600x600dpi  18ppm  scan 600x600dpi                  i  i")</f>
        <v>    цветной         olor  aser 178nw   4  print 600x600dpi  18ppm  scan 600x600dpi                  i  i</v>
      </c>
      <c r="G1231" s="10" t="str">
        <f>IFERROR(__xludf.DUMMYFUNCTION("TEXTJOIN(""|"",TRUE,UNIQUE(FILTER(SPLIT(F1231,"" ""),LEN(SPLIT(F1231,"" ""))&gt;2)))"),"цветной|olor|aser|178nw|print|600x600dpi|18ppm|scan|600x600dpi")</f>
        <v>цветной|olor|aser|178nw|print|600x600dpi|18ppm|scan|600x600dpi</v>
      </c>
      <c r="I1231" s="6"/>
      <c r="J1231" s="6"/>
    </row>
    <row r="1232">
      <c r="A1232" s="12" t="s">
        <v>3496</v>
      </c>
      <c r="B1232" s="7" t="s">
        <v>37</v>
      </c>
      <c r="C1232" s="7" t="s">
        <v>3497</v>
      </c>
      <c r="D1232" s="8">
        <v>674900.0</v>
      </c>
      <c r="E1232" s="9">
        <v>1.0</v>
      </c>
      <c r="F1232" s="10" t="str">
        <f>IFERROR(__xludf.DUMMYFUNCTION("LOWER(REGEXREPLACE(B1232&amp;"" ""&amp;C1232,""[^а-яa-z0-9 ]"","" ""))")," онт вытяжной вентиляционный  онт вытяжной вентиляционный размерами 1200х700мм с устройством для сбора жировых отложений")</f>
        <v> онт вытяжной вентиляционный  онт вытяжной вентиляционный размерами 1200х700мм с устройством для сбора жировых отложений</v>
      </c>
      <c r="G1232" s="10" t="str">
        <f>IFERROR(__xludf.DUMMYFUNCTION("TEXTJOIN(""|"",TRUE,UNIQUE(FILTER(SPLIT(F1232,"" ""),LEN(SPLIT(F1232,"" ""))&gt;2)))"),"онт|вытяжной|вентиляционный|онт|вытяжной|вентиляционный|размерами|1200х700мм|устройством|для|сбора|жировых|отложений")</f>
        <v>онт|вытяжной|вентиляционный|онт|вытяжной|вентиляционный|размерами|1200х700мм|устройством|для|сбора|жировых|отложений</v>
      </c>
      <c r="I1232" s="6"/>
      <c r="J1232" s="6"/>
    </row>
    <row r="1233">
      <c r="A1233" s="12" t="s">
        <v>3498</v>
      </c>
      <c r="B1233" s="7" t="s">
        <v>3499</v>
      </c>
      <c r="C1233" s="7" t="s">
        <v>3500</v>
      </c>
      <c r="D1233" s="8">
        <v>381700.0</v>
      </c>
      <c r="E1233" s="9">
        <v>1.0</v>
      </c>
      <c r="F1233" s="10" t="str">
        <f>IFERROR(__xludf.DUMMYFUNCTION("LOWER(REGEXREPLACE(B1233&amp;"" ""&amp;C1233,""[^а-яa-z0-9 ]"","" ""))")," онт вытяжной вентиляционный   онт вытяжной вентиляционный размерами 1200х1200мм с устройством для сбора  жировых отложений")</f>
        <v> онт вытяжной вентиляционный   онт вытяжной вентиляционный размерами 1200х1200мм с устройством для сбора  жировых отложений</v>
      </c>
      <c r="G1233" s="10" t="str">
        <f>IFERROR(__xludf.DUMMYFUNCTION("TEXTJOIN(""|"",TRUE,UNIQUE(FILTER(SPLIT(F1233,"" ""),LEN(SPLIT(F1233,"" ""))&gt;2)))"),"онт|вытяжной|вентиляционный|онт|вытяжной|вентиляционный|размерами|1200х1200мм|устройством|для|сбора|жировых|отложений")</f>
        <v>онт|вытяжной|вентиляционный|онт|вытяжной|вентиляционный|размерами|1200х1200мм|устройством|для|сбора|жировых|отложений</v>
      </c>
      <c r="I1233" s="6"/>
      <c r="J1233" s="6"/>
    </row>
    <row r="1234">
      <c r="A1234" s="12" t="s">
        <v>3501</v>
      </c>
      <c r="B1234" s="7" t="s">
        <v>3499</v>
      </c>
      <c r="C1234" s="7" t="s">
        <v>3502</v>
      </c>
      <c r="D1234" s="8">
        <v>1784700.0</v>
      </c>
      <c r="E1234" s="9">
        <v>1.0</v>
      </c>
      <c r="F1234" s="10" t="str">
        <f>IFERROR(__xludf.DUMMYFUNCTION("LOWER(REGEXREPLACE(B1234&amp;"" ""&amp;C1234,""[^а-яa-z0-9 ]"","" ""))")," онт вытяжной вентиляционный   онт вытяжной вентиляционный размерами 3200х2200мм с устройством для сбора  жировых отложений")</f>
        <v> онт вытяжной вентиляционный   онт вытяжной вентиляционный размерами 3200х2200мм с устройством для сбора  жировых отложений</v>
      </c>
      <c r="G1234" s="10" t="str">
        <f>IFERROR(__xludf.DUMMYFUNCTION("TEXTJOIN(""|"",TRUE,UNIQUE(FILTER(SPLIT(F1234,"" ""),LEN(SPLIT(F1234,"" ""))&gt;2)))"),"онт|вытяжной|вентиляционный|онт|вытяжной|вентиляционный|размерами|3200х2200мм|устройством|для|сбора|жировых|отложений")</f>
        <v>онт|вытяжной|вентиляционный|онт|вытяжной|вентиляционный|размерами|3200х2200мм|устройством|для|сбора|жировых|отложений</v>
      </c>
      <c r="I1234" s="6"/>
      <c r="J1234" s="6"/>
    </row>
    <row r="1235">
      <c r="A1235" s="16"/>
      <c r="B1235" s="16"/>
      <c r="C1235" s="16"/>
      <c r="D1235" s="16"/>
      <c r="E1235" s="16"/>
      <c r="F1235" s="17"/>
      <c r="G1235" s="17"/>
      <c r="I1235" s="6"/>
      <c r="J1235" s="6"/>
    </row>
    <row r="1236">
      <c r="A1236" s="16"/>
      <c r="B1236" s="16"/>
      <c r="C1236" s="16"/>
      <c r="D1236" s="16"/>
      <c r="E1236" s="16"/>
      <c r="F1236" s="17"/>
      <c r="G1236" s="17"/>
      <c r="I1236" s="6"/>
      <c r="J1236" s="6"/>
    </row>
    <row r="1237">
      <c r="A1237" s="16"/>
      <c r="B1237" s="16"/>
      <c r="C1237" s="16"/>
      <c r="D1237" s="16"/>
      <c r="E1237" s="16"/>
      <c r="F1237" s="17"/>
      <c r="G1237" s="17"/>
      <c r="I1237" s="6"/>
      <c r="J1237" s="6"/>
    </row>
    <row r="1238">
      <c r="A1238" s="16"/>
      <c r="B1238" s="16"/>
      <c r="C1238" s="16"/>
      <c r="D1238" s="16"/>
      <c r="E1238" s="16"/>
      <c r="F1238" s="17"/>
      <c r="G1238" s="17"/>
      <c r="I1238" s="6"/>
      <c r="J1238" s="6"/>
    </row>
    <row r="1239">
      <c r="A1239" s="16"/>
      <c r="B1239" s="16"/>
      <c r="C1239" s="16"/>
      <c r="D1239" s="16"/>
      <c r="E1239" s="16"/>
      <c r="F1239" s="17"/>
      <c r="G1239" s="17"/>
      <c r="I1239" s="6"/>
      <c r="J1239" s="6"/>
    </row>
    <row r="1240">
      <c r="A1240" s="16"/>
      <c r="B1240" s="16"/>
      <c r="C1240" s="16"/>
      <c r="D1240" s="16"/>
      <c r="E1240" s="16"/>
      <c r="F1240" s="17"/>
      <c r="G1240" s="17"/>
      <c r="I1240" s="6"/>
      <c r="J1240" s="6"/>
    </row>
    <row r="1241">
      <c r="A1241" s="16"/>
      <c r="B1241" s="16"/>
      <c r="C1241" s="16"/>
      <c r="D1241" s="16"/>
      <c r="E1241" s="16"/>
      <c r="F1241" s="17"/>
      <c r="G1241" s="17"/>
      <c r="I1241" s="6"/>
      <c r="J1241" s="6"/>
    </row>
    <row r="1242">
      <c r="A1242" s="16"/>
      <c r="B1242" s="16"/>
      <c r="C1242" s="16"/>
      <c r="D1242" s="16"/>
      <c r="E1242" s="16"/>
      <c r="F1242" s="17"/>
      <c r="G1242" s="17"/>
      <c r="I1242" s="6"/>
      <c r="J1242" s="6"/>
    </row>
    <row r="1243">
      <c r="A1243" s="16"/>
      <c r="B1243" s="16"/>
      <c r="C1243" s="16"/>
      <c r="D1243" s="16"/>
      <c r="E1243" s="16"/>
      <c r="F1243" s="17"/>
      <c r="G1243" s="17"/>
      <c r="I1243" s="6"/>
      <c r="J1243" s="6"/>
    </row>
    <row r="1244">
      <c r="A1244" s="16"/>
      <c r="B1244" s="16"/>
      <c r="C1244" s="16"/>
      <c r="D1244" s="16"/>
      <c r="E1244" s="16"/>
      <c r="F1244" s="17"/>
      <c r="G1244" s="17"/>
      <c r="I1244" s="6"/>
      <c r="J1244" s="6"/>
    </row>
    <row r="1245">
      <c r="A1245" s="16"/>
      <c r="B1245" s="16"/>
      <c r="C1245" s="16"/>
      <c r="D1245" s="16"/>
      <c r="E1245" s="16"/>
      <c r="F1245" s="17"/>
      <c r="G1245" s="17"/>
      <c r="I1245" s="6"/>
      <c r="J1245" s="6"/>
    </row>
    <row r="1246">
      <c r="A1246" s="16"/>
      <c r="B1246" s="16"/>
      <c r="C1246" s="16"/>
      <c r="D1246" s="16"/>
      <c r="E1246" s="16"/>
      <c r="F1246" s="17"/>
      <c r="G1246" s="17"/>
      <c r="I1246" s="6"/>
      <c r="J1246" s="6"/>
    </row>
    <row r="1247">
      <c r="A1247" s="16"/>
      <c r="B1247" s="16"/>
      <c r="C1247" s="16"/>
      <c r="D1247" s="16"/>
      <c r="E1247" s="16"/>
      <c r="F1247" s="17"/>
      <c r="G1247" s="17"/>
      <c r="I1247" s="6"/>
      <c r="J1247" s="6"/>
    </row>
    <row r="1248">
      <c r="A1248" s="16"/>
      <c r="B1248" s="16"/>
      <c r="C1248" s="16"/>
      <c r="D1248" s="16"/>
      <c r="E1248" s="16"/>
      <c r="F1248" s="17"/>
      <c r="G1248" s="17"/>
      <c r="I1248" s="6"/>
      <c r="J1248" s="6"/>
    </row>
    <row r="1249">
      <c r="A1249" s="16"/>
      <c r="B1249" s="16"/>
      <c r="C1249" s="16"/>
      <c r="D1249" s="16"/>
      <c r="E1249" s="16"/>
      <c r="F1249" s="17"/>
      <c r="G1249" s="17"/>
      <c r="I1249" s="6"/>
      <c r="J1249" s="6"/>
    </row>
    <row r="1250">
      <c r="A1250" s="16"/>
      <c r="B1250" s="16"/>
      <c r="C1250" s="16"/>
      <c r="D1250" s="16"/>
      <c r="E1250" s="16"/>
      <c r="F1250" s="17"/>
      <c r="G1250" s="17"/>
      <c r="I1250" s="6"/>
      <c r="J1250" s="6"/>
    </row>
    <row r="1251">
      <c r="A1251" s="16"/>
      <c r="B1251" s="16"/>
      <c r="C1251" s="16"/>
      <c r="D1251" s="16"/>
      <c r="E1251" s="16"/>
      <c r="F1251" s="17"/>
      <c r="G1251" s="17"/>
      <c r="I1251" s="6"/>
      <c r="J1251" s="6"/>
    </row>
    <row r="1252">
      <c r="A1252" s="16"/>
      <c r="B1252" s="16"/>
      <c r="C1252" s="16"/>
      <c r="D1252" s="16"/>
      <c r="E1252" s="16"/>
      <c r="F1252" s="17"/>
      <c r="G1252" s="17"/>
      <c r="I1252" s="6"/>
      <c r="J1252" s="6"/>
    </row>
    <row r="1253">
      <c r="A1253" s="16"/>
      <c r="B1253" s="16"/>
      <c r="C1253" s="16"/>
      <c r="D1253" s="16"/>
      <c r="E1253" s="16"/>
      <c r="F1253" s="17"/>
      <c r="G1253" s="17"/>
      <c r="I1253" s="6"/>
      <c r="J1253" s="6"/>
    </row>
    <row r="1254">
      <c r="A1254" s="16"/>
      <c r="B1254" s="16"/>
      <c r="C1254" s="16"/>
      <c r="D1254" s="16"/>
      <c r="E1254" s="16"/>
      <c r="F1254" s="17"/>
      <c r="G1254" s="17"/>
      <c r="I1254" s="6"/>
      <c r="J1254" s="6"/>
    </row>
    <row r="1255">
      <c r="A1255" s="16"/>
      <c r="B1255" s="16"/>
      <c r="C1255" s="16"/>
      <c r="D1255" s="16"/>
      <c r="E1255" s="16"/>
      <c r="F1255" s="17"/>
      <c r="G1255" s="17"/>
      <c r="I1255" s="6"/>
      <c r="J1255" s="6"/>
    </row>
    <row r="1256">
      <c r="A1256" s="16"/>
      <c r="B1256" s="16"/>
      <c r="C1256" s="16"/>
      <c r="D1256" s="16"/>
      <c r="E1256" s="16"/>
      <c r="F1256" s="17"/>
      <c r="G1256" s="17"/>
      <c r="I1256" s="6"/>
      <c r="J1256" s="6"/>
    </row>
    <row r="1257">
      <c r="A1257" s="16"/>
      <c r="B1257" s="16"/>
      <c r="C1257" s="16"/>
      <c r="D1257" s="16"/>
      <c r="E1257" s="16"/>
      <c r="F1257" s="17"/>
      <c r="G1257" s="17"/>
      <c r="I1257" s="6"/>
      <c r="J1257" s="6"/>
    </row>
    <row r="1258">
      <c r="A1258" s="16"/>
      <c r="B1258" s="16"/>
      <c r="C1258" s="16"/>
      <c r="D1258" s="16"/>
      <c r="E1258" s="16"/>
      <c r="F1258" s="17"/>
      <c r="G1258" s="17"/>
      <c r="I1258" s="6"/>
      <c r="J1258" s="6"/>
    </row>
    <row r="1259">
      <c r="A1259" s="16"/>
      <c r="B1259" s="16"/>
      <c r="C1259" s="16"/>
      <c r="D1259" s="16"/>
      <c r="E1259" s="16"/>
      <c r="F1259" s="17"/>
      <c r="G1259" s="17"/>
      <c r="I1259" s="6"/>
      <c r="J1259" s="6"/>
    </row>
    <row r="1260">
      <c r="A1260" s="16"/>
      <c r="B1260" s="16"/>
      <c r="C1260" s="16"/>
      <c r="D1260" s="16"/>
      <c r="E1260" s="16"/>
      <c r="F1260" s="17"/>
      <c r="G1260" s="17"/>
      <c r="I1260" s="6"/>
      <c r="J1260" s="6"/>
    </row>
    <row r="1261">
      <c r="A1261" s="16"/>
      <c r="B1261" s="16"/>
      <c r="C1261" s="16"/>
      <c r="D1261" s="16"/>
      <c r="E1261" s="16"/>
      <c r="F1261" s="17"/>
      <c r="G1261" s="17"/>
      <c r="I1261" s="6"/>
      <c r="J1261" s="6"/>
    </row>
    <row r="1262">
      <c r="A1262" s="16"/>
      <c r="B1262" s="16"/>
      <c r="C1262" s="16"/>
      <c r="D1262" s="16"/>
      <c r="E1262" s="16"/>
      <c r="F1262" s="17"/>
      <c r="G1262" s="17"/>
      <c r="I1262" s="6"/>
      <c r="J1262" s="6"/>
    </row>
    <row r="1263">
      <c r="A1263" s="16"/>
      <c r="B1263" s="16"/>
      <c r="C1263" s="16"/>
      <c r="D1263" s="16"/>
      <c r="E1263" s="16"/>
      <c r="F1263" s="17"/>
      <c r="G1263" s="17"/>
      <c r="I1263" s="6"/>
      <c r="J1263" s="6"/>
    </row>
    <row r="1264">
      <c r="A1264" s="16"/>
      <c r="B1264" s="16"/>
      <c r="C1264" s="16"/>
      <c r="D1264" s="16"/>
      <c r="E1264" s="16"/>
      <c r="F1264" s="17"/>
      <c r="G1264" s="17"/>
      <c r="I1264" s="6"/>
      <c r="J1264" s="6"/>
    </row>
    <row r="1265">
      <c r="A1265" s="16"/>
      <c r="B1265" s="16"/>
      <c r="C1265" s="16"/>
      <c r="D1265" s="16"/>
      <c r="E1265" s="16"/>
      <c r="F1265" s="17"/>
      <c r="G1265" s="17"/>
      <c r="I1265" s="6"/>
      <c r="J1265" s="6"/>
    </row>
    <row r="1266">
      <c r="A1266" s="16"/>
      <c r="B1266" s="16"/>
      <c r="C1266" s="16"/>
      <c r="D1266" s="16"/>
      <c r="E1266" s="16"/>
      <c r="F1266" s="17"/>
      <c r="G1266" s="17"/>
      <c r="I1266" s="6"/>
      <c r="J1266" s="6"/>
    </row>
    <row r="1267">
      <c r="A1267" s="16"/>
      <c r="B1267" s="16"/>
      <c r="C1267" s="16"/>
      <c r="D1267" s="16"/>
      <c r="E1267" s="16"/>
      <c r="F1267" s="17"/>
      <c r="G1267" s="17"/>
      <c r="I1267" s="6"/>
      <c r="J1267" s="6"/>
    </row>
    <row r="1268">
      <c r="A1268" s="16"/>
      <c r="B1268" s="16"/>
      <c r="C1268" s="16"/>
      <c r="D1268" s="16"/>
      <c r="E1268" s="16"/>
      <c r="F1268" s="17"/>
      <c r="G1268" s="17"/>
      <c r="I1268" s="6"/>
      <c r="J1268" s="6"/>
    </row>
    <row r="1269">
      <c r="A1269" s="16"/>
      <c r="B1269" s="16"/>
      <c r="C1269" s="16"/>
      <c r="D1269" s="16"/>
      <c r="E1269" s="16"/>
      <c r="F1269" s="17"/>
      <c r="G1269" s="17"/>
      <c r="I1269" s="6"/>
      <c r="J1269" s="6"/>
    </row>
    <row r="1270">
      <c r="A1270" s="16"/>
      <c r="B1270" s="16"/>
      <c r="C1270" s="16"/>
      <c r="D1270" s="16"/>
      <c r="E1270" s="16"/>
      <c r="F1270" s="17"/>
      <c r="G1270" s="17"/>
      <c r="I1270" s="6"/>
      <c r="J1270" s="6"/>
    </row>
    <row r="1271">
      <c r="A1271" s="16"/>
      <c r="B1271" s="16"/>
      <c r="C1271" s="16"/>
      <c r="D1271" s="16"/>
      <c r="E1271" s="16"/>
      <c r="F1271" s="17"/>
      <c r="G1271" s="17"/>
      <c r="I1271" s="6"/>
      <c r="J1271" s="6"/>
    </row>
    <row r="1272">
      <c r="A1272" s="16"/>
      <c r="B1272" s="16"/>
      <c r="C1272" s="16"/>
      <c r="D1272" s="16"/>
      <c r="E1272" s="16"/>
      <c r="F1272" s="17"/>
      <c r="G1272" s="17"/>
      <c r="I1272" s="6"/>
      <c r="J1272" s="6"/>
    </row>
    <row r="1273">
      <c r="A1273" s="16"/>
      <c r="B1273" s="16"/>
      <c r="C1273" s="16"/>
      <c r="D1273" s="16"/>
      <c r="E1273" s="16"/>
      <c r="F1273" s="17"/>
      <c r="G1273" s="17"/>
      <c r="I1273" s="6"/>
      <c r="J1273" s="6"/>
    </row>
    <row r="1274">
      <c r="A1274" s="16"/>
      <c r="B1274" s="16"/>
      <c r="C1274" s="16"/>
      <c r="D1274" s="16"/>
      <c r="E1274" s="16"/>
      <c r="F1274" s="17"/>
      <c r="G1274" s="17"/>
      <c r="I1274" s="6"/>
      <c r="J1274" s="6"/>
    </row>
    <row r="1275">
      <c r="A1275" s="16"/>
      <c r="B1275" s="16"/>
      <c r="C1275" s="16"/>
      <c r="D1275" s="16"/>
      <c r="E1275" s="16"/>
      <c r="F1275" s="17"/>
      <c r="G1275" s="17"/>
      <c r="I1275" s="6"/>
      <c r="J1275" s="6"/>
    </row>
    <row r="1276">
      <c r="A1276" s="16"/>
      <c r="B1276" s="16"/>
      <c r="C1276" s="16"/>
      <c r="D1276" s="16"/>
      <c r="E1276" s="16"/>
      <c r="F1276" s="17"/>
      <c r="G1276" s="17"/>
      <c r="I1276" s="6"/>
      <c r="J1276" s="6"/>
    </row>
    <row r="1277">
      <c r="A1277" s="16"/>
      <c r="B1277" s="16"/>
      <c r="C1277" s="16"/>
      <c r="D1277" s="16"/>
      <c r="E1277" s="16"/>
      <c r="F1277" s="17"/>
      <c r="G1277" s="17"/>
      <c r="I1277" s="6"/>
      <c r="J1277" s="6"/>
    </row>
    <row r="1278">
      <c r="A1278" s="16"/>
      <c r="B1278" s="16"/>
      <c r="C1278" s="16"/>
      <c r="D1278" s="16"/>
      <c r="E1278" s="16"/>
      <c r="F1278" s="17"/>
      <c r="G1278" s="17"/>
      <c r="I1278" s="6"/>
      <c r="J1278" s="6"/>
    </row>
    <row r="1279">
      <c r="A1279" s="16"/>
      <c r="B1279" s="16"/>
      <c r="C1279" s="16"/>
      <c r="D1279" s="16"/>
      <c r="E1279" s="16"/>
      <c r="F1279" s="17"/>
      <c r="G1279" s="17"/>
      <c r="I1279" s="6"/>
      <c r="J1279" s="6"/>
    </row>
    <row r="1280">
      <c r="A1280" s="16"/>
      <c r="B1280" s="16"/>
      <c r="C1280" s="16"/>
      <c r="D1280" s="16"/>
      <c r="E1280" s="16"/>
      <c r="F1280" s="17"/>
      <c r="G1280" s="17"/>
      <c r="I1280" s="6"/>
      <c r="J1280" s="6"/>
    </row>
    <row r="1281">
      <c r="A1281" s="16"/>
      <c r="B1281" s="16"/>
      <c r="C1281" s="16"/>
      <c r="D1281" s="16"/>
      <c r="E1281" s="16"/>
      <c r="F1281" s="17"/>
      <c r="G1281" s="17"/>
      <c r="I1281" s="6"/>
      <c r="J1281" s="6"/>
    </row>
    <row r="1282">
      <c r="A1282" s="16"/>
      <c r="B1282" s="16"/>
      <c r="C1282" s="16"/>
      <c r="D1282" s="16"/>
      <c r="E1282" s="16"/>
      <c r="F1282" s="17"/>
      <c r="G1282" s="17"/>
      <c r="I1282" s="6"/>
      <c r="J1282" s="6"/>
    </row>
    <row r="1283">
      <c r="A1283" s="16"/>
      <c r="B1283" s="16"/>
      <c r="C1283" s="16"/>
      <c r="D1283" s="16"/>
      <c r="E1283" s="16"/>
      <c r="F1283" s="17"/>
      <c r="G1283" s="17"/>
      <c r="I1283" s="6"/>
      <c r="J1283" s="6"/>
    </row>
    <row r="1284">
      <c r="A1284" s="16"/>
      <c r="B1284" s="16"/>
      <c r="C1284" s="16"/>
      <c r="D1284" s="16"/>
      <c r="E1284" s="16"/>
      <c r="F1284" s="17"/>
      <c r="G1284" s="17"/>
      <c r="I1284" s="6"/>
      <c r="J1284" s="6"/>
    </row>
    <row r="1285">
      <c r="A1285" s="16"/>
      <c r="B1285" s="16"/>
      <c r="C1285" s="16"/>
      <c r="D1285" s="16"/>
      <c r="E1285" s="16"/>
      <c r="F1285" s="17"/>
      <c r="G1285" s="17"/>
      <c r="I1285" s="6"/>
      <c r="J1285" s="6"/>
    </row>
    <row r="1286">
      <c r="A1286" s="16"/>
      <c r="B1286" s="16"/>
      <c r="C1286" s="16"/>
      <c r="D1286" s="16"/>
      <c r="E1286" s="16"/>
      <c r="F1286" s="17"/>
      <c r="G1286" s="17"/>
      <c r="I1286" s="6"/>
      <c r="J1286" s="6"/>
    </row>
    <row r="1287">
      <c r="A1287" s="16"/>
      <c r="B1287" s="16"/>
      <c r="C1287" s="16"/>
      <c r="D1287" s="16"/>
      <c r="E1287" s="16"/>
      <c r="F1287" s="17"/>
      <c r="G1287" s="17"/>
      <c r="I1287" s="6"/>
      <c r="J1287" s="6"/>
    </row>
    <row r="1288">
      <c r="A1288" s="16"/>
      <c r="B1288" s="16"/>
      <c r="C1288" s="16"/>
      <c r="D1288" s="16"/>
      <c r="E1288" s="16"/>
      <c r="F1288" s="17"/>
      <c r="G1288" s="17"/>
      <c r="I1288" s="6"/>
      <c r="J1288" s="6"/>
    </row>
    <row r="1289">
      <c r="A1289" s="16"/>
      <c r="B1289" s="16"/>
      <c r="C1289" s="16"/>
      <c r="D1289" s="16"/>
      <c r="E1289" s="16"/>
      <c r="F1289" s="17"/>
      <c r="G1289" s="17"/>
      <c r="I1289" s="6"/>
      <c r="J1289" s="6"/>
    </row>
    <row r="1290">
      <c r="A1290" s="16"/>
      <c r="B1290" s="16"/>
      <c r="C1290" s="16"/>
      <c r="D1290" s="16"/>
      <c r="E1290" s="16"/>
      <c r="F1290" s="17"/>
      <c r="G1290" s="17"/>
      <c r="I1290" s="6"/>
      <c r="J1290" s="6"/>
    </row>
    <row r="1291">
      <c r="A1291" s="16"/>
      <c r="B1291" s="16"/>
      <c r="C1291" s="16"/>
      <c r="D1291" s="16"/>
      <c r="E1291" s="16"/>
      <c r="F1291" s="17"/>
      <c r="G1291" s="17"/>
      <c r="I1291" s="6"/>
      <c r="J1291" s="6"/>
    </row>
    <row r="1292">
      <c r="A1292" s="16"/>
      <c r="B1292" s="16"/>
      <c r="C1292" s="16"/>
      <c r="D1292" s="16"/>
      <c r="E1292" s="16"/>
      <c r="F1292" s="17"/>
      <c r="G1292" s="17"/>
      <c r="I1292" s="6"/>
      <c r="J1292" s="6"/>
    </row>
    <row r="1293">
      <c r="A1293" s="16"/>
      <c r="B1293" s="16"/>
      <c r="C1293" s="16"/>
      <c r="D1293" s="16"/>
      <c r="E1293" s="16"/>
      <c r="F1293" s="17"/>
      <c r="G1293" s="17"/>
      <c r="I1293" s="6"/>
      <c r="J1293" s="6"/>
    </row>
    <row r="1294">
      <c r="A1294" s="16"/>
      <c r="B1294" s="16"/>
      <c r="C1294" s="16"/>
      <c r="D1294" s="16"/>
      <c r="E1294" s="16"/>
      <c r="F1294" s="17"/>
      <c r="G1294" s="17"/>
      <c r="I1294" s="6"/>
      <c r="J1294" s="6"/>
    </row>
    <row r="1295">
      <c r="A1295" s="16"/>
      <c r="B1295" s="16"/>
      <c r="C1295" s="16"/>
      <c r="D1295" s="16"/>
      <c r="E1295" s="16"/>
      <c r="F1295" s="17"/>
      <c r="G1295" s="17"/>
      <c r="I1295" s="6"/>
      <c r="J1295" s="6"/>
    </row>
    <row r="1296">
      <c r="A1296" s="16"/>
      <c r="B1296" s="16"/>
      <c r="C1296" s="16"/>
      <c r="D1296" s="16"/>
      <c r="E1296" s="16"/>
      <c r="F1296" s="17"/>
      <c r="G1296" s="17"/>
      <c r="I1296" s="6"/>
      <c r="J1296" s="6"/>
    </row>
    <row r="1297">
      <c r="A1297" s="16"/>
      <c r="B1297" s="16"/>
      <c r="C1297" s="16"/>
      <c r="D1297" s="16"/>
      <c r="E1297" s="16"/>
      <c r="F1297" s="17"/>
      <c r="G1297" s="17"/>
      <c r="I1297" s="6"/>
      <c r="J1297" s="6"/>
    </row>
    <row r="1298">
      <c r="A1298" s="16"/>
      <c r="B1298" s="16"/>
      <c r="C1298" s="16"/>
      <c r="D1298" s="16"/>
      <c r="E1298" s="16"/>
      <c r="F1298" s="17"/>
      <c r="G1298" s="17"/>
      <c r="I1298" s="6"/>
      <c r="J1298" s="6"/>
    </row>
    <row r="1299">
      <c r="A1299" s="16"/>
      <c r="B1299" s="16"/>
      <c r="C1299" s="16"/>
      <c r="D1299" s="16"/>
      <c r="E1299" s="16"/>
      <c r="F1299" s="17"/>
      <c r="G1299" s="17"/>
      <c r="I1299" s="6"/>
      <c r="J1299" s="6"/>
    </row>
    <row r="1300">
      <c r="A1300" s="16"/>
      <c r="B1300" s="16"/>
      <c r="C1300" s="16"/>
      <c r="D1300" s="16"/>
      <c r="E1300" s="16"/>
      <c r="F1300" s="17"/>
      <c r="G1300" s="17"/>
      <c r="I1300" s="6"/>
      <c r="J1300" s="6"/>
    </row>
    <row r="1301">
      <c r="A1301" s="16"/>
      <c r="B1301" s="16"/>
      <c r="C1301" s="16"/>
      <c r="D1301" s="16"/>
      <c r="E1301" s="16"/>
      <c r="F1301" s="17"/>
      <c r="G1301" s="17"/>
      <c r="I1301" s="6"/>
      <c r="J1301" s="6"/>
    </row>
    <row r="1302">
      <c r="A1302" s="16"/>
      <c r="B1302" s="16"/>
      <c r="C1302" s="16"/>
      <c r="D1302" s="16"/>
      <c r="E1302" s="16"/>
      <c r="F1302" s="17"/>
      <c r="G1302" s="17"/>
      <c r="I1302" s="6"/>
      <c r="J1302" s="6"/>
    </row>
    <row r="1303">
      <c r="A1303" s="16"/>
      <c r="B1303" s="16"/>
      <c r="C1303" s="16"/>
      <c r="D1303" s="16"/>
      <c r="E1303" s="16"/>
      <c r="F1303" s="17"/>
      <c r="G1303" s="17"/>
      <c r="I1303" s="6"/>
      <c r="J1303" s="6"/>
    </row>
    <row r="1304">
      <c r="A1304" s="16"/>
      <c r="B1304" s="16"/>
      <c r="C1304" s="16"/>
      <c r="D1304" s="16"/>
      <c r="E1304" s="16"/>
      <c r="F1304" s="17"/>
      <c r="G1304" s="17"/>
      <c r="I1304" s="6"/>
      <c r="J1304" s="6"/>
    </row>
    <row r="1305">
      <c r="A1305" s="16"/>
      <c r="B1305" s="16"/>
      <c r="C1305" s="16"/>
      <c r="D1305" s="16"/>
      <c r="E1305" s="16"/>
      <c r="F1305" s="17"/>
      <c r="G1305" s="17"/>
      <c r="I1305" s="6"/>
      <c r="J1305" s="6"/>
    </row>
    <row r="1306">
      <c r="A1306" s="16"/>
      <c r="B1306" s="16"/>
      <c r="C1306" s="16"/>
      <c r="D1306" s="16"/>
      <c r="E1306" s="16"/>
      <c r="F1306" s="17"/>
      <c r="G1306" s="17"/>
      <c r="I1306" s="6"/>
      <c r="J1306" s="6"/>
    </row>
    <row r="1307">
      <c r="A1307" s="16"/>
      <c r="B1307" s="16"/>
      <c r="C1307" s="16"/>
      <c r="D1307" s="16"/>
      <c r="E1307" s="16"/>
      <c r="F1307" s="17"/>
      <c r="G1307" s="17"/>
      <c r="I1307" s="6"/>
      <c r="J1307" s="6"/>
    </row>
    <row r="1308">
      <c r="A1308" s="16"/>
      <c r="B1308" s="16"/>
      <c r="C1308" s="16"/>
      <c r="D1308" s="16"/>
      <c r="E1308" s="16"/>
      <c r="F1308" s="17"/>
      <c r="G1308" s="17"/>
      <c r="I1308" s="6"/>
      <c r="J1308" s="6"/>
    </row>
    <row r="1309">
      <c r="A1309" s="16"/>
      <c r="B1309" s="16"/>
      <c r="C1309" s="16"/>
      <c r="D1309" s="16"/>
      <c r="E1309" s="16"/>
      <c r="F1309" s="17"/>
      <c r="G1309" s="17"/>
      <c r="I1309" s="6"/>
      <c r="J1309" s="6"/>
    </row>
    <row r="1310">
      <c r="A1310" s="16"/>
      <c r="B1310" s="16"/>
      <c r="C1310" s="16"/>
      <c r="D1310" s="16"/>
      <c r="E1310" s="16"/>
      <c r="F1310" s="17"/>
      <c r="G1310" s="17"/>
      <c r="I1310" s="6"/>
      <c r="J1310" s="6"/>
    </row>
    <row r="1311">
      <c r="A1311" s="16"/>
      <c r="B1311" s="16"/>
      <c r="C1311" s="16"/>
      <c r="D1311" s="16"/>
      <c r="E1311" s="16"/>
      <c r="F1311" s="17"/>
      <c r="G1311" s="17"/>
      <c r="I1311" s="6"/>
      <c r="J1311" s="6"/>
    </row>
    <row r="1312">
      <c r="A1312" s="16"/>
      <c r="B1312" s="16"/>
      <c r="C1312" s="16"/>
      <c r="D1312" s="16"/>
      <c r="E1312" s="16"/>
      <c r="F1312" s="17"/>
      <c r="G1312" s="17"/>
      <c r="I1312" s="6"/>
      <c r="J1312" s="6"/>
    </row>
    <row r="1313">
      <c r="A1313" s="16"/>
      <c r="B1313" s="16"/>
      <c r="C1313" s="16"/>
      <c r="D1313" s="16"/>
      <c r="E1313" s="16"/>
      <c r="F1313" s="17"/>
      <c r="G1313" s="17"/>
      <c r="I1313" s="6"/>
      <c r="J1313" s="6"/>
    </row>
    <row r="1314">
      <c r="A1314" s="16"/>
      <c r="B1314" s="16"/>
      <c r="C1314" s="16"/>
      <c r="D1314" s="16"/>
      <c r="E1314" s="16"/>
      <c r="F1314" s="17"/>
      <c r="G1314" s="17"/>
      <c r="I1314" s="6"/>
      <c r="J1314" s="6"/>
    </row>
    <row r="1315">
      <c r="A1315" s="16"/>
      <c r="B1315" s="16"/>
      <c r="C1315" s="16"/>
      <c r="D1315" s="16"/>
      <c r="E1315" s="16"/>
      <c r="F1315" s="17"/>
      <c r="G1315" s="17"/>
      <c r="I1315" s="6"/>
      <c r="J1315" s="6"/>
    </row>
    <row r="1316">
      <c r="A1316" s="16"/>
      <c r="B1316" s="16"/>
      <c r="C1316" s="16"/>
      <c r="D1316" s="16"/>
      <c r="E1316" s="16"/>
      <c r="F1316" s="17"/>
      <c r="G1316" s="17"/>
      <c r="I1316" s="6"/>
      <c r="J1316" s="6"/>
    </row>
    <row r="1317">
      <c r="A1317" s="16"/>
      <c r="B1317" s="16"/>
      <c r="C1317" s="16"/>
      <c r="D1317" s="16"/>
      <c r="E1317" s="16"/>
      <c r="F1317" s="17"/>
      <c r="G1317" s="17"/>
      <c r="I1317" s="6"/>
      <c r="J1317" s="6"/>
    </row>
    <row r="1318">
      <c r="A1318" s="16"/>
      <c r="B1318" s="16"/>
      <c r="C1318" s="16"/>
      <c r="D1318" s="16"/>
      <c r="E1318" s="16"/>
      <c r="F1318" s="17"/>
      <c r="G1318" s="17"/>
      <c r="I1318" s="6"/>
      <c r="J1318" s="6"/>
    </row>
    <row r="1319">
      <c r="A1319" s="16"/>
      <c r="B1319" s="16"/>
      <c r="C1319" s="16"/>
      <c r="D1319" s="16"/>
      <c r="E1319" s="16"/>
      <c r="F1319" s="17"/>
      <c r="G1319" s="17"/>
      <c r="I1319" s="6"/>
      <c r="J1319" s="6"/>
    </row>
    <row r="1320">
      <c r="A1320" s="16"/>
      <c r="B1320" s="16"/>
      <c r="C1320" s="16"/>
      <c r="D1320" s="16"/>
      <c r="E1320" s="16"/>
      <c r="F1320" s="17"/>
      <c r="G1320" s="17"/>
      <c r="I1320" s="6"/>
      <c r="J1320" s="6"/>
    </row>
    <row r="1321">
      <c r="A1321" s="16"/>
      <c r="B1321" s="16"/>
      <c r="C1321" s="16"/>
      <c r="D1321" s="16"/>
      <c r="E1321" s="16"/>
      <c r="F1321" s="17"/>
      <c r="G1321" s="17"/>
      <c r="I1321" s="6"/>
      <c r="J1321" s="6"/>
    </row>
    <row r="1322">
      <c r="A1322" s="16"/>
      <c r="B1322" s="16"/>
      <c r="C1322" s="16"/>
      <c r="D1322" s="16"/>
      <c r="E1322" s="16"/>
      <c r="F1322" s="17"/>
      <c r="G1322" s="17"/>
      <c r="I1322" s="6"/>
      <c r="J1322" s="6"/>
    </row>
    <row r="1323">
      <c r="A1323" s="16"/>
      <c r="B1323" s="16"/>
      <c r="C1323" s="16"/>
      <c r="D1323" s="16"/>
      <c r="E1323" s="16"/>
      <c r="F1323" s="17"/>
      <c r="G1323" s="17"/>
      <c r="I1323" s="6"/>
      <c r="J1323" s="6"/>
    </row>
    <row r="1324">
      <c r="A1324" s="16"/>
      <c r="B1324" s="16"/>
      <c r="C1324" s="16"/>
      <c r="D1324" s="16"/>
      <c r="E1324" s="16"/>
      <c r="F1324" s="17"/>
      <c r="G1324" s="17"/>
      <c r="I1324" s="6"/>
      <c r="J1324" s="6"/>
    </row>
    <row r="1325">
      <c r="A1325" s="16"/>
      <c r="B1325" s="16"/>
      <c r="C1325" s="16"/>
      <c r="D1325" s="16"/>
      <c r="E1325" s="16"/>
      <c r="F1325" s="17"/>
      <c r="G1325" s="17"/>
      <c r="I1325" s="6"/>
      <c r="J1325" s="6"/>
    </row>
    <row r="1326">
      <c r="A1326" s="16"/>
      <c r="B1326" s="16"/>
      <c r="C1326" s="16"/>
      <c r="D1326" s="16"/>
      <c r="E1326" s="16"/>
      <c r="F1326" s="17"/>
      <c r="G1326" s="17"/>
      <c r="I1326" s="6"/>
      <c r="J1326" s="6"/>
    </row>
    <row r="1327">
      <c r="A1327" s="16"/>
      <c r="B1327" s="16"/>
      <c r="C1327" s="16"/>
      <c r="D1327" s="16"/>
      <c r="E1327" s="16"/>
      <c r="F1327" s="17"/>
      <c r="G1327" s="17"/>
      <c r="I1327" s="6"/>
      <c r="J1327" s="6"/>
    </row>
    <row r="1328">
      <c r="A1328" s="16"/>
      <c r="B1328" s="16"/>
      <c r="C1328" s="16"/>
      <c r="D1328" s="16"/>
      <c r="E1328" s="16"/>
      <c r="F1328" s="17"/>
      <c r="G1328" s="17"/>
      <c r="I1328" s="6"/>
      <c r="J1328" s="6"/>
    </row>
    <row r="1329">
      <c r="A1329" s="16"/>
      <c r="B1329" s="16"/>
      <c r="C1329" s="16"/>
      <c r="D1329" s="16"/>
      <c r="E1329" s="16"/>
      <c r="F1329" s="17"/>
      <c r="G1329" s="17"/>
      <c r="I1329" s="6"/>
      <c r="J1329" s="6"/>
    </row>
    <row r="1330">
      <c r="A1330" s="16"/>
      <c r="B1330" s="16"/>
      <c r="C1330" s="16"/>
      <c r="D1330" s="16"/>
      <c r="E1330" s="16"/>
      <c r="F1330" s="17"/>
      <c r="G1330" s="17"/>
      <c r="I1330" s="6"/>
      <c r="J1330" s="6"/>
    </row>
    <row r="1331">
      <c r="A1331" s="16"/>
      <c r="B1331" s="16"/>
      <c r="C1331" s="16"/>
      <c r="D1331" s="16"/>
      <c r="E1331" s="16"/>
      <c r="F1331" s="17"/>
      <c r="G1331" s="17"/>
      <c r="I1331" s="6"/>
      <c r="J1331" s="6"/>
    </row>
    <row r="1332">
      <c r="A1332" s="16"/>
      <c r="B1332" s="16"/>
      <c r="C1332" s="16"/>
      <c r="D1332" s="16"/>
      <c r="E1332" s="16"/>
      <c r="F1332" s="17"/>
      <c r="G1332" s="17"/>
      <c r="I1332" s="6"/>
      <c r="J1332" s="6"/>
    </row>
    <row r="1333">
      <c r="A1333" s="16"/>
      <c r="B1333" s="16"/>
      <c r="C1333" s="16"/>
      <c r="D1333" s="16"/>
      <c r="E1333" s="16"/>
      <c r="F1333" s="17"/>
      <c r="G1333" s="17"/>
      <c r="I1333" s="6"/>
      <c r="J1333" s="6"/>
    </row>
    <row r="1334">
      <c r="A1334" s="16"/>
      <c r="B1334" s="16"/>
      <c r="C1334" s="16"/>
      <c r="D1334" s="16"/>
      <c r="E1334" s="16"/>
      <c r="F1334" s="17"/>
      <c r="G1334" s="17"/>
      <c r="I1334" s="6"/>
      <c r="J1334" s="6"/>
    </row>
    <row r="1335">
      <c r="A1335" s="16"/>
      <c r="B1335" s="16"/>
      <c r="C1335" s="16"/>
      <c r="D1335" s="16"/>
      <c r="E1335" s="16"/>
      <c r="F1335" s="17"/>
      <c r="G1335" s="17"/>
      <c r="I1335" s="6"/>
      <c r="J1335" s="6"/>
    </row>
    <row r="1336">
      <c r="A1336" s="16"/>
      <c r="B1336" s="16"/>
      <c r="C1336" s="16"/>
      <c r="D1336" s="16"/>
      <c r="E1336" s="16"/>
      <c r="F1336" s="17"/>
      <c r="G1336" s="17"/>
      <c r="I1336" s="6"/>
      <c r="J1336" s="6"/>
    </row>
    <row r="1337">
      <c r="A1337" s="16"/>
      <c r="B1337" s="16"/>
      <c r="C1337" s="16"/>
      <c r="D1337" s="16"/>
      <c r="E1337" s="16"/>
      <c r="F1337" s="17"/>
      <c r="G1337" s="17"/>
      <c r="I1337" s="6"/>
      <c r="J1337" s="6"/>
    </row>
    <row r="1338">
      <c r="A1338" s="16"/>
      <c r="B1338" s="16"/>
      <c r="C1338" s="16"/>
      <c r="D1338" s="16"/>
      <c r="E1338" s="16"/>
      <c r="F1338" s="17"/>
      <c r="G1338" s="17"/>
      <c r="I1338" s="6"/>
      <c r="J1338" s="6"/>
    </row>
    <row r="1339">
      <c r="A1339" s="16"/>
      <c r="B1339" s="16"/>
      <c r="C1339" s="16"/>
      <c r="D1339" s="16"/>
      <c r="E1339" s="16"/>
      <c r="F1339" s="17"/>
      <c r="G1339" s="17"/>
      <c r="I1339" s="6"/>
      <c r="J1339" s="6"/>
    </row>
    <row r="1340">
      <c r="A1340" s="16"/>
      <c r="B1340" s="16"/>
      <c r="C1340" s="16"/>
      <c r="D1340" s="16"/>
      <c r="E1340" s="16"/>
      <c r="F1340" s="17"/>
      <c r="G1340" s="17"/>
      <c r="I1340" s="6"/>
      <c r="J1340" s="6"/>
    </row>
    <row r="1341">
      <c r="A1341" s="16"/>
      <c r="B1341" s="16"/>
      <c r="C1341" s="16"/>
      <c r="D1341" s="16"/>
      <c r="E1341" s="16"/>
      <c r="F1341" s="17"/>
      <c r="G1341" s="17"/>
      <c r="I1341" s="6"/>
      <c r="J1341" s="6"/>
    </row>
    <row r="1342">
      <c r="A1342" s="16"/>
      <c r="B1342" s="16"/>
      <c r="C1342" s="16"/>
      <c r="D1342" s="16"/>
      <c r="E1342" s="16"/>
      <c r="F1342" s="17"/>
      <c r="G1342" s="17"/>
      <c r="I1342" s="6"/>
      <c r="J1342" s="6"/>
    </row>
    <row r="1343">
      <c r="A1343" s="16"/>
      <c r="B1343" s="16"/>
      <c r="C1343" s="16"/>
      <c r="D1343" s="16"/>
      <c r="E1343" s="16"/>
      <c r="F1343" s="17"/>
      <c r="G1343" s="17"/>
      <c r="I1343" s="6"/>
      <c r="J1343" s="6"/>
    </row>
    <row r="1344">
      <c r="A1344" s="16"/>
      <c r="B1344" s="16"/>
      <c r="C1344" s="16"/>
      <c r="D1344" s="16"/>
      <c r="E1344" s="16"/>
      <c r="F1344" s="17"/>
      <c r="G1344" s="17"/>
      <c r="I1344" s="6"/>
      <c r="J1344" s="6"/>
    </row>
    <row r="1345">
      <c r="A1345" s="16"/>
      <c r="B1345" s="16"/>
      <c r="C1345" s="16"/>
      <c r="D1345" s="16"/>
      <c r="E1345" s="16"/>
      <c r="F1345" s="17"/>
      <c r="G1345" s="17"/>
      <c r="I1345" s="6"/>
      <c r="J1345" s="6"/>
    </row>
    <row r="1346">
      <c r="A1346" s="16"/>
      <c r="B1346" s="16"/>
      <c r="C1346" s="16"/>
      <c r="D1346" s="16"/>
      <c r="E1346" s="16"/>
      <c r="F1346" s="17"/>
      <c r="G1346" s="17"/>
      <c r="I1346" s="6"/>
      <c r="J1346" s="6"/>
    </row>
    <row r="1347">
      <c r="A1347" s="16"/>
      <c r="B1347" s="16"/>
      <c r="C1347" s="16"/>
      <c r="D1347" s="16"/>
      <c r="E1347" s="16"/>
      <c r="F1347" s="17"/>
      <c r="G1347" s="17"/>
      <c r="I1347" s="6"/>
      <c r="J1347" s="6"/>
    </row>
    <row r="1348">
      <c r="A1348" s="16"/>
      <c r="B1348" s="16"/>
      <c r="C1348" s="16"/>
      <c r="D1348" s="16"/>
      <c r="E1348" s="16"/>
      <c r="F1348" s="17"/>
      <c r="G1348" s="17"/>
      <c r="I1348" s="6"/>
      <c r="J1348" s="6"/>
    </row>
    <row r="1349">
      <c r="A1349" s="16"/>
      <c r="B1349" s="16"/>
      <c r="C1349" s="16"/>
      <c r="D1349" s="16"/>
      <c r="E1349" s="16"/>
      <c r="F1349" s="17"/>
      <c r="G1349" s="17"/>
      <c r="I1349" s="6"/>
      <c r="J1349" s="6"/>
    </row>
    <row r="1350">
      <c r="A1350" s="16"/>
      <c r="B1350" s="16"/>
      <c r="C1350" s="16"/>
      <c r="D1350" s="16"/>
      <c r="E1350" s="16"/>
      <c r="F1350" s="17"/>
      <c r="G1350" s="17"/>
      <c r="I1350" s="6"/>
      <c r="J1350" s="6"/>
    </row>
    <row r="1351">
      <c r="A1351" s="16"/>
      <c r="B1351" s="16"/>
      <c r="C1351" s="16"/>
      <c r="D1351" s="16"/>
      <c r="E1351" s="16"/>
      <c r="F1351" s="17"/>
      <c r="G1351" s="17"/>
      <c r="I1351" s="6"/>
      <c r="J1351" s="6"/>
    </row>
    <row r="1352">
      <c r="A1352" s="16"/>
      <c r="B1352" s="16"/>
      <c r="C1352" s="16"/>
      <c r="D1352" s="16"/>
      <c r="E1352" s="16"/>
      <c r="F1352" s="17"/>
      <c r="G1352" s="17"/>
      <c r="I1352" s="6"/>
      <c r="J1352" s="6"/>
    </row>
    <row r="1353">
      <c r="A1353" s="16"/>
      <c r="B1353" s="16"/>
      <c r="C1353" s="16"/>
      <c r="D1353" s="16"/>
      <c r="E1353" s="16"/>
      <c r="F1353" s="17"/>
      <c r="G1353" s="17"/>
      <c r="I1353" s="6"/>
      <c r="J1353" s="6"/>
    </row>
    <row r="1354">
      <c r="A1354" s="16"/>
      <c r="B1354" s="16"/>
      <c r="C1354" s="16"/>
      <c r="D1354" s="16"/>
      <c r="E1354" s="16"/>
      <c r="F1354" s="17"/>
      <c r="G1354" s="17"/>
      <c r="I1354" s="6"/>
      <c r="J1354" s="6"/>
    </row>
    <row r="1355">
      <c r="A1355" s="16"/>
      <c r="B1355" s="16"/>
      <c r="C1355" s="16"/>
      <c r="D1355" s="16"/>
      <c r="E1355" s="16"/>
      <c r="F1355" s="17"/>
      <c r="G1355" s="17"/>
      <c r="I1355" s="6"/>
      <c r="J1355" s="6"/>
    </row>
    <row r="1356">
      <c r="A1356" s="16"/>
      <c r="B1356" s="16"/>
      <c r="C1356" s="16"/>
      <c r="D1356" s="16"/>
      <c r="E1356" s="16"/>
      <c r="F1356" s="17"/>
      <c r="G1356" s="17"/>
      <c r="I1356" s="6"/>
      <c r="J1356" s="6"/>
    </row>
    <row r="1357">
      <c r="A1357" s="16"/>
      <c r="B1357" s="16"/>
      <c r="C1357" s="16"/>
      <c r="D1357" s="16"/>
      <c r="E1357" s="16"/>
      <c r="F1357" s="17"/>
      <c r="G1357" s="17"/>
      <c r="I1357" s="6"/>
      <c r="J1357" s="6"/>
    </row>
    <row r="1358">
      <c r="A1358" s="16"/>
      <c r="B1358" s="16"/>
      <c r="C1358" s="16"/>
      <c r="D1358" s="16"/>
      <c r="E1358" s="16"/>
      <c r="F1358" s="17"/>
      <c r="G1358" s="17"/>
      <c r="I1358" s="6"/>
      <c r="J1358" s="6"/>
    </row>
    <row r="1359">
      <c r="A1359" s="16"/>
      <c r="B1359" s="16"/>
      <c r="C1359" s="16"/>
      <c r="D1359" s="16"/>
      <c r="E1359" s="16"/>
      <c r="F1359" s="17"/>
      <c r="G1359" s="17"/>
      <c r="I1359" s="6"/>
      <c r="J1359" s="6"/>
    </row>
    <row r="1360">
      <c r="A1360" s="16"/>
      <c r="B1360" s="16"/>
      <c r="C1360" s="16"/>
      <c r="D1360" s="16"/>
      <c r="E1360" s="16"/>
      <c r="F1360" s="17"/>
      <c r="G1360" s="17"/>
      <c r="I1360" s="6"/>
      <c r="J1360" s="6"/>
    </row>
    <row r="1361">
      <c r="A1361" s="16"/>
      <c r="B1361" s="16"/>
      <c r="C1361" s="16"/>
      <c r="D1361" s="16"/>
      <c r="E1361" s="16"/>
      <c r="F1361" s="17"/>
      <c r="G1361" s="17"/>
      <c r="I1361" s="6"/>
      <c r="J1361" s="6"/>
    </row>
    <row r="1362">
      <c r="A1362" s="16"/>
      <c r="B1362" s="16"/>
      <c r="C1362" s="16"/>
      <c r="D1362" s="16"/>
      <c r="E1362" s="16"/>
      <c r="F1362" s="17"/>
      <c r="G1362" s="17"/>
      <c r="I1362" s="6"/>
      <c r="J1362" s="6"/>
    </row>
    <row r="1363">
      <c r="A1363" s="16"/>
      <c r="B1363" s="16"/>
      <c r="C1363" s="16"/>
      <c r="D1363" s="16"/>
      <c r="E1363" s="16"/>
      <c r="F1363" s="17"/>
      <c r="G1363" s="17"/>
      <c r="I1363" s="6"/>
      <c r="J1363" s="6"/>
    </row>
    <row r="1364">
      <c r="A1364" s="16"/>
      <c r="B1364" s="16"/>
      <c r="C1364" s="16"/>
      <c r="D1364" s="16"/>
      <c r="E1364" s="16"/>
      <c r="F1364" s="17"/>
      <c r="G1364" s="17"/>
      <c r="I1364" s="6"/>
      <c r="J1364" s="6"/>
    </row>
    <row r="1365">
      <c r="A1365" s="16"/>
      <c r="B1365" s="16"/>
      <c r="C1365" s="16"/>
      <c r="D1365" s="16"/>
      <c r="E1365" s="16"/>
      <c r="F1365" s="17"/>
      <c r="G1365" s="17"/>
      <c r="I1365" s="6"/>
      <c r="J1365" s="6"/>
    </row>
    <row r="1366">
      <c r="A1366" s="16"/>
      <c r="B1366" s="16"/>
      <c r="C1366" s="16"/>
      <c r="D1366" s="16"/>
      <c r="E1366" s="16"/>
      <c r="F1366" s="17"/>
      <c r="G1366" s="17"/>
      <c r="I1366" s="6"/>
      <c r="J1366" s="6"/>
    </row>
    <row r="1367">
      <c r="A1367" s="16"/>
      <c r="B1367" s="16"/>
      <c r="C1367" s="16"/>
      <c r="D1367" s="16"/>
      <c r="E1367" s="16"/>
      <c r="F1367" s="17"/>
      <c r="G1367" s="17"/>
      <c r="I1367" s="6"/>
      <c r="J1367" s="6"/>
    </row>
    <row r="1368">
      <c r="A1368" s="16"/>
      <c r="B1368" s="16"/>
      <c r="C1368" s="16"/>
      <c r="D1368" s="16"/>
      <c r="E1368" s="16"/>
      <c r="F1368" s="17"/>
      <c r="G1368" s="17"/>
      <c r="I1368" s="6"/>
      <c r="J1368" s="6"/>
    </row>
    <row r="1369">
      <c r="A1369" s="16"/>
      <c r="B1369" s="16"/>
      <c r="C1369" s="16"/>
      <c r="D1369" s="16"/>
      <c r="E1369" s="16"/>
      <c r="F1369" s="17"/>
      <c r="G1369" s="17"/>
      <c r="I1369" s="6"/>
      <c r="J1369" s="6"/>
    </row>
    <row r="1370">
      <c r="A1370" s="16"/>
      <c r="B1370" s="16"/>
      <c r="C1370" s="16"/>
      <c r="D1370" s="16"/>
      <c r="E1370" s="16"/>
      <c r="F1370" s="17"/>
      <c r="G1370" s="17"/>
      <c r="I1370" s="6"/>
      <c r="J1370" s="6"/>
    </row>
    <row r="1371">
      <c r="A1371" s="16"/>
      <c r="B1371" s="16"/>
      <c r="C1371" s="16"/>
      <c r="D1371" s="16"/>
      <c r="E1371" s="16"/>
      <c r="F1371" s="17"/>
      <c r="G1371" s="17"/>
      <c r="I1371" s="6"/>
      <c r="J1371" s="6"/>
    </row>
    <row r="1372">
      <c r="A1372" s="16"/>
      <c r="B1372" s="16"/>
      <c r="C1372" s="16"/>
      <c r="D1372" s="16"/>
      <c r="E1372" s="16"/>
      <c r="F1372" s="17"/>
      <c r="G1372" s="17"/>
      <c r="I1372" s="6"/>
      <c r="J1372" s="6"/>
    </row>
    <row r="1373">
      <c r="A1373" s="16"/>
      <c r="B1373" s="16"/>
      <c r="C1373" s="16"/>
      <c r="D1373" s="16"/>
      <c r="E1373" s="16"/>
      <c r="F1373" s="17"/>
      <c r="G1373" s="17"/>
      <c r="I1373" s="6"/>
      <c r="J1373" s="6"/>
    </row>
    <row r="1374">
      <c r="A1374" s="16"/>
      <c r="B1374" s="16"/>
      <c r="C1374" s="16"/>
      <c r="D1374" s="16"/>
      <c r="E1374" s="16"/>
      <c r="F1374" s="17"/>
      <c r="G1374" s="17"/>
      <c r="I1374" s="6"/>
      <c r="J1374" s="6"/>
    </row>
    <row r="1375">
      <c r="A1375" s="16"/>
      <c r="B1375" s="16"/>
      <c r="C1375" s="16"/>
      <c r="D1375" s="16"/>
      <c r="E1375" s="16"/>
      <c r="F1375" s="17"/>
      <c r="G1375" s="17"/>
      <c r="I1375" s="6"/>
      <c r="J1375" s="6"/>
    </row>
    <row r="1376">
      <c r="A1376" s="16"/>
      <c r="B1376" s="16"/>
      <c r="C1376" s="16"/>
      <c r="D1376" s="16"/>
      <c r="E1376" s="16"/>
      <c r="F1376" s="17"/>
      <c r="G1376" s="17"/>
      <c r="I1376" s="6"/>
      <c r="J1376" s="6"/>
    </row>
    <row r="1377">
      <c r="A1377" s="16"/>
      <c r="B1377" s="16"/>
      <c r="C1377" s="16"/>
      <c r="D1377" s="16"/>
      <c r="E1377" s="16"/>
      <c r="F1377" s="17"/>
      <c r="G1377" s="17"/>
      <c r="I1377" s="6"/>
      <c r="J1377" s="6"/>
    </row>
    <row r="1378">
      <c r="A1378" s="16"/>
      <c r="B1378" s="16"/>
      <c r="C1378" s="16"/>
      <c r="D1378" s="16"/>
      <c r="E1378" s="16"/>
      <c r="F1378" s="17"/>
      <c r="G1378" s="17"/>
      <c r="I1378" s="6"/>
      <c r="J1378" s="6"/>
    </row>
    <row r="1379">
      <c r="A1379" s="16"/>
      <c r="B1379" s="16"/>
      <c r="C1379" s="16"/>
      <c r="D1379" s="16"/>
      <c r="E1379" s="16"/>
      <c r="F1379" s="17"/>
      <c r="G1379" s="17"/>
      <c r="I1379" s="6"/>
      <c r="J1379" s="6"/>
    </row>
    <row r="1380">
      <c r="A1380" s="16"/>
      <c r="B1380" s="16"/>
      <c r="C1380" s="16"/>
      <c r="D1380" s="16"/>
      <c r="E1380" s="16"/>
      <c r="F1380" s="17"/>
      <c r="G1380" s="17"/>
      <c r="I1380" s="6"/>
      <c r="J1380" s="6"/>
    </row>
    <row r="1381">
      <c r="A1381" s="16"/>
      <c r="B1381" s="16"/>
      <c r="C1381" s="16"/>
      <c r="D1381" s="16"/>
      <c r="E1381" s="16"/>
      <c r="F1381" s="17"/>
      <c r="G1381" s="17"/>
      <c r="I1381" s="6"/>
      <c r="J1381" s="6"/>
    </row>
    <row r="1382">
      <c r="A1382" s="16"/>
      <c r="B1382" s="16"/>
      <c r="C1382" s="16"/>
      <c r="D1382" s="16"/>
      <c r="E1382" s="16"/>
      <c r="F1382" s="17"/>
      <c r="G1382" s="17"/>
      <c r="I1382" s="6"/>
      <c r="J1382" s="6"/>
    </row>
    <row r="1383">
      <c r="A1383" s="16"/>
      <c r="B1383" s="16"/>
      <c r="C1383" s="16"/>
      <c r="D1383" s="16"/>
      <c r="E1383" s="16"/>
      <c r="F1383" s="17"/>
      <c r="G1383" s="17"/>
      <c r="I1383" s="6"/>
      <c r="J1383" s="6"/>
    </row>
    <row r="1384">
      <c r="A1384" s="16"/>
      <c r="B1384" s="16"/>
      <c r="C1384" s="16"/>
      <c r="D1384" s="16"/>
      <c r="E1384" s="16"/>
      <c r="F1384" s="17"/>
      <c r="G1384" s="17"/>
      <c r="I1384" s="6"/>
      <c r="J1384" s="6"/>
    </row>
    <row r="1385">
      <c r="A1385" s="16"/>
      <c r="B1385" s="16"/>
      <c r="C1385" s="16"/>
      <c r="D1385" s="16"/>
      <c r="E1385" s="16"/>
      <c r="F1385" s="17"/>
      <c r="G1385" s="17"/>
      <c r="I1385" s="6"/>
      <c r="J1385" s="6"/>
    </row>
    <row r="1386">
      <c r="A1386" s="16"/>
      <c r="B1386" s="16"/>
      <c r="C1386" s="16"/>
      <c r="D1386" s="16"/>
      <c r="E1386" s="16"/>
      <c r="F1386" s="17"/>
      <c r="G1386" s="17"/>
      <c r="I1386" s="6"/>
      <c r="J1386" s="6"/>
    </row>
    <row r="1387">
      <c r="A1387" s="16"/>
      <c r="B1387" s="16"/>
      <c r="C1387" s="16"/>
      <c r="D1387" s="16"/>
      <c r="E1387" s="16"/>
      <c r="F1387" s="17"/>
      <c r="G1387" s="17"/>
      <c r="I1387" s="6"/>
      <c r="J1387" s="6"/>
    </row>
    <row r="1388">
      <c r="A1388" s="16"/>
      <c r="B1388" s="16"/>
      <c r="C1388" s="16"/>
      <c r="D1388" s="16"/>
      <c r="E1388" s="16"/>
      <c r="F1388" s="17"/>
      <c r="G1388" s="17"/>
      <c r="I1388" s="6"/>
      <c r="J1388" s="6"/>
    </row>
    <row r="1389">
      <c r="A1389" s="16"/>
      <c r="B1389" s="16"/>
      <c r="C1389" s="16"/>
      <c r="D1389" s="16"/>
      <c r="E1389" s="16"/>
      <c r="F1389" s="17"/>
      <c r="G1389" s="17"/>
      <c r="I1389" s="6"/>
      <c r="J1389" s="6"/>
    </row>
    <row r="1390">
      <c r="A1390" s="16"/>
      <c r="B1390" s="16"/>
      <c r="C1390" s="16"/>
      <c r="D1390" s="16"/>
      <c r="E1390" s="16"/>
      <c r="F1390" s="17"/>
      <c r="G1390" s="17"/>
      <c r="I1390" s="6"/>
      <c r="J1390" s="6"/>
    </row>
    <row r="1391">
      <c r="A1391" s="16"/>
      <c r="B1391" s="16"/>
      <c r="C1391" s="16"/>
      <c r="D1391" s="16"/>
      <c r="E1391" s="16"/>
      <c r="F1391" s="17"/>
      <c r="G1391" s="17"/>
      <c r="I1391" s="6"/>
      <c r="J1391" s="6"/>
    </row>
    <row r="1392">
      <c r="A1392" s="16"/>
      <c r="B1392" s="16"/>
      <c r="C1392" s="16"/>
      <c r="D1392" s="16"/>
      <c r="E1392" s="16"/>
      <c r="F1392" s="17"/>
      <c r="G1392" s="17"/>
      <c r="I1392" s="6"/>
      <c r="J1392" s="6"/>
    </row>
    <row r="1393">
      <c r="A1393" s="16"/>
      <c r="B1393" s="16"/>
      <c r="C1393" s="16"/>
      <c r="D1393" s="16"/>
      <c r="E1393" s="16"/>
      <c r="F1393" s="17"/>
      <c r="G1393" s="17"/>
      <c r="I1393" s="6"/>
      <c r="J1393" s="6"/>
    </row>
    <row r="1394">
      <c r="A1394" s="16"/>
      <c r="B1394" s="16"/>
      <c r="C1394" s="16"/>
      <c r="D1394" s="16"/>
      <c r="E1394" s="16"/>
      <c r="F1394" s="17"/>
      <c r="G1394" s="17"/>
      <c r="I1394" s="6"/>
      <c r="J1394" s="6"/>
    </row>
    <row r="1395">
      <c r="A1395" s="16"/>
      <c r="B1395" s="16"/>
      <c r="C1395" s="16"/>
      <c r="D1395" s="16"/>
      <c r="E1395" s="16"/>
      <c r="F1395" s="17"/>
      <c r="G1395" s="17"/>
      <c r="I1395" s="6"/>
      <c r="J1395" s="6"/>
    </row>
    <row r="1396">
      <c r="A1396" s="16"/>
      <c r="B1396" s="16"/>
      <c r="C1396" s="16"/>
      <c r="D1396" s="16"/>
      <c r="E1396" s="16"/>
      <c r="F1396" s="17"/>
      <c r="G1396" s="17"/>
      <c r="I1396" s="6"/>
      <c r="J1396" s="6"/>
    </row>
    <row r="1397">
      <c r="A1397" s="16"/>
      <c r="B1397" s="16"/>
      <c r="C1397" s="16"/>
      <c r="D1397" s="16"/>
      <c r="E1397" s="16"/>
      <c r="F1397" s="17"/>
      <c r="G1397" s="17"/>
      <c r="I1397" s="6"/>
      <c r="J1397" s="6"/>
    </row>
    <row r="1398">
      <c r="A1398" s="16"/>
      <c r="B1398" s="16"/>
      <c r="C1398" s="16"/>
      <c r="D1398" s="16"/>
      <c r="E1398" s="16"/>
      <c r="F1398" s="17"/>
      <c r="G1398" s="17"/>
      <c r="I1398" s="6"/>
      <c r="J1398" s="6"/>
    </row>
    <row r="1399">
      <c r="A1399" s="16"/>
      <c r="B1399" s="16"/>
      <c r="C1399" s="16"/>
      <c r="D1399" s="16"/>
      <c r="E1399" s="16"/>
      <c r="F1399" s="17"/>
      <c r="G1399" s="17"/>
      <c r="I1399" s="6"/>
      <c r="J1399" s="6"/>
    </row>
    <row r="1400">
      <c r="A1400" s="16"/>
      <c r="B1400" s="16"/>
      <c r="C1400" s="16"/>
      <c r="D1400" s="16"/>
      <c r="E1400" s="16"/>
      <c r="F1400" s="17"/>
      <c r="G1400" s="17"/>
      <c r="I1400" s="6"/>
      <c r="J1400" s="6"/>
    </row>
    <row r="1401">
      <c r="A1401" s="16"/>
      <c r="B1401" s="16"/>
      <c r="C1401" s="16"/>
      <c r="D1401" s="16"/>
      <c r="E1401" s="16"/>
      <c r="F1401" s="17"/>
      <c r="G1401" s="17"/>
      <c r="I1401" s="6"/>
      <c r="J1401" s="6"/>
    </row>
    <row r="1402">
      <c r="A1402" s="16"/>
      <c r="B1402" s="16"/>
      <c r="C1402" s="16"/>
      <c r="D1402" s="16"/>
      <c r="E1402" s="16"/>
      <c r="F1402" s="17"/>
      <c r="G1402" s="17"/>
      <c r="I1402" s="6"/>
      <c r="J1402" s="6"/>
    </row>
    <row r="1403">
      <c r="A1403" s="16"/>
      <c r="B1403" s="16"/>
      <c r="C1403" s="16"/>
      <c r="D1403" s="16"/>
      <c r="E1403" s="16"/>
      <c r="F1403" s="17"/>
      <c r="G1403" s="17"/>
      <c r="I1403" s="6"/>
      <c r="J1403" s="6"/>
    </row>
    <row r="1404">
      <c r="A1404" s="16"/>
      <c r="B1404" s="16"/>
      <c r="C1404" s="16"/>
      <c r="D1404" s="16"/>
      <c r="E1404" s="16"/>
      <c r="F1404" s="17"/>
      <c r="G1404" s="17"/>
      <c r="I1404" s="6"/>
      <c r="J1404" s="6"/>
    </row>
    <row r="1405">
      <c r="A1405" s="16"/>
      <c r="B1405" s="16"/>
      <c r="C1405" s="16"/>
      <c r="D1405" s="16"/>
      <c r="E1405" s="16"/>
      <c r="F1405" s="17"/>
      <c r="G1405" s="17"/>
      <c r="I1405" s="6"/>
      <c r="J1405" s="6"/>
    </row>
    <row r="1406">
      <c r="A1406" s="16"/>
      <c r="B1406" s="16"/>
      <c r="C1406" s="16"/>
      <c r="D1406" s="16"/>
      <c r="E1406" s="16"/>
      <c r="F1406" s="17"/>
      <c r="G1406" s="17"/>
      <c r="I1406" s="6"/>
      <c r="J1406" s="6"/>
    </row>
    <row r="1407">
      <c r="A1407" s="16"/>
      <c r="B1407" s="16"/>
      <c r="C1407" s="16"/>
      <c r="D1407" s="16"/>
      <c r="E1407" s="16"/>
      <c r="F1407" s="17"/>
      <c r="G1407" s="17"/>
      <c r="I1407" s="6"/>
      <c r="J1407" s="6"/>
    </row>
    <row r="1408">
      <c r="A1408" s="16"/>
      <c r="B1408" s="16"/>
      <c r="C1408" s="16"/>
      <c r="D1408" s="16"/>
      <c r="E1408" s="16"/>
      <c r="F1408" s="17"/>
      <c r="G1408" s="17"/>
      <c r="I1408" s="6"/>
      <c r="J1408" s="6"/>
    </row>
    <row r="1409">
      <c r="A1409" s="16"/>
      <c r="B1409" s="16"/>
      <c r="C1409" s="16"/>
      <c r="D1409" s="16"/>
      <c r="E1409" s="16"/>
      <c r="F1409" s="17"/>
      <c r="G1409" s="17"/>
      <c r="I1409" s="6"/>
      <c r="J1409" s="6"/>
    </row>
    <row r="1410">
      <c r="A1410" s="16"/>
      <c r="B1410" s="16"/>
      <c r="C1410" s="16"/>
      <c r="D1410" s="16"/>
      <c r="E1410" s="16"/>
      <c r="F1410" s="17"/>
      <c r="G1410" s="17"/>
      <c r="I1410" s="6"/>
      <c r="J1410" s="6"/>
    </row>
    <row r="1411">
      <c r="A1411" s="16"/>
      <c r="B1411" s="16"/>
      <c r="C1411" s="16"/>
      <c r="D1411" s="16"/>
      <c r="E1411" s="16"/>
      <c r="F1411" s="17"/>
      <c r="G1411" s="17"/>
      <c r="I1411" s="6"/>
      <c r="J1411" s="6"/>
    </row>
    <row r="1412">
      <c r="A1412" s="16"/>
      <c r="B1412" s="16"/>
      <c r="C1412" s="16"/>
      <c r="D1412" s="16"/>
      <c r="E1412" s="16"/>
      <c r="F1412" s="17"/>
      <c r="G1412" s="17"/>
      <c r="I1412" s="6"/>
      <c r="J1412" s="6"/>
    </row>
    <row r="1413">
      <c r="A1413" s="16"/>
      <c r="B1413" s="16"/>
      <c r="C1413" s="16"/>
      <c r="D1413" s="16"/>
      <c r="E1413" s="16"/>
      <c r="F1413" s="17"/>
      <c r="G1413" s="17"/>
      <c r="I1413" s="6"/>
      <c r="J1413" s="6"/>
    </row>
    <row r="1414">
      <c r="A1414" s="16"/>
      <c r="B1414" s="16"/>
      <c r="C1414" s="16"/>
      <c r="D1414" s="16"/>
      <c r="E1414" s="16"/>
      <c r="F1414" s="17"/>
      <c r="G1414" s="17"/>
      <c r="I1414" s="6"/>
      <c r="J1414" s="6"/>
    </row>
    <row r="1415">
      <c r="A1415" s="16"/>
      <c r="B1415" s="16"/>
      <c r="C1415" s="16"/>
      <c r="D1415" s="16"/>
      <c r="E1415" s="16"/>
      <c r="F1415" s="17"/>
      <c r="G1415" s="17"/>
      <c r="I1415" s="6"/>
      <c r="J1415" s="6"/>
    </row>
    <row r="1416">
      <c r="A1416" s="16"/>
      <c r="B1416" s="16"/>
      <c r="C1416" s="16"/>
      <c r="D1416" s="16"/>
      <c r="E1416" s="16"/>
      <c r="F1416" s="17"/>
      <c r="G1416" s="17"/>
      <c r="I1416" s="6"/>
      <c r="J1416" s="6"/>
    </row>
    <row r="1417">
      <c r="A1417" s="16"/>
      <c r="B1417" s="16"/>
      <c r="C1417" s="16"/>
      <c r="D1417" s="16"/>
      <c r="E1417" s="16"/>
      <c r="F1417" s="17"/>
      <c r="G1417" s="17"/>
      <c r="I1417" s="6"/>
      <c r="J1417" s="6"/>
    </row>
    <row r="1418">
      <c r="A1418" s="16"/>
      <c r="B1418" s="16"/>
      <c r="C1418" s="16"/>
      <c r="D1418" s="16"/>
      <c r="E1418" s="16"/>
      <c r="F1418" s="17"/>
      <c r="G1418" s="17"/>
      <c r="I1418" s="6"/>
      <c r="J1418" s="6"/>
    </row>
    <row r="1419">
      <c r="A1419" s="16"/>
      <c r="B1419" s="16"/>
      <c r="C1419" s="16"/>
      <c r="D1419" s="16"/>
      <c r="E1419" s="16"/>
      <c r="F1419" s="17"/>
      <c r="G1419" s="17"/>
      <c r="I1419" s="6"/>
      <c r="J1419" s="6"/>
    </row>
    <row r="1420">
      <c r="A1420" s="16"/>
      <c r="B1420" s="16"/>
      <c r="C1420" s="16"/>
      <c r="D1420" s="16"/>
      <c r="E1420" s="16"/>
      <c r="F1420" s="17"/>
      <c r="G1420" s="17"/>
      <c r="I1420" s="6"/>
      <c r="J1420" s="6"/>
    </row>
    <row r="1421">
      <c r="A1421" s="16"/>
      <c r="B1421" s="16"/>
      <c r="C1421" s="16"/>
      <c r="D1421" s="16"/>
      <c r="E1421" s="16"/>
      <c r="F1421" s="17"/>
      <c r="G1421" s="17"/>
      <c r="I1421" s="6"/>
      <c r="J1421" s="6"/>
    </row>
    <row r="1422">
      <c r="A1422" s="16"/>
      <c r="B1422" s="16"/>
      <c r="C1422" s="16"/>
      <c r="D1422" s="16"/>
      <c r="E1422" s="16"/>
      <c r="F1422" s="17"/>
      <c r="G1422" s="17"/>
      <c r="I1422" s="6"/>
      <c r="J1422" s="6"/>
    </row>
    <row r="1423">
      <c r="A1423" s="16"/>
      <c r="B1423" s="16"/>
      <c r="C1423" s="16"/>
      <c r="D1423" s="16"/>
      <c r="E1423" s="16"/>
      <c r="F1423" s="17"/>
      <c r="G1423" s="17"/>
      <c r="I1423" s="6"/>
      <c r="J1423" s="6"/>
    </row>
    <row r="1424">
      <c r="A1424" s="16"/>
      <c r="B1424" s="16"/>
      <c r="C1424" s="16"/>
      <c r="D1424" s="16"/>
      <c r="E1424" s="16"/>
      <c r="F1424" s="17"/>
      <c r="G1424" s="17"/>
      <c r="I1424" s="6"/>
      <c r="J1424" s="6"/>
    </row>
    <row r="1425">
      <c r="A1425" s="16"/>
      <c r="B1425" s="16"/>
      <c r="C1425" s="16"/>
      <c r="D1425" s="16"/>
      <c r="E1425" s="16"/>
      <c r="F1425" s="17"/>
      <c r="G1425" s="17"/>
      <c r="I1425" s="6"/>
      <c r="J1425" s="6"/>
    </row>
    <row r="1426">
      <c r="A1426" s="16"/>
      <c r="B1426" s="16"/>
      <c r="C1426" s="16"/>
      <c r="D1426" s="16"/>
      <c r="E1426" s="16"/>
      <c r="F1426" s="17"/>
      <c r="G1426" s="17"/>
      <c r="I1426" s="6"/>
      <c r="J1426" s="6"/>
    </row>
    <row r="1427">
      <c r="A1427" s="16"/>
      <c r="B1427" s="16"/>
      <c r="C1427" s="16"/>
      <c r="D1427" s="16"/>
      <c r="E1427" s="16"/>
      <c r="F1427" s="17"/>
      <c r="G1427" s="17"/>
      <c r="I1427" s="6"/>
      <c r="J1427" s="6"/>
    </row>
    <row r="1428">
      <c r="A1428" s="16"/>
      <c r="B1428" s="16"/>
      <c r="C1428" s="16"/>
      <c r="D1428" s="16"/>
      <c r="E1428" s="16"/>
      <c r="F1428" s="17"/>
      <c r="G1428" s="17"/>
      <c r="I1428" s="6"/>
      <c r="J1428" s="6"/>
    </row>
    <row r="1429">
      <c r="A1429" s="16"/>
      <c r="B1429" s="16"/>
      <c r="C1429" s="16"/>
      <c r="D1429" s="16"/>
      <c r="E1429" s="16"/>
      <c r="F1429" s="17"/>
      <c r="G1429" s="17"/>
      <c r="I1429" s="6"/>
      <c r="J1429" s="6"/>
    </row>
    <row r="1430">
      <c r="A1430" s="16"/>
      <c r="B1430" s="16"/>
      <c r="C1430" s="16"/>
      <c r="D1430" s="16"/>
      <c r="E1430" s="16"/>
      <c r="F1430" s="17"/>
      <c r="G1430" s="17"/>
      <c r="I1430" s="6"/>
      <c r="J1430" s="6"/>
    </row>
    <row r="1431">
      <c r="A1431" s="16"/>
      <c r="B1431" s="16"/>
      <c r="C1431" s="16"/>
      <c r="D1431" s="16"/>
      <c r="E1431" s="16"/>
      <c r="F1431" s="17"/>
      <c r="G1431" s="17"/>
      <c r="I1431" s="6"/>
      <c r="J1431" s="6"/>
    </row>
    <row r="1432">
      <c r="A1432" s="16"/>
      <c r="B1432" s="16"/>
      <c r="C1432" s="16"/>
      <c r="D1432" s="16"/>
      <c r="E1432" s="16"/>
      <c r="F1432" s="17"/>
      <c r="G1432" s="17"/>
      <c r="I1432" s="6"/>
      <c r="J1432" s="6"/>
    </row>
    <row r="1433">
      <c r="A1433" s="16"/>
      <c r="B1433" s="16"/>
      <c r="C1433" s="16"/>
      <c r="D1433" s="16"/>
      <c r="E1433" s="16"/>
      <c r="F1433" s="17"/>
      <c r="G1433" s="17"/>
      <c r="I1433" s="6"/>
      <c r="J1433" s="6"/>
    </row>
    <row r="1434">
      <c r="A1434" s="16"/>
      <c r="B1434" s="16"/>
      <c r="C1434" s="16"/>
      <c r="D1434" s="16"/>
      <c r="E1434" s="16"/>
      <c r="F1434" s="17"/>
      <c r="G1434" s="17"/>
      <c r="I1434" s="6"/>
      <c r="J1434" s="6"/>
    </row>
    <row r="1435">
      <c r="A1435" s="16"/>
      <c r="B1435" s="16"/>
      <c r="C1435" s="16"/>
      <c r="D1435" s="16"/>
      <c r="E1435" s="16"/>
      <c r="F1435" s="17"/>
      <c r="G1435" s="17"/>
      <c r="I1435" s="6"/>
      <c r="J1435" s="6"/>
    </row>
    <row r="1436">
      <c r="A1436" s="16"/>
      <c r="B1436" s="16"/>
      <c r="C1436" s="16"/>
      <c r="D1436" s="16"/>
      <c r="E1436" s="16"/>
      <c r="F1436" s="17"/>
      <c r="G1436" s="17"/>
      <c r="I1436" s="6"/>
      <c r="J1436" s="6"/>
    </row>
    <row r="1437">
      <c r="A1437" s="16"/>
      <c r="B1437" s="16"/>
      <c r="C1437" s="16"/>
      <c r="D1437" s="16"/>
      <c r="E1437" s="16"/>
      <c r="F1437" s="17"/>
      <c r="G1437" s="17"/>
      <c r="I1437" s="6"/>
      <c r="J1437" s="6"/>
    </row>
    <row r="1438">
      <c r="A1438" s="16"/>
      <c r="B1438" s="16"/>
      <c r="C1438" s="16"/>
      <c r="D1438" s="16"/>
      <c r="E1438" s="16"/>
      <c r="F1438" s="17"/>
      <c r="G1438" s="17"/>
      <c r="I1438" s="6"/>
      <c r="J1438" s="6"/>
    </row>
    <row r="1439">
      <c r="A1439" s="16"/>
      <c r="B1439" s="16"/>
      <c r="C1439" s="16"/>
      <c r="D1439" s="16"/>
      <c r="E1439" s="16"/>
      <c r="F1439" s="17"/>
      <c r="G1439" s="17"/>
      <c r="I1439" s="6"/>
      <c r="J1439" s="6"/>
    </row>
    <row r="1440">
      <c r="A1440" s="16"/>
      <c r="B1440" s="16"/>
      <c r="C1440" s="16"/>
      <c r="D1440" s="16"/>
      <c r="E1440" s="16"/>
      <c r="F1440" s="17"/>
      <c r="G1440" s="17"/>
      <c r="I1440" s="6"/>
      <c r="J1440" s="6"/>
    </row>
    <row r="1441">
      <c r="A1441" s="16"/>
      <c r="B1441" s="16"/>
      <c r="C1441" s="16"/>
      <c r="D1441" s="16"/>
      <c r="E1441" s="16"/>
      <c r="F1441" s="17"/>
      <c r="G1441" s="17"/>
      <c r="I1441" s="6"/>
      <c r="J1441" s="6"/>
    </row>
    <row r="1442">
      <c r="A1442" s="16"/>
      <c r="B1442" s="16"/>
      <c r="C1442" s="16"/>
      <c r="D1442" s="16"/>
      <c r="E1442" s="16"/>
      <c r="F1442" s="17"/>
      <c r="G1442" s="17"/>
      <c r="I1442" s="6"/>
      <c r="J1442" s="6"/>
    </row>
    <row r="1443">
      <c r="A1443" s="16"/>
      <c r="B1443" s="16"/>
      <c r="C1443" s="16"/>
      <c r="D1443" s="16"/>
      <c r="E1443" s="16"/>
      <c r="F1443" s="17"/>
      <c r="G1443" s="17"/>
      <c r="I1443" s="6"/>
      <c r="J1443" s="6"/>
    </row>
    <row r="1444">
      <c r="A1444" s="16"/>
      <c r="B1444" s="16"/>
      <c r="C1444" s="16"/>
      <c r="D1444" s="16"/>
      <c r="E1444" s="16"/>
      <c r="F1444" s="17"/>
      <c r="G1444" s="17"/>
      <c r="I1444" s="6"/>
      <c r="J1444" s="6"/>
    </row>
    <row r="1445">
      <c r="A1445" s="16"/>
      <c r="B1445" s="16"/>
      <c r="C1445" s="16"/>
      <c r="D1445" s="16"/>
      <c r="E1445" s="16"/>
      <c r="F1445" s="17"/>
      <c r="G1445" s="17"/>
      <c r="I1445" s="6"/>
      <c r="J1445" s="6"/>
    </row>
    <row r="1446">
      <c r="A1446" s="16"/>
      <c r="B1446" s="16"/>
      <c r="C1446" s="16"/>
      <c r="D1446" s="16"/>
      <c r="E1446" s="16"/>
      <c r="F1446" s="17"/>
      <c r="G1446" s="17"/>
      <c r="I1446" s="6"/>
      <c r="J1446" s="6"/>
    </row>
    <row r="1447">
      <c r="A1447" s="16"/>
      <c r="B1447" s="16"/>
      <c r="C1447" s="16"/>
      <c r="D1447" s="16"/>
      <c r="E1447" s="16"/>
      <c r="F1447" s="17"/>
      <c r="G1447" s="17"/>
      <c r="I1447" s="6"/>
      <c r="J1447" s="6"/>
    </row>
    <row r="1448">
      <c r="A1448" s="16"/>
      <c r="B1448" s="16"/>
      <c r="C1448" s="16"/>
      <c r="D1448" s="16"/>
      <c r="E1448" s="16"/>
      <c r="F1448" s="17"/>
      <c r="G1448" s="17"/>
      <c r="I1448" s="6"/>
      <c r="J1448" s="6"/>
    </row>
    <row r="1449">
      <c r="A1449" s="16"/>
      <c r="B1449" s="16"/>
      <c r="C1449" s="16"/>
      <c r="D1449" s="16"/>
      <c r="E1449" s="16"/>
      <c r="F1449" s="17"/>
      <c r="G1449" s="17"/>
      <c r="I1449" s="6"/>
      <c r="J1449" s="6"/>
    </row>
    <row r="1450">
      <c r="A1450" s="16"/>
      <c r="B1450" s="16"/>
      <c r="C1450" s="16"/>
      <c r="D1450" s="16"/>
      <c r="E1450" s="16"/>
      <c r="F1450" s="17"/>
      <c r="G1450" s="17"/>
      <c r="I1450" s="6"/>
      <c r="J1450" s="6"/>
    </row>
    <row r="1451">
      <c r="A1451" s="16"/>
      <c r="B1451" s="16"/>
      <c r="C1451" s="16"/>
      <c r="D1451" s="16"/>
      <c r="E1451" s="16"/>
      <c r="F1451" s="17"/>
      <c r="G1451" s="17"/>
      <c r="I1451" s="6"/>
      <c r="J1451" s="6"/>
    </row>
    <row r="1452">
      <c r="A1452" s="16"/>
      <c r="B1452" s="16"/>
      <c r="C1452" s="16"/>
      <c r="D1452" s="16"/>
      <c r="E1452" s="16"/>
      <c r="F1452" s="17"/>
      <c r="G1452" s="17"/>
      <c r="I1452" s="6"/>
      <c r="J1452" s="6"/>
    </row>
    <row r="1453">
      <c r="A1453" s="16"/>
      <c r="B1453" s="16"/>
      <c r="C1453" s="16"/>
      <c r="D1453" s="16"/>
      <c r="E1453" s="16"/>
      <c r="F1453" s="17"/>
      <c r="G1453" s="17"/>
      <c r="I1453" s="6"/>
      <c r="J1453" s="6"/>
    </row>
    <row r="1454">
      <c r="A1454" s="16"/>
      <c r="B1454" s="16"/>
      <c r="C1454" s="16"/>
      <c r="D1454" s="16"/>
      <c r="E1454" s="16"/>
      <c r="F1454" s="17"/>
      <c r="G1454" s="17"/>
      <c r="I1454" s="6"/>
      <c r="J1454" s="6"/>
    </row>
    <row r="1455">
      <c r="A1455" s="16"/>
      <c r="B1455" s="16"/>
      <c r="C1455" s="16"/>
      <c r="D1455" s="16"/>
      <c r="E1455" s="16"/>
      <c r="F1455" s="17"/>
      <c r="G1455" s="17"/>
      <c r="I1455" s="6"/>
      <c r="J1455" s="6"/>
    </row>
    <row r="1456">
      <c r="A1456" s="16"/>
      <c r="B1456" s="16"/>
      <c r="C1456" s="16"/>
      <c r="D1456" s="16"/>
      <c r="E1456" s="16"/>
      <c r="F1456" s="17"/>
      <c r="G1456" s="17"/>
      <c r="I1456" s="6"/>
      <c r="J1456" s="6"/>
    </row>
    <row r="1457">
      <c r="A1457" s="16"/>
      <c r="B1457" s="16"/>
      <c r="C1457" s="16"/>
      <c r="D1457" s="16"/>
      <c r="E1457" s="16"/>
      <c r="F1457" s="17"/>
      <c r="G1457" s="17"/>
      <c r="I1457" s="6"/>
      <c r="J1457" s="6"/>
    </row>
    <row r="1458">
      <c r="A1458" s="16"/>
      <c r="B1458" s="16"/>
      <c r="C1458" s="16"/>
      <c r="D1458" s="16"/>
      <c r="E1458" s="16"/>
      <c r="F1458" s="17"/>
      <c r="G1458" s="17"/>
      <c r="I1458" s="6"/>
      <c r="J1458" s="6"/>
    </row>
    <row r="1459">
      <c r="A1459" s="16"/>
      <c r="B1459" s="16"/>
      <c r="C1459" s="16"/>
      <c r="D1459" s="16"/>
      <c r="E1459" s="16"/>
      <c r="F1459" s="17"/>
      <c r="G1459" s="17"/>
      <c r="I1459" s="6"/>
      <c r="J1459" s="6"/>
    </row>
    <row r="1460">
      <c r="A1460" s="16"/>
      <c r="B1460" s="16"/>
      <c r="C1460" s="16"/>
      <c r="D1460" s="16"/>
      <c r="E1460" s="16"/>
      <c r="F1460" s="17"/>
      <c r="G1460" s="17"/>
      <c r="I1460" s="6"/>
      <c r="J1460" s="6"/>
    </row>
    <row r="1461">
      <c r="A1461" s="16"/>
      <c r="B1461" s="16"/>
      <c r="C1461" s="16"/>
      <c r="D1461" s="16"/>
      <c r="E1461" s="16"/>
      <c r="F1461" s="17"/>
      <c r="G1461" s="17"/>
      <c r="I1461" s="6"/>
      <c r="J1461" s="6"/>
    </row>
    <row r="1462">
      <c r="A1462" s="16"/>
      <c r="B1462" s="16"/>
      <c r="C1462" s="16"/>
      <c r="D1462" s="16"/>
      <c r="E1462" s="16"/>
      <c r="F1462" s="17"/>
      <c r="G1462" s="17"/>
      <c r="I1462" s="6"/>
      <c r="J1462" s="6"/>
    </row>
    <row r="1463">
      <c r="A1463" s="16"/>
      <c r="B1463" s="16"/>
      <c r="C1463" s="16"/>
      <c r="D1463" s="16"/>
      <c r="E1463" s="16"/>
      <c r="F1463" s="17"/>
      <c r="G1463" s="17"/>
      <c r="I1463" s="6"/>
      <c r="J1463" s="6"/>
    </row>
    <row r="1464">
      <c r="A1464" s="16"/>
      <c r="B1464" s="16"/>
      <c r="C1464" s="16"/>
      <c r="D1464" s="16"/>
      <c r="E1464" s="16"/>
      <c r="F1464" s="17"/>
      <c r="G1464" s="17"/>
      <c r="I1464" s="6"/>
      <c r="J1464" s="6"/>
    </row>
    <row r="1465">
      <c r="A1465" s="16"/>
      <c r="B1465" s="16"/>
      <c r="C1465" s="16"/>
      <c r="D1465" s="16"/>
      <c r="E1465" s="16"/>
      <c r="F1465" s="17"/>
      <c r="G1465" s="17"/>
      <c r="I1465" s="6"/>
      <c r="J1465" s="6"/>
    </row>
    <row r="1466">
      <c r="A1466" s="16"/>
      <c r="B1466" s="16"/>
      <c r="C1466" s="16"/>
      <c r="D1466" s="16"/>
      <c r="E1466" s="16"/>
      <c r="F1466" s="17"/>
      <c r="G1466" s="17"/>
      <c r="I1466" s="6"/>
      <c r="J1466" s="6"/>
    </row>
    <row r="1467">
      <c r="A1467" s="16"/>
      <c r="B1467" s="16"/>
      <c r="C1467" s="16"/>
      <c r="D1467" s="16"/>
      <c r="E1467" s="16"/>
      <c r="F1467" s="17"/>
      <c r="G1467" s="17"/>
      <c r="I1467" s="6"/>
      <c r="J1467" s="6"/>
    </row>
    <row r="1468">
      <c r="A1468" s="16"/>
      <c r="B1468" s="16"/>
      <c r="C1468" s="16"/>
      <c r="D1468" s="16"/>
      <c r="E1468" s="16"/>
      <c r="F1468" s="17"/>
      <c r="G1468" s="17"/>
      <c r="I1468" s="6"/>
      <c r="J1468" s="6"/>
    </row>
    <row r="1469">
      <c r="A1469" s="16"/>
      <c r="B1469" s="16"/>
      <c r="C1469" s="16"/>
      <c r="D1469" s="16"/>
      <c r="E1469" s="16"/>
      <c r="F1469" s="17"/>
      <c r="G1469" s="17"/>
      <c r="I1469" s="6"/>
      <c r="J1469" s="6"/>
    </row>
    <row r="1470">
      <c r="A1470" s="16"/>
      <c r="B1470" s="16"/>
      <c r="C1470" s="16"/>
      <c r="D1470" s="16"/>
      <c r="E1470" s="16"/>
      <c r="F1470" s="17"/>
      <c r="G1470" s="17"/>
      <c r="I1470" s="6"/>
      <c r="J1470" s="6"/>
    </row>
    <row r="1471">
      <c r="A1471" s="16"/>
      <c r="B1471" s="16"/>
      <c r="C1471" s="16"/>
      <c r="D1471" s="16"/>
      <c r="E1471" s="16"/>
      <c r="F1471" s="17"/>
      <c r="G1471" s="17"/>
      <c r="I1471" s="6"/>
      <c r="J1471" s="6"/>
    </row>
    <row r="1472">
      <c r="A1472" s="16"/>
      <c r="B1472" s="16"/>
      <c r="C1472" s="16"/>
      <c r="D1472" s="16"/>
      <c r="E1472" s="16"/>
      <c r="F1472" s="17"/>
      <c r="G1472" s="17"/>
      <c r="I1472" s="6"/>
      <c r="J1472" s="6"/>
    </row>
    <row r="1473">
      <c r="A1473" s="16"/>
      <c r="B1473" s="16"/>
      <c r="C1473" s="16"/>
      <c r="D1473" s="16"/>
      <c r="E1473" s="16"/>
      <c r="F1473" s="17"/>
      <c r="G1473" s="17"/>
      <c r="I1473" s="6"/>
      <c r="J1473" s="6"/>
    </row>
    <row r="1474">
      <c r="A1474" s="16"/>
      <c r="B1474" s="16"/>
      <c r="C1474" s="16"/>
      <c r="D1474" s="16"/>
      <c r="E1474" s="16"/>
      <c r="F1474" s="17"/>
      <c r="G1474" s="17"/>
      <c r="I1474" s="6"/>
      <c r="J1474" s="6"/>
    </row>
    <row r="1475">
      <c r="A1475" s="16"/>
      <c r="B1475" s="16"/>
      <c r="C1475" s="16"/>
      <c r="D1475" s="16"/>
      <c r="E1475" s="16"/>
      <c r="F1475" s="17"/>
      <c r="G1475" s="17"/>
      <c r="I1475" s="6"/>
      <c r="J1475" s="6"/>
    </row>
    <row r="1476">
      <c r="A1476" s="16"/>
      <c r="B1476" s="16"/>
      <c r="C1476" s="16"/>
      <c r="D1476" s="16"/>
      <c r="E1476" s="16"/>
      <c r="F1476" s="17"/>
      <c r="G1476" s="17"/>
      <c r="I1476" s="6"/>
      <c r="J1476" s="6"/>
    </row>
    <row r="1477">
      <c r="A1477" s="16"/>
      <c r="B1477" s="16"/>
      <c r="C1477" s="16"/>
      <c r="D1477" s="16"/>
      <c r="E1477" s="16"/>
      <c r="F1477" s="17"/>
      <c r="G1477" s="17"/>
      <c r="I1477" s="6"/>
      <c r="J1477" s="6"/>
    </row>
    <row r="1478">
      <c r="A1478" s="16"/>
      <c r="B1478" s="16"/>
      <c r="C1478" s="16"/>
      <c r="D1478" s="16"/>
      <c r="E1478" s="16"/>
      <c r="F1478" s="17"/>
      <c r="G1478" s="17"/>
      <c r="I1478" s="6"/>
      <c r="J1478" s="6"/>
    </row>
    <row r="1479">
      <c r="A1479" s="16"/>
      <c r="B1479" s="16"/>
      <c r="C1479" s="16"/>
      <c r="D1479" s="16"/>
      <c r="E1479" s="16"/>
      <c r="F1479" s="17"/>
      <c r="G1479" s="17"/>
      <c r="I1479" s="6"/>
      <c r="J1479" s="6"/>
    </row>
    <row r="1480">
      <c r="A1480" s="16"/>
      <c r="B1480" s="16"/>
      <c r="C1480" s="16"/>
      <c r="D1480" s="16"/>
      <c r="E1480" s="16"/>
      <c r="F1480" s="17"/>
      <c r="G1480" s="17"/>
      <c r="I1480" s="6"/>
      <c r="J1480" s="6"/>
    </row>
    <row r="1481">
      <c r="A1481" s="16"/>
      <c r="B1481" s="16"/>
      <c r="C1481" s="16"/>
      <c r="D1481" s="16"/>
      <c r="E1481" s="16"/>
      <c r="F1481" s="17"/>
      <c r="G1481" s="17"/>
      <c r="I1481" s="6"/>
      <c r="J1481" s="6"/>
    </row>
    <row r="1482">
      <c r="A1482" s="16"/>
      <c r="B1482" s="16"/>
      <c r="C1482" s="16"/>
      <c r="D1482" s="16"/>
      <c r="E1482" s="16"/>
      <c r="F1482" s="17"/>
      <c r="G1482" s="17"/>
      <c r="I1482" s="6"/>
      <c r="J1482" s="6"/>
    </row>
    <row r="1483">
      <c r="A1483" s="16"/>
      <c r="B1483" s="16"/>
      <c r="C1483" s="16"/>
      <c r="D1483" s="16"/>
      <c r="E1483" s="16"/>
      <c r="F1483" s="17"/>
      <c r="G1483" s="17"/>
      <c r="I1483" s="6"/>
      <c r="J1483" s="6"/>
    </row>
    <row r="1484">
      <c r="A1484" s="16"/>
      <c r="B1484" s="16"/>
      <c r="C1484" s="16"/>
      <c r="D1484" s="16"/>
      <c r="E1484" s="16"/>
      <c r="F1484" s="17"/>
      <c r="G1484" s="17"/>
      <c r="I1484" s="6"/>
      <c r="J1484" s="6"/>
    </row>
    <row r="1485">
      <c r="A1485" s="16"/>
      <c r="B1485" s="16"/>
      <c r="C1485" s="16"/>
      <c r="D1485" s="16"/>
      <c r="E1485" s="16"/>
      <c r="F1485" s="17"/>
      <c r="G1485" s="17"/>
      <c r="I1485" s="6"/>
      <c r="J1485" s="6"/>
    </row>
    <row r="1486">
      <c r="A1486" s="16"/>
      <c r="B1486" s="16"/>
      <c r="C1486" s="16"/>
      <c r="D1486" s="16"/>
      <c r="E1486" s="16"/>
      <c r="F1486" s="17"/>
      <c r="G1486" s="17"/>
      <c r="I1486" s="6"/>
      <c r="J1486" s="6"/>
    </row>
    <row r="1487">
      <c r="A1487" s="16"/>
      <c r="B1487" s="16"/>
      <c r="C1487" s="16"/>
      <c r="D1487" s="16"/>
      <c r="E1487" s="16"/>
      <c r="F1487" s="17"/>
      <c r="G1487" s="17"/>
      <c r="I1487" s="6"/>
      <c r="J1487" s="6"/>
    </row>
    <row r="1488">
      <c r="A1488" s="16"/>
      <c r="B1488" s="16"/>
      <c r="C1488" s="16"/>
      <c r="D1488" s="16"/>
      <c r="E1488" s="16"/>
      <c r="F1488" s="17"/>
      <c r="G1488" s="17"/>
      <c r="I1488" s="6"/>
      <c r="J1488" s="6"/>
    </row>
    <row r="1489">
      <c r="A1489" s="16"/>
      <c r="B1489" s="16"/>
      <c r="C1489" s="16"/>
      <c r="D1489" s="16"/>
      <c r="E1489" s="16"/>
      <c r="F1489" s="17"/>
      <c r="G1489" s="17"/>
      <c r="I1489" s="6"/>
      <c r="J1489" s="6"/>
    </row>
    <row r="1490">
      <c r="A1490" s="16"/>
      <c r="B1490" s="16"/>
      <c r="C1490" s="16"/>
      <c r="D1490" s="16"/>
      <c r="E1490" s="16"/>
      <c r="F1490" s="17"/>
      <c r="G1490" s="17"/>
      <c r="I1490" s="6"/>
      <c r="J1490" s="6"/>
    </row>
    <row r="1491">
      <c r="A1491" s="16"/>
      <c r="B1491" s="16"/>
      <c r="C1491" s="16"/>
      <c r="D1491" s="16"/>
      <c r="E1491" s="16"/>
      <c r="F1491" s="17"/>
      <c r="G1491" s="17"/>
      <c r="I1491" s="6"/>
      <c r="J1491" s="6"/>
    </row>
    <row r="1492">
      <c r="A1492" s="16"/>
      <c r="B1492" s="16"/>
      <c r="C1492" s="16"/>
      <c r="D1492" s="16"/>
      <c r="E1492" s="16"/>
      <c r="F1492" s="17"/>
      <c r="G1492" s="17"/>
      <c r="I1492" s="6"/>
      <c r="J1492" s="6"/>
    </row>
    <row r="1493">
      <c r="A1493" s="16"/>
      <c r="B1493" s="16"/>
      <c r="C1493" s="16"/>
      <c r="D1493" s="16"/>
      <c r="E1493" s="16"/>
      <c r="F1493" s="17"/>
      <c r="G1493" s="17"/>
      <c r="I1493" s="6"/>
      <c r="J1493" s="6"/>
    </row>
    <row r="1494">
      <c r="A1494" s="16"/>
      <c r="B1494" s="16"/>
      <c r="C1494" s="16"/>
      <c r="D1494" s="16"/>
      <c r="E1494" s="16"/>
      <c r="F1494" s="17"/>
      <c r="G1494" s="17"/>
      <c r="I1494" s="6"/>
      <c r="J1494" s="6"/>
    </row>
    <row r="1495">
      <c r="A1495" s="16"/>
      <c r="B1495" s="16"/>
      <c r="C1495" s="16"/>
      <c r="D1495" s="16"/>
      <c r="E1495" s="16"/>
      <c r="F1495" s="17"/>
      <c r="G1495" s="17"/>
      <c r="I1495" s="6"/>
      <c r="J1495" s="6"/>
    </row>
    <row r="1496">
      <c r="A1496" s="16"/>
      <c r="B1496" s="16"/>
      <c r="C1496" s="16"/>
      <c r="D1496" s="16"/>
      <c r="E1496" s="16"/>
      <c r="F1496" s="17"/>
      <c r="G1496" s="17"/>
      <c r="I1496" s="6"/>
      <c r="J1496" s="6"/>
    </row>
    <row r="1497">
      <c r="A1497" s="16"/>
      <c r="B1497" s="16"/>
      <c r="C1497" s="16"/>
      <c r="D1497" s="16"/>
      <c r="E1497" s="16"/>
      <c r="F1497" s="17"/>
      <c r="G1497" s="17"/>
      <c r="I1497" s="6"/>
      <c r="J1497" s="6"/>
    </row>
    <row r="1498">
      <c r="A1498" s="16"/>
      <c r="B1498" s="16"/>
      <c r="C1498" s="16"/>
      <c r="D1498" s="16"/>
      <c r="E1498" s="16"/>
      <c r="F1498" s="17"/>
      <c r="G1498" s="17"/>
      <c r="I1498" s="6"/>
      <c r="J1498" s="6"/>
    </row>
    <row r="1499">
      <c r="A1499" s="16"/>
      <c r="B1499" s="16"/>
      <c r="C1499" s="16"/>
      <c r="D1499" s="16"/>
      <c r="E1499" s="16"/>
      <c r="F1499" s="17"/>
      <c r="G1499" s="17"/>
      <c r="I1499" s="6"/>
      <c r="J1499" s="6"/>
    </row>
    <row r="1500">
      <c r="A1500" s="16"/>
      <c r="B1500" s="16"/>
      <c r="C1500" s="16"/>
      <c r="D1500" s="16"/>
      <c r="E1500" s="16"/>
      <c r="F1500" s="17"/>
      <c r="G1500" s="17"/>
      <c r="I1500" s="6"/>
      <c r="J1500" s="6"/>
    </row>
    <row r="1501">
      <c r="A1501" s="16"/>
      <c r="B1501" s="16"/>
      <c r="C1501" s="16"/>
      <c r="D1501" s="16"/>
      <c r="E1501" s="16"/>
      <c r="F1501" s="17"/>
      <c r="G1501" s="17"/>
      <c r="I1501" s="6"/>
      <c r="J1501" s="6"/>
    </row>
    <row r="1502">
      <c r="A1502" s="16"/>
      <c r="B1502" s="16"/>
      <c r="C1502" s="16"/>
      <c r="D1502" s="16"/>
      <c r="E1502" s="16"/>
      <c r="F1502" s="17"/>
      <c r="G1502" s="17"/>
      <c r="I1502" s="6"/>
      <c r="J1502" s="6"/>
    </row>
    <row r="1503">
      <c r="A1503" s="16"/>
      <c r="B1503" s="16"/>
      <c r="C1503" s="16"/>
      <c r="D1503" s="16"/>
      <c r="E1503" s="16"/>
      <c r="F1503" s="17"/>
      <c r="G1503" s="17"/>
      <c r="I1503" s="6"/>
      <c r="J1503" s="6"/>
    </row>
    <row r="1504">
      <c r="A1504" s="16"/>
      <c r="B1504" s="16"/>
      <c r="C1504" s="16"/>
      <c r="D1504" s="16"/>
      <c r="E1504" s="16"/>
      <c r="F1504" s="17"/>
      <c r="G1504" s="17"/>
      <c r="I1504" s="6"/>
      <c r="J1504" s="6"/>
    </row>
    <row r="1505">
      <c r="A1505" s="16"/>
      <c r="B1505" s="16"/>
      <c r="C1505" s="16"/>
      <c r="D1505" s="16"/>
      <c r="E1505" s="16"/>
      <c r="F1505" s="17"/>
      <c r="G1505" s="17"/>
      <c r="I1505" s="6"/>
      <c r="J1505" s="6"/>
    </row>
    <row r="1506">
      <c r="A1506" s="16"/>
      <c r="B1506" s="16"/>
      <c r="C1506" s="16"/>
      <c r="D1506" s="16"/>
      <c r="E1506" s="16"/>
      <c r="F1506" s="17"/>
      <c r="G1506" s="17"/>
      <c r="I1506" s="6"/>
      <c r="J1506" s="6"/>
    </row>
    <row r="1507">
      <c r="A1507" s="16"/>
      <c r="B1507" s="16"/>
      <c r="C1507" s="16"/>
      <c r="D1507" s="16"/>
      <c r="E1507" s="16"/>
      <c r="F1507" s="17"/>
      <c r="G1507" s="17"/>
      <c r="I1507" s="6"/>
      <c r="J1507" s="6"/>
    </row>
    <row r="1508">
      <c r="A1508" s="16"/>
      <c r="B1508" s="16"/>
      <c r="C1508" s="16"/>
      <c r="D1508" s="16"/>
      <c r="E1508" s="16"/>
      <c r="F1508" s="17"/>
      <c r="G1508" s="17"/>
      <c r="I1508" s="6"/>
      <c r="J1508" s="6"/>
    </row>
    <row r="1509">
      <c r="A1509" s="16"/>
      <c r="B1509" s="16"/>
      <c r="C1509" s="16"/>
      <c r="D1509" s="16"/>
      <c r="E1509" s="16"/>
      <c r="F1509" s="17"/>
      <c r="G1509" s="17"/>
      <c r="I1509" s="6"/>
      <c r="J1509" s="6"/>
    </row>
    <row r="1510">
      <c r="A1510" s="16"/>
      <c r="B1510" s="16"/>
      <c r="C1510" s="16"/>
      <c r="D1510" s="16"/>
      <c r="E1510" s="16"/>
      <c r="F1510" s="17"/>
      <c r="G1510" s="17"/>
      <c r="I1510" s="6"/>
      <c r="J1510" s="6"/>
    </row>
    <row r="1511">
      <c r="A1511" s="16"/>
      <c r="B1511" s="16"/>
      <c r="C1511" s="16"/>
      <c r="D1511" s="16"/>
      <c r="E1511" s="16"/>
      <c r="F1511" s="17"/>
      <c r="G1511" s="17"/>
      <c r="I1511" s="6"/>
      <c r="J1511" s="6"/>
    </row>
    <row r="1512">
      <c r="A1512" s="16"/>
      <c r="B1512" s="16"/>
      <c r="C1512" s="16"/>
      <c r="D1512" s="16"/>
      <c r="E1512" s="16"/>
      <c r="F1512" s="17"/>
      <c r="G1512" s="17"/>
      <c r="I1512" s="6"/>
      <c r="J1512" s="6"/>
    </row>
    <row r="1513">
      <c r="A1513" s="16"/>
      <c r="B1513" s="16"/>
      <c r="C1513" s="16"/>
      <c r="D1513" s="16"/>
      <c r="E1513" s="16"/>
      <c r="F1513" s="17"/>
      <c r="G1513" s="17"/>
      <c r="I1513" s="6"/>
      <c r="J1513" s="6"/>
    </row>
    <row r="1514">
      <c r="A1514" s="16"/>
      <c r="B1514" s="16"/>
      <c r="C1514" s="16"/>
      <c r="D1514" s="16"/>
      <c r="E1514" s="16"/>
      <c r="F1514" s="17"/>
      <c r="G1514" s="17"/>
      <c r="I1514" s="6"/>
      <c r="J1514" s="6"/>
    </row>
    <row r="1515">
      <c r="A1515" s="16"/>
      <c r="B1515" s="16"/>
      <c r="C1515" s="16"/>
      <c r="D1515" s="16"/>
      <c r="E1515" s="16"/>
      <c r="F1515" s="17"/>
      <c r="G1515" s="17"/>
      <c r="I1515" s="6"/>
      <c r="J1515" s="6"/>
    </row>
    <row r="1516">
      <c r="A1516" s="16"/>
      <c r="B1516" s="16"/>
      <c r="C1516" s="16"/>
      <c r="D1516" s="16"/>
      <c r="E1516" s="16"/>
      <c r="F1516" s="17"/>
      <c r="G1516" s="17"/>
      <c r="I1516" s="6"/>
      <c r="J1516" s="6"/>
    </row>
    <row r="1517">
      <c r="A1517" s="16"/>
      <c r="B1517" s="16"/>
      <c r="C1517" s="16"/>
      <c r="D1517" s="16"/>
      <c r="E1517" s="16"/>
      <c r="F1517" s="17"/>
      <c r="G1517" s="17"/>
      <c r="I1517" s="6"/>
      <c r="J1517" s="6"/>
    </row>
    <row r="1518">
      <c r="A1518" s="16"/>
      <c r="B1518" s="16"/>
      <c r="C1518" s="16"/>
      <c r="D1518" s="16"/>
      <c r="E1518" s="16"/>
      <c r="F1518" s="17"/>
      <c r="G1518" s="17"/>
      <c r="I1518" s="6"/>
      <c r="J1518" s="6"/>
    </row>
    <row r="1519">
      <c r="A1519" s="16"/>
      <c r="B1519" s="16"/>
      <c r="C1519" s="16"/>
      <c r="D1519" s="16"/>
      <c r="E1519" s="16"/>
      <c r="F1519" s="17"/>
      <c r="G1519" s="17"/>
      <c r="I1519" s="6"/>
      <c r="J1519" s="6"/>
    </row>
    <row r="1520">
      <c r="A1520" s="16"/>
      <c r="B1520" s="16"/>
      <c r="C1520" s="16"/>
      <c r="D1520" s="16"/>
      <c r="E1520" s="16"/>
      <c r="F1520" s="17"/>
      <c r="G1520" s="17"/>
      <c r="I1520" s="6"/>
      <c r="J1520" s="6"/>
    </row>
    <row r="1521">
      <c r="A1521" s="16"/>
      <c r="B1521" s="16"/>
      <c r="C1521" s="16"/>
      <c r="D1521" s="16"/>
      <c r="E1521" s="16"/>
      <c r="F1521" s="17"/>
      <c r="G1521" s="17"/>
      <c r="I1521" s="6"/>
      <c r="J1521" s="6"/>
    </row>
    <row r="1522">
      <c r="A1522" s="16"/>
      <c r="B1522" s="16"/>
      <c r="C1522" s="16"/>
      <c r="D1522" s="16"/>
      <c r="E1522" s="16"/>
      <c r="F1522" s="17"/>
      <c r="G1522" s="17"/>
      <c r="I1522" s="6"/>
      <c r="J1522" s="6"/>
    </row>
    <row r="1523">
      <c r="A1523" s="16"/>
      <c r="B1523" s="16"/>
      <c r="C1523" s="16"/>
      <c r="D1523" s="16"/>
      <c r="E1523" s="16"/>
      <c r="F1523" s="17"/>
      <c r="G1523" s="17"/>
      <c r="I1523" s="6"/>
      <c r="J1523" s="6"/>
    </row>
    <row r="1524">
      <c r="A1524" s="16"/>
      <c r="B1524" s="16"/>
      <c r="C1524" s="16"/>
      <c r="D1524" s="16"/>
      <c r="E1524" s="16"/>
      <c r="F1524" s="17"/>
      <c r="G1524" s="17"/>
      <c r="I1524" s="6"/>
      <c r="J1524" s="6"/>
    </row>
    <row r="1525">
      <c r="A1525" s="16"/>
      <c r="B1525" s="16"/>
      <c r="C1525" s="16"/>
      <c r="D1525" s="16"/>
      <c r="E1525" s="16"/>
      <c r="F1525" s="17"/>
      <c r="G1525" s="17"/>
      <c r="I1525" s="6"/>
      <c r="J1525" s="6"/>
    </row>
    <row r="1526">
      <c r="A1526" s="16"/>
      <c r="B1526" s="16"/>
      <c r="C1526" s="16"/>
      <c r="D1526" s="16"/>
      <c r="E1526" s="16"/>
      <c r="F1526" s="17"/>
      <c r="G1526" s="17"/>
      <c r="I1526" s="6"/>
      <c r="J1526" s="6"/>
    </row>
    <row r="1527">
      <c r="A1527" s="16"/>
      <c r="B1527" s="16"/>
      <c r="C1527" s="16"/>
      <c r="D1527" s="16"/>
      <c r="E1527" s="16"/>
      <c r="F1527" s="17"/>
      <c r="G1527" s="17"/>
      <c r="I1527" s="6"/>
      <c r="J1527" s="6"/>
    </row>
    <row r="1528">
      <c r="A1528" s="16"/>
      <c r="B1528" s="16"/>
      <c r="C1528" s="16"/>
      <c r="D1528" s="16"/>
      <c r="E1528" s="16"/>
      <c r="F1528" s="17"/>
      <c r="G1528" s="17"/>
      <c r="I1528" s="6"/>
      <c r="J1528" s="6"/>
    </row>
    <row r="1529">
      <c r="A1529" s="16"/>
      <c r="B1529" s="16"/>
      <c r="C1529" s="16"/>
      <c r="D1529" s="16"/>
      <c r="E1529" s="16"/>
      <c r="F1529" s="17"/>
      <c r="G1529" s="17"/>
      <c r="I1529" s="6"/>
      <c r="J1529" s="6"/>
    </row>
    <row r="1530">
      <c r="A1530" s="16"/>
      <c r="B1530" s="16"/>
      <c r="C1530" s="16"/>
      <c r="D1530" s="16"/>
      <c r="E1530" s="16"/>
      <c r="F1530" s="17"/>
      <c r="G1530" s="17"/>
      <c r="I1530" s="6"/>
      <c r="J1530" s="6"/>
    </row>
    <row r="1531">
      <c r="A1531" s="16"/>
      <c r="B1531" s="16"/>
      <c r="C1531" s="16"/>
      <c r="D1531" s="16"/>
      <c r="E1531" s="16"/>
      <c r="F1531" s="17"/>
      <c r="G1531" s="17"/>
      <c r="I1531" s="6"/>
      <c r="J1531" s="6"/>
    </row>
    <row r="1532">
      <c r="A1532" s="16"/>
      <c r="B1532" s="16"/>
      <c r="C1532" s="16"/>
      <c r="D1532" s="16"/>
      <c r="E1532" s="16"/>
      <c r="F1532" s="17"/>
      <c r="G1532" s="17"/>
      <c r="I1532" s="6"/>
      <c r="J1532" s="6"/>
    </row>
    <row r="1533">
      <c r="A1533" s="16"/>
      <c r="B1533" s="16"/>
      <c r="C1533" s="16"/>
      <c r="D1533" s="16"/>
      <c r="E1533" s="16"/>
      <c r="F1533" s="17"/>
      <c r="G1533" s="17"/>
      <c r="I1533" s="6"/>
      <c r="J1533" s="6"/>
    </row>
    <row r="1534">
      <c r="A1534" s="16"/>
      <c r="B1534" s="16"/>
      <c r="C1534" s="16"/>
      <c r="D1534" s="16"/>
      <c r="E1534" s="16"/>
      <c r="F1534" s="17"/>
      <c r="G1534" s="17"/>
      <c r="I1534" s="6"/>
      <c r="J1534" s="6"/>
    </row>
    <row r="1535">
      <c r="A1535" s="16"/>
      <c r="B1535" s="16"/>
      <c r="C1535" s="16"/>
      <c r="D1535" s="16"/>
      <c r="E1535" s="16"/>
      <c r="F1535" s="17"/>
      <c r="G1535" s="17"/>
      <c r="I1535" s="6"/>
      <c r="J1535" s="6"/>
    </row>
    <row r="1536">
      <c r="A1536" s="16"/>
      <c r="B1536" s="16"/>
      <c r="C1536" s="16"/>
      <c r="D1536" s="16"/>
      <c r="E1536" s="16"/>
      <c r="F1536" s="17"/>
      <c r="G1536" s="17"/>
      <c r="I1536" s="6"/>
      <c r="J1536" s="6"/>
    </row>
    <row r="1537">
      <c r="A1537" s="16"/>
      <c r="B1537" s="16"/>
      <c r="C1537" s="16"/>
      <c r="D1537" s="16"/>
      <c r="E1537" s="16"/>
      <c r="F1537" s="17"/>
      <c r="G1537" s="17"/>
      <c r="I1537" s="6"/>
      <c r="J1537" s="6"/>
    </row>
    <row r="1538">
      <c r="A1538" s="16"/>
      <c r="B1538" s="16"/>
      <c r="C1538" s="16"/>
      <c r="D1538" s="16"/>
      <c r="E1538" s="16"/>
      <c r="F1538" s="17"/>
      <c r="G1538" s="17"/>
      <c r="I1538" s="6"/>
      <c r="J1538" s="6"/>
    </row>
    <row r="1539">
      <c r="A1539" s="16"/>
      <c r="B1539" s="16"/>
      <c r="C1539" s="16"/>
      <c r="D1539" s="16"/>
      <c r="E1539" s="16"/>
      <c r="F1539" s="17"/>
      <c r="G1539" s="17"/>
      <c r="I1539" s="6"/>
      <c r="J1539" s="6"/>
    </row>
    <row r="1540">
      <c r="A1540" s="16"/>
      <c r="B1540" s="16"/>
      <c r="C1540" s="16"/>
      <c r="D1540" s="16"/>
      <c r="E1540" s="16"/>
      <c r="F1540" s="17"/>
      <c r="G1540" s="17"/>
      <c r="I1540" s="6"/>
      <c r="J1540" s="6"/>
    </row>
    <row r="1541">
      <c r="A1541" s="16"/>
      <c r="B1541" s="16"/>
      <c r="C1541" s="16"/>
      <c r="D1541" s="16"/>
      <c r="E1541" s="16"/>
      <c r="F1541" s="17"/>
      <c r="G1541" s="17"/>
      <c r="I1541" s="6"/>
      <c r="J1541" s="6"/>
    </row>
    <row r="1542">
      <c r="A1542" s="16"/>
      <c r="B1542" s="16"/>
      <c r="C1542" s="16"/>
      <c r="D1542" s="16"/>
      <c r="E1542" s="16"/>
      <c r="F1542" s="17"/>
      <c r="G1542" s="17"/>
      <c r="I1542" s="6"/>
      <c r="J1542" s="6"/>
    </row>
    <row r="1543">
      <c r="A1543" s="16"/>
      <c r="B1543" s="16"/>
      <c r="C1543" s="16"/>
      <c r="D1543" s="16"/>
      <c r="E1543" s="16"/>
      <c r="F1543" s="17"/>
      <c r="G1543" s="17"/>
      <c r="I1543" s="6"/>
      <c r="J1543" s="6"/>
    </row>
    <row r="1544">
      <c r="A1544" s="16"/>
      <c r="B1544" s="16"/>
      <c r="C1544" s="16"/>
      <c r="D1544" s="16"/>
      <c r="E1544" s="16"/>
      <c r="F1544" s="17"/>
      <c r="G1544" s="17"/>
      <c r="I1544" s="6"/>
      <c r="J1544" s="6"/>
    </row>
    <row r="1545">
      <c r="A1545" s="16"/>
      <c r="B1545" s="16"/>
      <c r="C1545" s="16"/>
      <c r="D1545" s="16"/>
      <c r="E1545" s="16"/>
      <c r="F1545" s="17"/>
      <c r="G1545" s="17"/>
      <c r="I1545" s="6"/>
      <c r="J1545" s="6"/>
    </row>
    <row r="1546">
      <c r="A1546" s="16"/>
      <c r="B1546" s="16"/>
      <c r="C1546" s="16"/>
      <c r="D1546" s="16"/>
      <c r="E1546" s="16"/>
      <c r="F1546" s="17"/>
      <c r="G1546" s="17"/>
      <c r="I1546" s="6"/>
      <c r="J1546" s="6"/>
    </row>
    <row r="1547">
      <c r="A1547" s="16"/>
      <c r="B1547" s="16"/>
      <c r="C1547" s="16"/>
      <c r="D1547" s="16"/>
      <c r="E1547" s="16"/>
      <c r="F1547" s="17"/>
      <c r="G1547" s="17"/>
      <c r="I1547" s="6"/>
      <c r="J1547" s="6"/>
    </row>
    <row r="1548">
      <c r="A1548" s="16"/>
      <c r="B1548" s="16"/>
      <c r="C1548" s="16"/>
      <c r="D1548" s="16"/>
      <c r="E1548" s="16"/>
      <c r="F1548" s="17"/>
      <c r="G1548" s="17"/>
      <c r="I1548" s="6"/>
      <c r="J1548" s="6"/>
    </row>
    <row r="1549">
      <c r="A1549" s="16"/>
      <c r="B1549" s="16"/>
      <c r="C1549" s="16"/>
      <c r="D1549" s="16"/>
      <c r="E1549" s="16"/>
      <c r="F1549" s="17"/>
      <c r="G1549" s="17"/>
      <c r="I1549" s="6"/>
      <c r="J1549" s="6"/>
    </row>
    <row r="1550">
      <c r="A1550" s="16"/>
      <c r="B1550" s="16"/>
      <c r="C1550" s="16"/>
      <c r="D1550" s="16"/>
      <c r="E1550" s="16"/>
      <c r="F1550" s="17"/>
      <c r="G1550" s="17"/>
      <c r="I1550" s="6"/>
      <c r="J1550" s="6"/>
    </row>
    <row r="1551">
      <c r="A1551" s="16"/>
      <c r="B1551" s="16"/>
      <c r="C1551" s="16"/>
      <c r="D1551" s="16"/>
      <c r="E1551" s="16"/>
      <c r="F1551" s="17"/>
      <c r="G1551" s="17"/>
      <c r="I1551" s="6"/>
      <c r="J1551" s="6"/>
    </row>
    <row r="1552">
      <c r="A1552" s="16"/>
      <c r="B1552" s="16"/>
      <c r="C1552" s="16"/>
      <c r="D1552" s="16"/>
      <c r="E1552" s="16"/>
      <c r="F1552" s="17"/>
      <c r="G1552" s="17"/>
      <c r="I1552" s="6"/>
      <c r="J1552" s="6"/>
    </row>
    <row r="1553">
      <c r="A1553" s="16"/>
      <c r="B1553" s="16"/>
      <c r="C1553" s="16"/>
      <c r="D1553" s="16"/>
      <c r="E1553" s="16"/>
      <c r="F1553" s="17"/>
      <c r="G1553" s="17"/>
      <c r="I1553" s="6"/>
      <c r="J1553" s="6"/>
    </row>
    <row r="1554">
      <c r="A1554" s="16"/>
      <c r="B1554" s="16"/>
      <c r="C1554" s="16"/>
      <c r="D1554" s="16"/>
      <c r="E1554" s="16"/>
      <c r="F1554" s="17"/>
      <c r="G1554" s="17"/>
      <c r="I1554" s="6"/>
      <c r="J1554" s="6"/>
    </row>
    <row r="1555">
      <c r="A1555" s="16"/>
      <c r="B1555" s="16"/>
      <c r="C1555" s="16"/>
      <c r="D1555" s="16"/>
      <c r="E1555" s="16"/>
      <c r="F1555" s="17"/>
      <c r="G1555" s="17"/>
      <c r="I1555" s="6"/>
      <c r="J1555" s="6"/>
    </row>
    <row r="1556">
      <c r="A1556" s="16"/>
      <c r="B1556" s="16"/>
      <c r="C1556" s="16"/>
      <c r="D1556" s="16"/>
      <c r="E1556" s="16"/>
      <c r="F1556" s="17"/>
      <c r="G1556" s="17"/>
      <c r="I1556" s="6"/>
      <c r="J1556" s="6"/>
    </row>
    <row r="1557">
      <c r="A1557" s="16"/>
      <c r="B1557" s="16"/>
      <c r="C1557" s="16"/>
      <c r="D1557" s="16"/>
      <c r="E1557" s="16"/>
      <c r="F1557" s="17"/>
      <c r="G1557" s="17"/>
      <c r="I1557" s="6"/>
      <c r="J1557" s="6"/>
    </row>
    <row r="1558">
      <c r="A1558" s="16"/>
      <c r="B1558" s="16"/>
      <c r="C1558" s="16"/>
      <c r="D1558" s="16"/>
      <c r="E1558" s="16"/>
      <c r="F1558" s="17"/>
      <c r="G1558" s="17"/>
      <c r="I1558" s="6"/>
      <c r="J1558" s="6"/>
    </row>
    <row r="1559">
      <c r="A1559" s="16"/>
      <c r="B1559" s="16"/>
      <c r="C1559" s="16"/>
      <c r="D1559" s="16"/>
      <c r="E1559" s="16"/>
      <c r="F1559" s="17"/>
      <c r="G1559" s="17"/>
      <c r="I1559" s="6"/>
      <c r="J1559" s="6"/>
    </row>
    <row r="1560">
      <c r="A1560" s="16"/>
      <c r="B1560" s="16"/>
      <c r="C1560" s="16"/>
      <c r="D1560" s="16"/>
      <c r="E1560" s="16"/>
      <c r="F1560" s="17"/>
      <c r="G1560" s="17"/>
      <c r="I1560" s="6"/>
      <c r="J1560" s="6"/>
    </row>
    <row r="1561">
      <c r="A1561" s="16"/>
      <c r="B1561" s="16"/>
      <c r="C1561" s="16"/>
      <c r="D1561" s="16"/>
      <c r="E1561" s="16"/>
      <c r="F1561" s="17"/>
      <c r="G1561" s="17"/>
      <c r="I1561" s="6"/>
      <c r="J1561" s="6"/>
    </row>
    <row r="1562">
      <c r="A1562" s="16"/>
      <c r="B1562" s="16"/>
      <c r="C1562" s="16"/>
      <c r="D1562" s="16"/>
      <c r="E1562" s="16"/>
      <c r="F1562" s="17"/>
      <c r="G1562" s="17"/>
      <c r="I1562" s="6"/>
      <c r="J1562" s="6"/>
    </row>
    <row r="1563">
      <c r="A1563" s="16"/>
      <c r="B1563" s="16"/>
      <c r="C1563" s="16"/>
      <c r="D1563" s="16"/>
      <c r="E1563" s="16"/>
      <c r="F1563" s="17"/>
      <c r="G1563" s="17"/>
      <c r="I1563" s="6"/>
      <c r="J1563" s="6"/>
    </row>
    <row r="1564">
      <c r="A1564" s="16"/>
      <c r="B1564" s="16"/>
      <c r="C1564" s="16"/>
      <c r="D1564" s="16"/>
      <c r="E1564" s="16"/>
      <c r="F1564" s="17"/>
      <c r="G1564" s="17"/>
      <c r="I1564" s="6"/>
      <c r="J1564" s="6"/>
    </row>
    <row r="1565">
      <c r="A1565" s="16"/>
      <c r="B1565" s="16"/>
      <c r="C1565" s="16"/>
      <c r="D1565" s="16"/>
      <c r="E1565" s="16"/>
      <c r="F1565" s="17"/>
      <c r="G1565" s="17"/>
      <c r="I1565" s="6"/>
      <c r="J1565" s="6"/>
    </row>
    <row r="1566">
      <c r="A1566" s="16"/>
      <c r="B1566" s="16"/>
      <c r="C1566" s="16"/>
      <c r="D1566" s="16"/>
      <c r="E1566" s="16"/>
      <c r="F1566" s="17"/>
      <c r="G1566" s="17"/>
      <c r="I1566" s="6"/>
      <c r="J1566" s="6"/>
    </row>
    <row r="1567">
      <c r="A1567" s="16"/>
      <c r="B1567" s="16"/>
      <c r="C1567" s="16"/>
      <c r="D1567" s="16"/>
      <c r="E1567" s="16"/>
      <c r="F1567" s="17"/>
      <c r="G1567" s="17"/>
      <c r="I1567" s="6"/>
      <c r="J1567" s="6"/>
    </row>
    <row r="1568">
      <c r="A1568" s="16"/>
      <c r="B1568" s="16"/>
      <c r="C1568" s="16"/>
      <c r="D1568" s="16"/>
      <c r="E1568" s="16"/>
      <c r="F1568" s="17"/>
      <c r="G1568" s="17"/>
      <c r="I1568" s="6"/>
      <c r="J1568" s="6"/>
    </row>
    <row r="1569">
      <c r="A1569" s="16"/>
      <c r="B1569" s="16"/>
      <c r="C1569" s="16"/>
      <c r="D1569" s="16"/>
      <c r="E1569" s="16"/>
      <c r="F1569" s="17"/>
      <c r="G1569" s="17"/>
      <c r="I1569" s="6"/>
      <c r="J1569" s="6"/>
    </row>
    <row r="1570">
      <c r="A1570" s="16"/>
      <c r="B1570" s="16"/>
      <c r="C1570" s="16"/>
      <c r="D1570" s="16"/>
      <c r="E1570" s="16"/>
      <c r="F1570" s="17"/>
      <c r="G1570" s="17"/>
      <c r="I1570" s="6"/>
      <c r="J1570" s="6"/>
    </row>
    <row r="1571">
      <c r="A1571" s="16"/>
      <c r="B1571" s="16"/>
      <c r="C1571" s="16"/>
      <c r="D1571" s="16"/>
      <c r="E1571" s="16"/>
      <c r="F1571" s="17"/>
      <c r="G1571" s="17"/>
      <c r="I1571" s="6"/>
      <c r="J1571" s="6"/>
    </row>
    <row r="1572">
      <c r="A1572" s="16"/>
      <c r="B1572" s="16"/>
      <c r="C1572" s="16"/>
      <c r="D1572" s="16"/>
      <c r="E1572" s="16"/>
      <c r="F1572" s="17"/>
      <c r="G1572" s="17"/>
      <c r="I1572" s="6"/>
      <c r="J1572" s="6"/>
    </row>
    <row r="1573">
      <c r="A1573" s="16"/>
      <c r="B1573" s="16"/>
      <c r="C1573" s="16"/>
      <c r="D1573" s="16"/>
      <c r="E1573" s="16"/>
      <c r="F1573" s="17"/>
      <c r="G1573" s="17"/>
      <c r="I1573" s="6"/>
      <c r="J1573" s="6"/>
    </row>
    <row r="1574">
      <c r="A1574" s="16"/>
      <c r="B1574" s="16"/>
      <c r="C1574" s="16"/>
      <c r="D1574" s="16"/>
      <c r="E1574" s="16"/>
      <c r="F1574" s="17"/>
      <c r="G1574" s="17"/>
      <c r="I1574" s="6"/>
      <c r="J1574" s="6"/>
    </row>
    <row r="1575">
      <c r="A1575" s="16"/>
      <c r="B1575" s="16"/>
      <c r="C1575" s="16"/>
      <c r="D1575" s="16"/>
      <c r="E1575" s="16"/>
      <c r="F1575" s="17"/>
      <c r="G1575" s="17"/>
      <c r="I1575" s="6"/>
      <c r="J1575" s="6"/>
    </row>
    <row r="1576">
      <c r="A1576" s="16"/>
      <c r="B1576" s="16"/>
      <c r="C1576" s="16"/>
      <c r="D1576" s="16"/>
      <c r="E1576" s="16"/>
      <c r="F1576" s="17"/>
      <c r="G1576" s="17"/>
      <c r="I1576" s="6"/>
      <c r="J1576" s="6"/>
    </row>
    <row r="1577">
      <c r="A1577" s="16"/>
      <c r="B1577" s="16"/>
      <c r="C1577" s="16"/>
      <c r="D1577" s="16"/>
      <c r="E1577" s="16"/>
      <c r="F1577" s="17"/>
      <c r="G1577" s="17"/>
      <c r="I1577" s="6"/>
      <c r="J1577" s="6"/>
    </row>
    <row r="1578">
      <c r="A1578" s="16"/>
      <c r="B1578" s="16"/>
      <c r="C1578" s="16"/>
      <c r="D1578" s="16"/>
      <c r="E1578" s="16"/>
      <c r="F1578" s="17"/>
      <c r="G1578" s="17"/>
      <c r="I1578" s="6"/>
      <c r="J1578" s="6"/>
    </row>
    <row r="1579">
      <c r="A1579" s="16"/>
      <c r="B1579" s="16"/>
      <c r="C1579" s="16"/>
      <c r="D1579" s="16"/>
      <c r="E1579" s="16"/>
      <c r="F1579" s="17"/>
      <c r="G1579" s="17"/>
      <c r="I1579" s="6"/>
      <c r="J1579" s="6"/>
    </row>
    <row r="1580">
      <c r="A1580" s="16"/>
      <c r="B1580" s="16"/>
      <c r="C1580" s="16"/>
      <c r="D1580" s="16"/>
      <c r="E1580" s="16"/>
      <c r="F1580" s="17"/>
      <c r="G1580" s="17"/>
      <c r="I1580" s="6"/>
      <c r="J1580" s="6"/>
    </row>
    <row r="1581">
      <c r="A1581" s="16"/>
      <c r="B1581" s="16"/>
      <c r="C1581" s="16"/>
      <c r="D1581" s="16"/>
      <c r="E1581" s="16"/>
      <c r="F1581" s="17"/>
      <c r="G1581" s="17"/>
      <c r="I1581" s="6"/>
      <c r="J1581" s="6"/>
    </row>
    <row r="1582">
      <c r="A1582" s="16"/>
      <c r="B1582" s="16"/>
      <c r="C1582" s="16"/>
      <c r="D1582" s="16"/>
      <c r="E1582" s="16"/>
      <c r="F1582" s="17"/>
      <c r="G1582" s="17"/>
      <c r="I1582" s="6"/>
      <c r="J1582" s="6"/>
    </row>
    <row r="1583">
      <c r="A1583" s="16"/>
      <c r="B1583" s="16"/>
      <c r="C1583" s="16"/>
      <c r="D1583" s="16"/>
      <c r="E1583" s="16"/>
      <c r="F1583" s="17"/>
      <c r="G1583" s="17"/>
      <c r="I1583" s="6"/>
      <c r="J1583" s="6"/>
    </row>
    <row r="1584">
      <c r="A1584" s="16"/>
      <c r="B1584" s="16"/>
      <c r="C1584" s="16"/>
      <c r="D1584" s="16"/>
      <c r="E1584" s="16"/>
      <c r="F1584" s="17"/>
      <c r="G1584" s="17"/>
      <c r="I1584" s="6"/>
      <c r="J1584" s="6"/>
    </row>
    <row r="1585">
      <c r="A1585" s="16"/>
      <c r="B1585" s="16"/>
      <c r="C1585" s="16"/>
      <c r="D1585" s="16"/>
      <c r="E1585" s="16"/>
      <c r="F1585" s="17"/>
      <c r="G1585" s="17"/>
      <c r="I1585" s="6"/>
      <c r="J1585" s="6"/>
    </row>
    <row r="1586">
      <c r="A1586" s="16"/>
      <c r="B1586" s="16"/>
      <c r="C1586" s="16"/>
      <c r="D1586" s="16"/>
      <c r="E1586" s="16"/>
      <c r="F1586" s="17"/>
      <c r="G1586" s="17"/>
      <c r="I1586" s="6"/>
      <c r="J1586" s="6"/>
    </row>
    <row r="1587">
      <c r="A1587" s="16"/>
      <c r="B1587" s="16"/>
      <c r="C1587" s="16"/>
      <c r="D1587" s="16"/>
      <c r="E1587" s="16"/>
      <c r="F1587" s="17"/>
      <c r="G1587" s="17"/>
      <c r="I1587" s="6"/>
      <c r="J1587" s="6"/>
    </row>
    <row r="1588">
      <c r="A1588" s="16"/>
      <c r="B1588" s="16"/>
      <c r="C1588" s="16"/>
      <c r="D1588" s="16"/>
      <c r="E1588" s="16"/>
      <c r="F1588" s="17"/>
      <c r="G1588" s="17"/>
      <c r="I1588" s="6"/>
      <c r="J1588" s="6"/>
    </row>
    <row r="1589">
      <c r="A1589" s="16"/>
      <c r="B1589" s="16"/>
      <c r="C1589" s="16"/>
      <c r="D1589" s="16"/>
      <c r="E1589" s="16"/>
      <c r="F1589" s="17"/>
      <c r="G1589" s="17"/>
      <c r="I1589" s="6"/>
      <c r="J1589" s="6"/>
    </row>
    <row r="1590">
      <c r="A1590" s="16"/>
      <c r="B1590" s="16"/>
      <c r="C1590" s="16"/>
      <c r="D1590" s="16"/>
      <c r="E1590" s="16"/>
      <c r="F1590" s="17"/>
      <c r="G1590" s="17"/>
      <c r="I1590" s="6"/>
      <c r="J1590" s="6"/>
    </row>
    <row r="1591">
      <c r="A1591" s="16"/>
      <c r="B1591" s="16"/>
      <c r="C1591" s="16"/>
      <c r="D1591" s="16"/>
      <c r="E1591" s="16"/>
      <c r="F1591" s="17"/>
      <c r="G1591" s="17"/>
      <c r="I1591" s="6"/>
      <c r="J1591" s="6"/>
    </row>
    <row r="1592">
      <c r="A1592" s="16"/>
      <c r="B1592" s="16"/>
      <c r="C1592" s="16"/>
      <c r="D1592" s="16"/>
      <c r="E1592" s="16"/>
      <c r="F1592" s="17"/>
      <c r="G1592" s="17"/>
      <c r="I1592" s="6"/>
      <c r="J1592" s="6"/>
    </row>
    <row r="1593">
      <c r="A1593" s="16"/>
      <c r="B1593" s="16"/>
      <c r="C1593" s="16"/>
      <c r="D1593" s="16"/>
      <c r="E1593" s="16"/>
      <c r="F1593" s="17"/>
      <c r="G1593" s="17"/>
      <c r="I1593" s="6"/>
      <c r="J1593" s="6"/>
    </row>
    <row r="1594">
      <c r="A1594" s="16"/>
      <c r="B1594" s="16"/>
      <c r="C1594" s="16"/>
      <c r="D1594" s="16"/>
      <c r="E1594" s="16"/>
      <c r="F1594" s="17"/>
      <c r="G1594" s="17"/>
      <c r="I1594" s="6"/>
      <c r="J1594" s="6"/>
    </row>
    <row r="1595">
      <c r="A1595" s="16"/>
      <c r="B1595" s="16"/>
      <c r="C1595" s="16"/>
      <c r="D1595" s="16"/>
      <c r="E1595" s="16"/>
      <c r="F1595" s="17"/>
      <c r="G1595" s="17"/>
      <c r="I1595" s="6"/>
      <c r="J1595" s="6"/>
    </row>
    <row r="1596">
      <c r="A1596" s="16"/>
      <c r="B1596" s="16"/>
      <c r="C1596" s="16"/>
      <c r="D1596" s="16"/>
      <c r="E1596" s="16"/>
      <c r="F1596" s="17"/>
      <c r="G1596" s="17"/>
      <c r="I1596" s="6"/>
      <c r="J1596" s="6"/>
    </row>
    <row r="1597">
      <c r="A1597" s="16"/>
      <c r="B1597" s="16"/>
      <c r="C1597" s="16"/>
      <c r="D1597" s="16"/>
      <c r="E1597" s="16"/>
      <c r="F1597" s="17"/>
      <c r="G1597" s="17"/>
      <c r="I1597" s="6"/>
      <c r="J1597" s="6"/>
    </row>
    <row r="1598">
      <c r="A1598" s="16"/>
      <c r="B1598" s="16"/>
      <c r="C1598" s="16"/>
      <c r="D1598" s="16"/>
      <c r="E1598" s="16"/>
      <c r="F1598" s="17"/>
      <c r="G1598" s="17"/>
      <c r="I1598" s="6"/>
      <c r="J1598" s="6"/>
    </row>
    <row r="1599">
      <c r="A1599" s="16"/>
      <c r="B1599" s="16"/>
      <c r="C1599" s="16"/>
      <c r="D1599" s="16"/>
      <c r="E1599" s="16"/>
      <c r="F1599" s="17"/>
      <c r="G1599" s="17"/>
      <c r="I1599" s="6"/>
      <c r="J1599" s="6"/>
    </row>
    <row r="1600">
      <c r="A1600" s="16"/>
      <c r="B1600" s="16"/>
      <c r="C1600" s="16"/>
      <c r="D1600" s="16"/>
      <c r="E1600" s="16"/>
      <c r="F1600" s="17"/>
      <c r="G1600" s="17"/>
      <c r="I1600" s="6"/>
      <c r="J1600" s="6"/>
    </row>
    <row r="1601">
      <c r="A1601" s="16"/>
      <c r="B1601" s="16"/>
      <c r="C1601" s="16"/>
      <c r="D1601" s="16"/>
      <c r="E1601" s="16"/>
      <c r="F1601" s="17"/>
      <c r="G1601" s="17"/>
      <c r="I1601" s="6"/>
      <c r="J1601" s="6"/>
    </row>
    <row r="1602">
      <c r="A1602" s="16"/>
      <c r="B1602" s="16"/>
      <c r="C1602" s="16"/>
      <c r="D1602" s="16"/>
      <c r="E1602" s="16"/>
      <c r="F1602" s="17"/>
      <c r="G1602" s="17"/>
      <c r="I1602" s="6"/>
      <c r="J1602" s="6"/>
    </row>
    <row r="1603">
      <c r="A1603" s="16"/>
      <c r="B1603" s="16"/>
      <c r="C1603" s="16"/>
      <c r="D1603" s="16"/>
      <c r="E1603" s="16"/>
      <c r="F1603" s="17"/>
      <c r="G1603" s="17"/>
      <c r="I1603" s="6"/>
      <c r="J1603" s="6"/>
    </row>
    <row r="1604">
      <c r="A1604" s="16"/>
      <c r="B1604" s="16"/>
      <c r="C1604" s="16"/>
      <c r="D1604" s="16"/>
      <c r="E1604" s="16"/>
      <c r="F1604" s="17"/>
      <c r="G1604" s="17"/>
      <c r="I1604" s="6"/>
      <c r="J1604" s="6"/>
    </row>
    <row r="1605">
      <c r="A1605" s="16"/>
      <c r="B1605" s="16"/>
      <c r="C1605" s="16"/>
      <c r="D1605" s="16"/>
      <c r="E1605" s="16"/>
      <c r="F1605" s="17"/>
      <c r="G1605" s="17"/>
      <c r="I1605" s="6"/>
      <c r="J1605" s="6"/>
    </row>
    <row r="1606">
      <c r="A1606" s="16"/>
      <c r="B1606" s="16"/>
      <c r="C1606" s="16"/>
      <c r="D1606" s="16"/>
      <c r="E1606" s="16"/>
      <c r="F1606" s="17"/>
      <c r="G1606" s="17"/>
      <c r="I1606" s="6"/>
      <c r="J1606" s="6"/>
    </row>
    <row r="1607">
      <c r="A1607" s="16"/>
      <c r="B1607" s="16"/>
      <c r="C1607" s="16"/>
      <c r="D1607" s="16"/>
      <c r="E1607" s="16"/>
      <c r="F1607" s="17"/>
      <c r="G1607" s="17"/>
      <c r="I1607" s="6"/>
      <c r="J1607" s="6"/>
    </row>
    <row r="1608">
      <c r="A1608" s="16"/>
      <c r="B1608" s="16"/>
      <c r="C1608" s="16"/>
      <c r="D1608" s="16"/>
      <c r="E1608" s="16"/>
      <c r="F1608" s="17"/>
      <c r="G1608" s="17"/>
      <c r="I1608" s="6"/>
      <c r="J1608" s="6"/>
    </row>
    <row r="1609">
      <c r="A1609" s="16"/>
      <c r="B1609" s="16"/>
      <c r="C1609" s="16"/>
      <c r="D1609" s="16"/>
      <c r="E1609" s="16"/>
      <c r="F1609" s="17"/>
      <c r="G1609" s="17"/>
      <c r="I1609" s="6"/>
      <c r="J1609" s="6"/>
    </row>
    <row r="1610">
      <c r="A1610" s="16"/>
      <c r="B1610" s="16"/>
      <c r="C1610" s="16"/>
      <c r="D1610" s="16"/>
      <c r="E1610" s="16"/>
      <c r="F1610" s="17"/>
      <c r="G1610" s="17"/>
      <c r="I1610" s="6"/>
      <c r="J1610" s="6"/>
    </row>
    <row r="1611">
      <c r="A1611" s="16"/>
      <c r="B1611" s="16"/>
      <c r="C1611" s="16"/>
      <c r="D1611" s="16"/>
      <c r="E1611" s="16"/>
      <c r="F1611" s="17"/>
      <c r="G1611" s="17"/>
      <c r="I1611" s="6"/>
      <c r="J1611" s="6"/>
    </row>
    <row r="1612">
      <c r="A1612" s="16"/>
      <c r="B1612" s="16"/>
      <c r="C1612" s="16"/>
      <c r="D1612" s="16"/>
      <c r="E1612" s="16"/>
      <c r="F1612" s="17"/>
      <c r="G1612" s="17"/>
      <c r="I1612" s="6"/>
      <c r="J1612" s="6"/>
    </row>
    <row r="1613">
      <c r="A1613" s="16"/>
      <c r="B1613" s="16"/>
      <c r="C1613" s="16"/>
      <c r="D1613" s="16"/>
      <c r="E1613" s="16"/>
      <c r="F1613" s="17"/>
      <c r="G1613" s="17"/>
      <c r="I1613" s="6"/>
      <c r="J1613" s="6"/>
    </row>
    <row r="1614">
      <c r="A1614" s="16"/>
      <c r="B1614" s="16"/>
      <c r="C1614" s="16"/>
      <c r="D1614" s="16"/>
      <c r="E1614" s="16"/>
      <c r="F1614" s="17"/>
      <c r="G1614" s="17"/>
      <c r="I1614" s="6"/>
      <c r="J1614" s="6"/>
    </row>
    <row r="1615">
      <c r="A1615" s="16"/>
      <c r="B1615" s="16"/>
      <c r="C1615" s="16"/>
      <c r="D1615" s="16"/>
      <c r="E1615" s="16"/>
      <c r="F1615" s="17"/>
      <c r="G1615" s="17"/>
      <c r="I1615" s="6"/>
      <c r="J1615" s="6"/>
    </row>
    <row r="1616">
      <c r="A1616" s="16"/>
      <c r="B1616" s="16"/>
      <c r="C1616" s="16"/>
      <c r="D1616" s="16"/>
      <c r="E1616" s="16"/>
      <c r="F1616" s="17"/>
      <c r="G1616" s="17"/>
      <c r="I1616" s="6"/>
      <c r="J1616" s="6"/>
    </row>
    <row r="1617">
      <c r="A1617" s="16"/>
      <c r="B1617" s="16"/>
      <c r="C1617" s="16"/>
      <c r="D1617" s="16"/>
      <c r="E1617" s="16"/>
      <c r="F1617" s="17"/>
      <c r="G1617" s="17"/>
      <c r="I1617" s="6"/>
      <c r="J1617" s="6"/>
    </row>
    <row r="1618">
      <c r="A1618" s="16"/>
      <c r="B1618" s="16"/>
      <c r="C1618" s="16"/>
      <c r="D1618" s="16"/>
      <c r="E1618" s="16"/>
      <c r="F1618" s="17"/>
      <c r="G1618" s="17"/>
      <c r="I1618" s="6"/>
      <c r="J1618" s="6"/>
    </row>
    <row r="1619">
      <c r="A1619" s="16"/>
      <c r="B1619" s="16"/>
      <c r="C1619" s="16"/>
      <c r="D1619" s="16"/>
      <c r="E1619" s="16"/>
      <c r="F1619" s="17"/>
      <c r="G1619" s="17"/>
      <c r="I1619" s="6"/>
      <c r="J1619" s="6"/>
    </row>
    <row r="1620">
      <c r="A1620" s="16"/>
      <c r="B1620" s="16"/>
      <c r="C1620" s="16"/>
      <c r="D1620" s="16"/>
      <c r="E1620" s="16"/>
      <c r="F1620" s="17"/>
      <c r="G1620" s="17"/>
      <c r="I1620" s="6"/>
      <c r="J1620" s="6"/>
    </row>
    <row r="1621">
      <c r="A1621" s="16"/>
      <c r="B1621" s="16"/>
      <c r="C1621" s="16"/>
      <c r="D1621" s="16"/>
      <c r="E1621" s="16"/>
      <c r="F1621" s="17"/>
      <c r="G1621" s="17"/>
      <c r="I1621" s="6"/>
      <c r="J1621" s="6"/>
    </row>
    <row r="1622">
      <c r="A1622" s="16"/>
      <c r="B1622" s="16"/>
      <c r="C1622" s="16"/>
      <c r="D1622" s="16"/>
      <c r="E1622" s="16"/>
      <c r="F1622" s="17"/>
      <c r="G1622" s="17"/>
      <c r="I1622" s="6"/>
      <c r="J1622" s="6"/>
    </row>
    <row r="1623">
      <c r="A1623" s="16"/>
      <c r="B1623" s="16"/>
      <c r="C1623" s="16"/>
      <c r="D1623" s="16"/>
      <c r="E1623" s="16"/>
      <c r="F1623" s="17"/>
      <c r="G1623" s="17"/>
      <c r="I1623" s="6"/>
      <c r="J1623" s="6"/>
    </row>
    <row r="1624">
      <c r="A1624" s="16"/>
      <c r="B1624" s="16"/>
      <c r="C1624" s="16"/>
      <c r="D1624" s="16"/>
      <c r="E1624" s="16"/>
      <c r="F1624" s="17"/>
      <c r="G1624" s="17"/>
      <c r="I1624" s="6"/>
      <c r="J1624" s="6"/>
    </row>
    <row r="1625">
      <c r="A1625" s="16"/>
      <c r="B1625" s="16"/>
      <c r="C1625" s="16"/>
      <c r="D1625" s="16"/>
      <c r="E1625" s="16"/>
      <c r="F1625" s="17"/>
      <c r="G1625" s="17"/>
      <c r="I1625" s="6"/>
      <c r="J1625" s="6"/>
    </row>
    <row r="1626">
      <c r="A1626" s="16"/>
      <c r="B1626" s="16"/>
      <c r="C1626" s="16"/>
      <c r="D1626" s="16"/>
      <c r="E1626" s="16"/>
      <c r="F1626" s="17"/>
      <c r="G1626" s="17"/>
      <c r="I1626" s="6"/>
      <c r="J1626" s="6"/>
    </row>
    <row r="1627">
      <c r="A1627" s="16"/>
      <c r="B1627" s="16"/>
      <c r="C1627" s="16"/>
      <c r="D1627" s="16"/>
      <c r="E1627" s="16"/>
      <c r="F1627" s="17"/>
      <c r="G1627" s="17"/>
      <c r="I1627" s="6"/>
      <c r="J1627" s="6"/>
    </row>
    <row r="1628">
      <c r="A1628" s="16"/>
      <c r="B1628" s="16"/>
      <c r="C1628" s="16"/>
      <c r="D1628" s="16"/>
      <c r="E1628" s="16"/>
      <c r="F1628" s="17"/>
      <c r="G1628" s="17"/>
      <c r="I1628" s="6"/>
      <c r="J1628" s="6"/>
    </row>
    <row r="1629">
      <c r="A1629" s="16"/>
      <c r="B1629" s="16"/>
      <c r="C1629" s="16"/>
      <c r="D1629" s="16"/>
      <c r="E1629" s="16"/>
      <c r="F1629" s="17"/>
      <c r="G1629" s="17"/>
      <c r="I1629" s="6"/>
      <c r="J1629" s="6"/>
    </row>
    <row r="1630">
      <c r="A1630" s="16"/>
      <c r="B1630" s="16"/>
      <c r="C1630" s="16"/>
      <c r="D1630" s="16"/>
      <c r="E1630" s="16"/>
      <c r="F1630" s="17"/>
      <c r="G1630" s="17"/>
      <c r="I1630" s="6"/>
      <c r="J1630" s="6"/>
    </row>
    <row r="1631">
      <c r="A1631" s="16"/>
      <c r="B1631" s="16"/>
      <c r="C1631" s="16"/>
      <c r="D1631" s="16"/>
      <c r="E1631" s="16"/>
      <c r="F1631" s="17"/>
      <c r="G1631" s="17"/>
      <c r="I1631" s="6"/>
      <c r="J1631" s="6"/>
    </row>
    <row r="1632">
      <c r="A1632" s="16"/>
      <c r="B1632" s="16"/>
      <c r="C1632" s="16"/>
      <c r="D1632" s="16"/>
      <c r="E1632" s="16"/>
      <c r="F1632" s="17"/>
      <c r="G1632" s="17"/>
      <c r="I1632" s="6"/>
      <c r="J1632" s="6"/>
    </row>
    <row r="1633">
      <c r="A1633" s="16"/>
      <c r="B1633" s="16"/>
      <c r="C1633" s="16"/>
      <c r="D1633" s="16"/>
      <c r="E1633" s="16"/>
      <c r="F1633" s="17"/>
      <c r="G1633" s="17"/>
      <c r="I1633" s="6"/>
      <c r="J1633" s="6"/>
    </row>
    <row r="1634">
      <c r="A1634" s="16"/>
      <c r="B1634" s="16"/>
      <c r="C1634" s="16"/>
      <c r="D1634" s="16"/>
      <c r="E1634" s="16"/>
      <c r="F1634" s="17"/>
      <c r="G1634" s="17"/>
      <c r="I1634" s="6"/>
      <c r="J1634" s="6"/>
    </row>
    <row r="1635">
      <c r="A1635" s="16"/>
      <c r="B1635" s="16"/>
      <c r="C1635" s="16"/>
      <c r="D1635" s="16"/>
      <c r="E1635" s="16"/>
      <c r="F1635" s="17"/>
      <c r="G1635" s="17"/>
      <c r="I1635" s="6"/>
      <c r="J1635" s="6"/>
    </row>
    <row r="1636">
      <c r="A1636" s="16"/>
      <c r="B1636" s="16"/>
      <c r="C1636" s="16"/>
      <c r="D1636" s="16"/>
      <c r="E1636" s="16"/>
      <c r="F1636" s="17"/>
      <c r="G1636" s="17"/>
      <c r="I1636" s="6"/>
      <c r="J1636" s="6"/>
    </row>
    <row r="1637">
      <c r="A1637" s="16"/>
      <c r="B1637" s="16"/>
      <c r="C1637" s="16"/>
      <c r="D1637" s="16"/>
      <c r="E1637" s="16"/>
      <c r="F1637" s="17"/>
      <c r="G1637" s="17"/>
      <c r="I1637" s="6"/>
      <c r="J1637" s="6"/>
    </row>
    <row r="1638">
      <c r="A1638" s="16"/>
      <c r="B1638" s="16"/>
      <c r="C1638" s="16"/>
      <c r="D1638" s="16"/>
      <c r="E1638" s="16"/>
      <c r="F1638" s="17"/>
      <c r="G1638" s="17"/>
      <c r="I1638" s="6"/>
      <c r="J1638" s="6"/>
    </row>
    <row r="1639">
      <c r="A1639" s="16"/>
      <c r="B1639" s="16"/>
      <c r="C1639" s="16"/>
      <c r="D1639" s="16"/>
      <c r="E1639" s="16"/>
      <c r="F1639" s="17"/>
      <c r="G1639" s="17"/>
      <c r="I1639" s="6"/>
      <c r="J1639" s="6"/>
    </row>
    <row r="1640">
      <c r="A1640" s="16"/>
      <c r="B1640" s="16"/>
      <c r="C1640" s="16"/>
      <c r="D1640" s="16"/>
      <c r="E1640" s="16"/>
      <c r="F1640" s="17"/>
      <c r="G1640" s="17"/>
      <c r="I1640" s="6"/>
      <c r="J1640" s="6"/>
    </row>
    <row r="1641">
      <c r="A1641" s="16"/>
      <c r="B1641" s="16"/>
      <c r="C1641" s="16"/>
      <c r="D1641" s="16"/>
      <c r="E1641" s="16"/>
      <c r="F1641" s="17"/>
      <c r="G1641" s="17"/>
      <c r="I1641" s="6"/>
      <c r="J1641" s="6"/>
    </row>
    <row r="1642">
      <c r="A1642" s="16"/>
      <c r="B1642" s="16"/>
      <c r="C1642" s="16"/>
      <c r="D1642" s="16"/>
      <c r="E1642" s="16"/>
      <c r="F1642" s="17"/>
      <c r="G1642" s="17"/>
      <c r="I1642" s="6"/>
      <c r="J1642" s="6"/>
    </row>
    <row r="1643">
      <c r="A1643" s="16"/>
      <c r="B1643" s="16"/>
      <c r="C1643" s="16"/>
      <c r="D1643" s="16"/>
      <c r="E1643" s="16"/>
      <c r="F1643" s="17"/>
      <c r="G1643" s="17"/>
      <c r="I1643" s="6"/>
      <c r="J1643" s="6"/>
    </row>
    <row r="1644">
      <c r="A1644" s="16"/>
      <c r="B1644" s="16"/>
      <c r="C1644" s="16"/>
      <c r="D1644" s="16"/>
      <c r="E1644" s="16"/>
      <c r="F1644" s="17"/>
      <c r="G1644" s="17"/>
      <c r="I1644" s="6"/>
      <c r="J1644" s="6"/>
    </row>
    <row r="1645">
      <c r="A1645" s="16"/>
      <c r="B1645" s="16"/>
      <c r="C1645" s="16"/>
      <c r="D1645" s="16"/>
      <c r="E1645" s="16"/>
      <c r="F1645" s="17"/>
      <c r="G1645" s="17"/>
      <c r="I1645" s="6"/>
      <c r="J1645" s="6"/>
    </row>
    <row r="1646">
      <c r="A1646" s="16"/>
      <c r="B1646" s="16"/>
      <c r="C1646" s="16"/>
      <c r="D1646" s="16"/>
      <c r="E1646" s="16"/>
      <c r="F1646" s="17"/>
      <c r="G1646" s="17"/>
      <c r="I1646" s="6"/>
      <c r="J1646" s="6"/>
    </row>
    <row r="1647">
      <c r="A1647" s="16"/>
      <c r="B1647" s="16"/>
      <c r="C1647" s="16"/>
      <c r="D1647" s="16"/>
      <c r="E1647" s="16"/>
      <c r="F1647" s="17"/>
      <c r="G1647" s="17"/>
      <c r="I1647" s="6"/>
      <c r="J1647" s="6"/>
    </row>
    <row r="1648">
      <c r="A1648" s="16"/>
      <c r="B1648" s="16"/>
      <c r="C1648" s="16"/>
      <c r="D1648" s="16"/>
      <c r="E1648" s="16"/>
      <c r="F1648" s="17"/>
      <c r="G1648" s="17"/>
      <c r="I1648" s="6"/>
      <c r="J1648" s="6"/>
    </row>
    <row r="1649">
      <c r="A1649" s="16"/>
      <c r="B1649" s="16"/>
      <c r="C1649" s="16"/>
      <c r="D1649" s="16"/>
      <c r="E1649" s="16"/>
      <c r="F1649" s="17"/>
      <c r="G1649" s="17"/>
      <c r="I1649" s="6"/>
      <c r="J1649" s="6"/>
    </row>
    <row r="1650">
      <c r="A1650" s="16"/>
      <c r="B1650" s="16"/>
      <c r="C1650" s="16"/>
      <c r="D1650" s="16"/>
      <c r="E1650" s="16"/>
      <c r="F1650" s="17"/>
      <c r="G1650" s="17"/>
      <c r="I1650" s="6"/>
      <c r="J1650" s="6"/>
    </row>
    <row r="1651">
      <c r="A1651" s="16"/>
      <c r="B1651" s="16"/>
      <c r="C1651" s="16"/>
      <c r="D1651" s="16"/>
      <c r="E1651" s="16"/>
      <c r="F1651" s="17"/>
      <c r="G1651" s="17"/>
      <c r="I1651" s="6"/>
      <c r="J1651" s="6"/>
    </row>
    <row r="1652">
      <c r="A1652" s="16"/>
      <c r="B1652" s="16"/>
      <c r="C1652" s="16"/>
      <c r="D1652" s="16"/>
      <c r="E1652" s="16"/>
      <c r="F1652" s="17"/>
      <c r="G1652" s="17"/>
      <c r="I1652" s="6"/>
      <c r="J1652" s="6"/>
    </row>
    <row r="1653">
      <c r="A1653" s="16"/>
      <c r="B1653" s="16"/>
      <c r="C1653" s="16"/>
      <c r="D1653" s="16"/>
      <c r="E1653" s="16"/>
      <c r="F1653" s="17"/>
      <c r="G1653" s="17"/>
      <c r="I1653" s="6"/>
      <c r="J1653" s="6"/>
    </row>
    <row r="1654">
      <c r="A1654" s="16"/>
      <c r="B1654" s="16"/>
      <c r="C1654" s="16"/>
      <c r="D1654" s="16"/>
      <c r="E1654" s="16"/>
      <c r="F1654" s="17"/>
      <c r="G1654" s="17"/>
      <c r="I1654" s="6"/>
      <c r="J1654" s="6"/>
    </row>
    <row r="1655">
      <c r="A1655" s="16"/>
      <c r="B1655" s="16"/>
      <c r="C1655" s="16"/>
      <c r="D1655" s="16"/>
      <c r="E1655" s="16"/>
      <c r="F1655" s="17"/>
      <c r="G1655" s="17"/>
      <c r="I1655" s="6"/>
      <c r="J1655" s="6"/>
    </row>
    <row r="1656">
      <c r="A1656" s="16"/>
      <c r="B1656" s="16"/>
      <c r="C1656" s="16"/>
      <c r="D1656" s="16"/>
      <c r="E1656" s="16"/>
      <c r="F1656" s="17"/>
      <c r="G1656" s="17"/>
      <c r="I1656" s="6"/>
      <c r="J1656" s="6"/>
    </row>
    <row r="1657">
      <c r="A1657" s="16"/>
      <c r="B1657" s="16"/>
      <c r="C1657" s="16"/>
      <c r="D1657" s="16"/>
      <c r="E1657" s="16"/>
      <c r="F1657" s="17"/>
      <c r="G1657" s="17"/>
      <c r="I1657" s="6"/>
      <c r="J1657" s="6"/>
    </row>
    <row r="1658">
      <c r="A1658" s="16"/>
      <c r="B1658" s="16"/>
      <c r="C1658" s="16"/>
      <c r="D1658" s="16"/>
      <c r="E1658" s="16"/>
      <c r="F1658" s="17"/>
      <c r="G1658" s="17"/>
      <c r="I1658" s="6"/>
      <c r="J1658" s="6"/>
    </row>
    <row r="1659">
      <c r="A1659" s="16"/>
      <c r="B1659" s="16"/>
      <c r="C1659" s="16"/>
      <c r="D1659" s="16"/>
      <c r="E1659" s="16"/>
      <c r="F1659" s="17"/>
      <c r="G1659" s="17"/>
      <c r="I1659" s="6"/>
      <c r="J1659" s="6"/>
    </row>
    <row r="1660">
      <c r="A1660" s="16"/>
      <c r="B1660" s="16"/>
      <c r="C1660" s="16"/>
      <c r="D1660" s="16"/>
      <c r="E1660" s="16"/>
      <c r="F1660" s="17"/>
      <c r="G1660" s="17"/>
      <c r="I1660" s="6"/>
      <c r="J1660" s="6"/>
    </row>
    <row r="1661">
      <c r="A1661" s="16"/>
      <c r="B1661" s="16"/>
      <c r="C1661" s="16"/>
      <c r="D1661" s="16"/>
      <c r="E1661" s="16"/>
      <c r="F1661" s="17"/>
      <c r="G1661" s="17"/>
      <c r="I1661" s="6"/>
      <c r="J1661" s="6"/>
    </row>
    <row r="1662">
      <c r="A1662" s="16"/>
      <c r="B1662" s="16"/>
      <c r="C1662" s="16"/>
      <c r="D1662" s="16"/>
      <c r="E1662" s="16"/>
      <c r="F1662" s="17"/>
      <c r="G1662" s="17"/>
      <c r="I1662" s="6"/>
      <c r="J1662" s="6"/>
    </row>
    <row r="1663">
      <c r="A1663" s="16"/>
      <c r="B1663" s="16"/>
      <c r="C1663" s="16"/>
      <c r="D1663" s="16"/>
      <c r="E1663" s="16"/>
      <c r="F1663" s="17"/>
      <c r="G1663" s="17"/>
      <c r="I1663" s="6"/>
      <c r="J1663" s="6"/>
    </row>
    <row r="1664">
      <c r="A1664" s="16"/>
      <c r="B1664" s="16"/>
      <c r="C1664" s="16"/>
      <c r="D1664" s="16"/>
      <c r="E1664" s="16"/>
      <c r="F1664" s="17"/>
      <c r="G1664" s="17"/>
      <c r="I1664" s="6"/>
      <c r="J1664" s="6"/>
    </row>
    <row r="1665">
      <c r="A1665" s="16"/>
      <c r="B1665" s="16"/>
      <c r="C1665" s="16"/>
      <c r="D1665" s="16"/>
      <c r="E1665" s="16"/>
      <c r="F1665" s="17"/>
      <c r="G1665" s="17"/>
      <c r="I1665" s="6"/>
      <c r="J1665" s="6"/>
    </row>
    <row r="1666">
      <c r="A1666" s="16"/>
      <c r="B1666" s="16"/>
      <c r="C1666" s="16"/>
      <c r="D1666" s="16"/>
      <c r="E1666" s="16"/>
      <c r="F1666" s="17"/>
      <c r="G1666" s="17"/>
      <c r="I1666" s="6"/>
      <c r="J1666" s="6"/>
    </row>
    <row r="1667">
      <c r="A1667" s="16"/>
      <c r="B1667" s="16"/>
      <c r="C1667" s="16"/>
      <c r="D1667" s="16"/>
      <c r="E1667" s="16"/>
      <c r="F1667" s="17"/>
      <c r="G1667" s="17"/>
      <c r="I1667" s="6"/>
      <c r="J1667" s="6"/>
    </row>
    <row r="1668">
      <c r="A1668" s="16"/>
      <c r="B1668" s="16"/>
      <c r="C1668" s="16"/>
      <c r="D1668" s="16"/>
      <c r="E1668" s="16"/>
      <c r="F1668" s="17"/>
      <c r="G1668" s="17"/>
      <c r="I1668" s="6"/>
      <c r="J1668" s="6"/>
    </row>
    <row r="1669">
      <c r="A1669" s="16"/>
      <c r="B1669" s="16"/>
      <c r="C1669" s="16"/>
      <c r="D1669" s="16"/>
      <c r="E1669" s="16"/>
      <c r="F1669" s="17"/>
      <c r="G1669" s="17"/>
      <c r="I1669" s="6"/>
      <c r="J1669" s="6"/>
    </row>
    <row r="1670">
      <c r="A1670" s="16"/>
      <c r="B1670" s="16"/>
      <c r="C1670" s="16"/>
      <c r="D1670" s="16"/>
      <c r="E1670" s="16"/>
      <c r="F1670" s="17"/>
      <c r="G1670" s="17"/>
      <c r="I1670" s="6"/>
      <c r="J1670" s="6"/>
    </row>
    <row r="1671">
      <c r="A1671" s="16"/>
      <c r="B1671" s="16"/>
      <c r="C1671" s="16"/>
      <c r="D1671" s="16"/>
      <c r="E1671" s="16"/>
      <c r="F1671" s="17"/>
      <c r="G1671" s="17"/>
      <c r="I1671" s="6"/>
      <c r="J1671" s="6"/>
    </row>
    <row r="1672">
      <c r="A1672" s="16"/>
      <c r="B1672" s="16"/>
      <c r="C1672" s="16"/>
      <c r="D1672" s="16"/>
      <c r="E1672" s="16"/>
      <c r="F1672" s="17"/>
      <c r="G1672" s="17"/>
      <c r="I1672" s="6"/>
      <c r="J1672" s="6"/>
    </row>
    <row r="1673">
      <c r="A1673" s="16"/>
      <c r="B1673" s="16"/>
      <c r="C1673" s="16"/>
      <c r="D1673" s="16"/>
      <c r="E1673" s="16"/>
      <c r="F1673" s="17"/>
      <c r="G1673" s="17"/>
      <c r="I1673" s="6"/>
      <c r="J1673" s="6"/>
    </row>
    <row r="1674">
      <c r="A1674" s="16"/>
      <c r="B1674" s="16"/>
      <c r="C1674" s="16"/>
      <c r="D1674" s="16"/>
      <c r="E1674" s="16"/>
      <c r="F1674" s="17"/>
      <c r="G1674" s="17"/>
      <c r="I1674" s="6"/>
      <c r="J1674" s="6"/>
    </row>
    <row r="1675">
      <c r="A1675" s="16"/>
      <c r="B1675" s="16"/>
      <c r="C1675" s="16"/>
      <c r="D1675" s="16"/>
      <c r="E1675" s="16"/>
      <c r="F1675" s="17"/>
      <c r="G1675" s="17"/>
      <c r="I1675" s="6"/>
      <c r="J1675" s="6"/>
    </row>
    <row r="1676">
      <c r="A1676" s="16"/>
      <c r="B1676" s="16"/>
      <c r="C1676" s="16"/>
      <c r="D1676" s="16"/>
      <c r="E1676" s="16"/>
      <c r="F1676" s="17"/>
      <c r="G1676" s="17"/>
      <c r="I1676" s="6"/>
      <c r="J1676" s="6"/>
    </row>
    <row r="1677">
      <c r="A1677" s="16"/>
      <c r="B1677" s="16"/>
      <c r="C1677" s="16"/>
      <c r="D1677" s="16"/>
      <c r="E1677" s="16"/>
      <c r="F1677" s="17"/>
      <c r="G1677" s="17"/>
      <c r="I1677" s="6"/>
      <c r="J1677" s="6"/>
    </row>
    <row r="1678">
      <c r="A1678" s="16"/>
      <c r="B1678" s="16"/>
      <c r="C1678" s="16"/>
      <c r="D1678" s="16"/>
      <c r="E1678" s="16"/>
      <c r="F1678" s="17"/>
      <c r="G1678" s="17"/>
      <c r="I1678" s="6"/>
      <c r="J1678" s="6"/>
    </row>
    <row r="1679">
      <c r="A1679" s="16"/>
      <c r="B1679" s="16"/>
      <c r="C1679" s="16"/>
      <c r="D1679" s="16"/>
      <c r="E1679" s="16"/>
      <c r="F1679" s="17"/>
      <c r="G1679" s="17"/>
      <c r="I1679" s="6"/>
      <c r="J1679" s="6"/>
    </row>
    <row r="1680">
      <c r="A1680" s="16"/>
      <c r="B1680" s="16"/>
      <c r="C1680" s="16"/>
      <c r="D1680" s="16"/>
      <c r="E1680" s="16"/>
      <c r="F1680" s="17"/>
      <c r="G1680" s="17"/>
      <c r="I1680" s="6"/>
      <c r="J1680" s="6"/>
    </row>
    <row r="1681">
      <c r="A1681" s="16"/>
      <c r="B1681" s="16"/>
      <c r="C1681" s="16"/>
      <c r="D1681" s="16"/>
      <c r="E1681" s="16"/>
      <c r="F1681" s="17"/>
      <c r="G1681" s="17"/>
      <c r="I1681" s="6"/>
      <c r="J1681" s="6"/>
    </row>
    <row r="1682">
      <c r="A1682" s="16"/>
      <c r="B1682" s="16"/>
      <c r="C1682" s="16"/>
      <c r="D1682" s="16"/>
      <c r="E1682" s="16"/>
      <c r="F1682" s="17"/>
      <c r="G1682" s="17"/>
      <c r="I1682" s="6"/>
      <c r="J1682" s="6"/>
    </row>
    <row r="1683">
      <c r="A1683" s="16"/>
      <c r="B1683" s="16"/>
      <c r="C1683" s="16"/>
      <c r="D1683" s="16"/>
      <c r="E1683" s="16"/>
      <c r="F1683" s="17"/>
      <c r="G1683" s="17"/>
      <c r="I1683" s="6"/>
      <c r="J1683" s="6"/>
    </row>
    <row r="1684">
      <c r="A1684" s="16"/>
      <c r="B1684" s="16"/>
      <c r="C1684" s="16"/>
      <c r="D1684" s="16"/>
      <c r="E1684" s="16"/>
      <c r="F1684" s="17"/>
      <c r="G1684" s="17"/>
      <c r="I1684" s="6"/>
      <c r="J1684" s="6"/>
    </row>
    <row r="1685">
      <c r="A1685" s="16"/>
      <c r="B1685" s="16"/>
      <c r="C1685" s="16"/>
      <c r="D1685" s="16"/>
      <c r="E1685" s="16"/>
      <c r="F1685" s="17"/>
      <c r="G1685" s="17"/>
      <c r="I1685" s="6"/>
      <c r="J1685" s="6"/>
    </row>
    <row r="1686">
      <c r="A1686" s="16"/>
      <c r="B1686" s="16"/>
      <c r="C1686" s="16"/>
      <c r="D1686" s="16"/>
      <c r="E1686" s="16"/>
      <c r="F1686" s="17"/>
      <c r="G1686" s="17"/>
      <c r="I1686" s="6"/>
      <c r="J1686" s="6"/>
    </row>
    <row r="1687">
      <c r="A1687" s="16"/>
      <c r="B1687" s="16"/>
      <c r="C1687" s="16"/>
      <c r="D1687" s="16"/>
      <c r="E1687" s="16"/>
      <c r="F1687" s="17"/>
      <c r="G1687" s="17"/>
      <c r="I1687" s="6"/>
      <c r="J1687" s="6"/>
    </row>
    <row r="1688">
      <c r="A1688" s="16"/>
      <c r="B1688" s="16"/>
      <c r="C1688" s="16"/>
      <c r="D1688" s="16"/>
      <c r="E1688" s="16"/>
      <c r="F1688" s="17"/>
      <c r="G1688" s="17"/>
      <c r="I1688" s="6"/>
      <c r="J1688" s="6"/>
    </row>
    <row r="1689">
      <c r="A1689" s="16"/>
      <c r="B1689" s="16"/>
      <c r="C1689" s="16"/>
      <c r="D1689" s="16"/>
      <c r="E1689" s="16"/>
      <c r="F1689" s="17"/>
      <c r="G1689" s="17"/>
      <c r="I1689" s="6"/>
      <c r="J1689" s="6"/>
    </row>
    <row r="1690">
      <c r="A1690" s="16"/>
      <c r="B1690" s="16"/>
      <c r="C1690" s="16"/>
      <c r="D1690" s="16"/>
      <c r="E1690" s="16"/>
      <c r="F1690" s="17"/>
      <c r="G1690" s="17"/>
      <c r="I1690" s="6"/>
      <c r="J1690" s="6"/>
    </row>
    <row r="1691">
      <c r="A1691" s="16"/>
      <c r="B1691" s="16"/>
      <c r="C1691" s="16"/>
      <c r="D1691" s="16"/>
      <c r="E1691" s="16"/>
      <c r="F1691" s="17"/>
      <c r="G1691" s="17"/>
      <c r="I1691" s="6"/>
      <c r="J1691" s="6"/>
    </row>
    <row r="1692">
      <c r="A1692" s="16"/>
      <c r="B1692" s="16"/>
      <c r="C1692" s="16"/>
      <c r="D1692" s="16"/>
      <c r="E1692" s="16"/>
      <c r="F1692" s="17"/>
      <c r="G1692" s="17"/>
      <c r="I1692" s="6"/>
      <c r="J1692" s="6"/>
    </row>
    <row r="1693">
      <c r="A1693" s="16"/>
      <c r="B1693" s="16"/>
      <c r="C1693" s="16"/>
      <c r="D1693" s="16"/>
      <c r="E1693" s="16"/>
      <c r="F1693" s="17"/>
      <c r="G1693" s="17"/>
      <c r="I1693" s="6"/>
      <c r="J1693" s="6"/>
    </row>
    <row r="1694">
      <c r="A1694" s="16"/>
      <c r="B1694" s="16"/>
      <c r="C1694" s="16"/>
      <c r="D1694" s="16"/>
      <c r="E1694" s="16"/>
      <c r="F1694" s="17"/>
      <c r="G1694" s="17"/>
      <c r="I1694" s="6"/>
      <c r="J1694" s="6"/>
    </row>
    <row r="1695">
      <c r="A1695" s="16"/>
      <c r="B1695" s="16"/>
      <c r="C1695" s="16"/>
      <c r="D1695" s="16"/>
      <c r="E1695" s="16"/>
      <c r="F1695" s="17"/>
      <c r="G1695" s="17"/>
      <c r="I1695" s="6"/>
      <c r="J1695" s="6"/>
    </row>
    <row r="1696">
      <c r="A1696" s="16"/>
      <c r="B1696" s="16"/>
      <c r="C1696" s="16"/>
      <c r="D1696" s="16"/>
      <c r="E1696" s="16"/>
      <c r="F1696" s="17"/>
      <c r="G1696" s="17"/>
      <c r="I1696" s="6"/>
      <c r="J1696" s="6"/>
    </row>
    <row r="1697">
      <c r="A1697" s="16"/>
      <c r="B1697" s="16"/>
      <c r="C1697" s="16"/>
      <c r="D1697" s="16"/>
      <c r="E1697" s="16"/>
      <c r="F1697" s="17"/>
      <c r="G1697" s="17"/>
      <c r="I1697" s="6"/>
      <c r="J1697" s="6"/>
    </row>
    <row r="1698">
      <c r="A1698" s="16"/>
      <c r="B1698" s="16"/>
      <c r="C1698" s="16"/>
      <c r="D1698" s="16"/>
      <c r="E1698" s="16"/>
      <c r="F1698" s="17"/>
      <c r="G1698" s="17"/>
      <c r="I1698" s="6"/>
      <c r="J1698" s="6"/>
    </row>
    <row r="1699">
      <c r="A1699" s="16"/>
      <c r="B1699" s="16"/>
      <c r="C1699" s="16"/>
      <c r="D1699" s="16"/>
      <c r="E1699" s="16"/>
      <c r="F1699" s="17"/>
      <c r="G1699" s="17"/>
      <c r="I1699" s="6"/>
      <c r="J1699" s="6"/>
    </row>
    <row r="1700">
      <c r="A1700" s="16"/>
      <c r="B1700" s="16"/>
      <c r="C1700" s="16"/>
      <c r="D1700" s="16"/>
      <c r="E1700" s="16"/>
      <c r="F1700" s="17"/>
      <c r="G1700" s="17"/>
      <c r="I1700" s="6"/>
      <c r="J1700" s="6"/>
    </row>
    <row r="1701">
      <c r="A1701" s="16"/>
      <c r="B1701" s="16"/>
      <c r="C1701" s="16"/>
      <c r="D1701" s="16"/>
      <c r="E1701" s="16"/>
      <c r="F1701" s="17"/>
      <c r="G1701" s="17"/>
      <c r="I1701" s="6"/>
      <c r="J1701" s="6"/>
    </row>
    <row r="1702">
      <c r="A1702" s="16"/>
      <c r="B1702" s="16"/>
      <c r="C1702" s="16"/>
      <c r="D1702" s="16"/>
      <c r="E1702" s="16"/>
      <c r="F1702" s="17"/>
      <c r="G1702" s="17"/>
      <c r="I1702" s="6"/>
      <c r="J1702" s="6"/>
    </row>
    <row r="1703">
      <c r="A1703" s="16"/>
      <c r="B1703" s="16"/>
      <c r="C1703" s="16"/>
      <c r="D1703" s="16"/>
      <c r="E1703" s="16"/>
      <c r="F1703" s="17"/>
      <c r="G1703" s="17"/>
      <c r="I1703" s="6"/>
      <c r="J1703" s="6"/>
    </row>
    <row r="1704">
      <c r="A1704" s="16"/>
      <c r="B1704" s="16"/>
      <c r="C1704" s="16"/>
      <c r="D1704" s="16"/>
      <c r="E1704" s="16"/>
      <c r="F1704" s="17"/>
      <c r="G1704" s="17"/>
      <c r="I1704" s="6"/>
      <c r="J1704" s="6"/>
    </row>
    <row r="1705">
      <c r="A1705" s="16"/>
      <c r="B1705" s="16"/>
      <c r="C1705" s="16"/>
      <c r="D1705" s="16"/>
      <c r="E1705" s="16"/>
      <c r="F1705" s="17"/>
      <c r="G1705" s="17"/>
      <c r="I1705" s="6"/>
      <c r="J1705" s="6"/>
    </row>
    <row r="1706">
      <c r="A1706" s="16"/>
      <c r="B1706" s="16"/>
      <c r="C1706" s="16"/>
      <c r="D1706" s="16"/>
      <c r="E1706" s="16"/>
      <c r="F1706" s="17"/>
      <c r="G1706" s="17"/>
      <c r="I1706" s="6"/>
      <c r="J1706" s="6"/>
    </row>
    <row r="1707">
      <c r="A1707" s="16"/>
      <c r="B1707" s="16"/>
      <c r="C1707" s="16"/>
      <c r="D1707" s="16"/>
      <c r="E1707" s="16"/>
      <c r="F1707" s="17"/>
      <c r="G1707" s="17"/>
      <c r="I1707" s="6"/>
      <c r="J1707" s="6"/>
    </row>
    <row r="1708">
      <c r="A1708" s="16"/>
      <c r="B1708" s="16"/>
      <c r="C1708" s="16"/>
      <c r="D1708" s="16"/>
      <c r="E1708" s="16"/>
      <c r="F1708" s="17"/>
      <c r="G1708" s="17"/>
      <c r="I1708" s="6"/>
      <c r="J1708" s="6"/>
    </row>
    <row r="1709">
      <c r="A1709" s="16"/>
      <c r="B1709" s="16"/>
      <c r="C1709" s="16"/>
      <c r="D1709" s="16"/>
      <c r="E1709" s="16"/>
      <c r="F1709" s="17"/>
      <c r="G1709" s="17"/>
      <c r="I1709" s="6"/>
      <c r="J1709" s="6"/>
    </row>
    <row r="1710">
      <c r="A1710" s="16"/>
      <c r="B1710" s="16"/>
      <c r="C1710" s="16"/>
      <c r="D1710" s="16"/>
      <c r="E1710" s="16"/>
      <c r="F1710" s="17"/>
      <c r="G1710" s="17"/>
      <c r="I1710" s="6"/>
      <c r="J1710" s="6"/>
    </row>
    <row r="1711">
      <c r="A1711" s="16"/>
      <c r="B1711" s="16"/>
      <c r="C1711" s="16"/>
      <c r="D1711" s="16"/>
      <c r="E1711" s="16"/>
      <c r="F1711" s="17"/>
      <c r="G1711" s="17"/>
      <c r="I1711" s="6"/>
      <c r="J1711" s="6"/>
    </row>
    <row r="1712">
      <c r="A1712" s="16"/>
      <c r="B1712" s="16"/>
      <c r="C1712" s="16"/>
      <c r="D1712" s="16"/>
      <c r="E1712" s="16"/>
      <c r="F1712" s="17"/>
      <c r="G1712" s="17"/>
      <c r="I1712" s="6"/>
      <c r="J1712" s="6"/>
    </row>
    <row r="1713">
      <c r="A1713" s="16"/>
      <c r="B1713" s="16"/>
      <c r="C1713" s="16"/>
      <c r="D1713" s="16"/>
      <c r="E1713" s="16"/>
      <c r="F1713" s="17"/>
      <c r="G1713" s="17"/>
      <c r="I1713" s="6"/>
      <c r="J1713" s="6"/>
    </row>
    <row r="1714">
      <c r="A1714" s="16"/>
      <c r="B1714" s="16"/>
      <c r="C1714" s="16"/>
      <c r="D1714" s="16"/>
      <c r="E1714" s="16"/>
      <c r="F1714" s="17"/>
      <c r="G1714" s="17"/>
      <c r="I1714" s="6"/>
      <c r="J1714" s="6"/>
    </row>
    <row r="1715">
      <c r="A1715" s="16"/>
      <c r="B1715" s="16"/>
      <c r="C1715" s="16"/>
      <c r="D1715" s="16"/>
      <c r="E1715" s="16"/>
      <c r="F1715" s="17"/>
      <c r="G1715" s="17"/>
      <c r="I1715" s="6"/>
      <c r="J1715" s="6"/>
    </row>
    <row r="1716">
      <c r="A1716" s="16"/>
      <c r="B1716" s="16"/>
      <c r="C1716" s="16"/>
      <c r="D1716" s="16"/>
      <c r="E1716" s="16"/>
      <c r="F1716" s="17"/>
      <c r="G1716" s="17"/>
      <c r="I1716" s="6"/>
      <c r="J1716" s="6"/>
    </row>
    <row r="1717">
      <c r="A1717" s="16"/>
      <c r="B1717" s="16"/>
      <c r="C1717" s="16"/>
      <c r="D1717" s="16"/>
      <c r="E1717" s="16"/>
      <c r="F1717" s="17"/>
      <c r="G1717" s="17"/>
      <c r="I1717" s="6"/>
      <c r="J1717" s="6"/>
    </row>
    <row r="1718">
      <c r="A1718" s="16"/>
      <c r="B1718" s="16"/>
      <c r="C1718" s="16"/>
      <c r="D1718" s="16"/>
      <c r="E1718" s="16"/>
      <c r="F1718" s="17"/>
      <c r="G1718" s="17"/>
      <c r="I1718" s="6"/>
      <c r="J1718" s="6"/>
    </row>
    <row r="1719">
      <c r="A1719" s="16"/>
      <c r="B1719" s="16"/>
      <c r="C1719" s="16"/>
      <c r="D1719" s="16"/>
      <c r="E1719" s="16"/>
      <c r="F1719" s="17"/>
      <c r="G1719" s="17"/>
      <c r="I1719" s="6"/>
      <c r="J1719" s="6"/>
    </row>
    <row r="1720">
      <c r="A1720" s="16"/>
      <c r="B1720" s="16"/>
      <c r="C1720" s="16"/>
      <c r="D1720" s="16"/>
      <c r="E1720" s="16"/>
      <c r="F1720" s="17"/>
      <c r="G1720" s="17"/>
      <c r="I1720" s="6"/>
      <c r="J1720" s="6"/>
    </row>
    <row r="1721">
      <c r="A1721" s="16"/>
      <c r="B1721" s="16"/>
      <c r="C1721" s="16"/>
      <c r="D1721" s="16"/>
      <c r="E1721" s="16"/>
      <c r="F1721" s="17"/>
      <c r="G1721" s="17"/>
      <c r="I1721" s="6"/>
      <c r="J1721" s="6"/>
    </row>
    <row r="1722">
      <c r="A1722" s="16"/>
      <c r="B1722" s="16"/>
      <c r="C1722" s="16"/>
      <c r="D1722" s="16"/>
      <c r="E1722" s="16"/>
      <c r="F1722" s="17"/>
      <c r="G1722" s="17"/>
      <c r="I1722" s="6"/>
      <c r="J1722" s="6"/>
    </row>
    <row r="1723">
      <c r="A1723" s="16"/>
      <c r="B1723" s="16"/>
      <c r="C1723" s="16"/>
      <c r="D1723" s="16"/>
      <c r="E1723" s="16"/>
      <c r="F1723" s="17"/>
      <c r="G1723" s="17"/>
      <c r="I1723" s="6"/>
      <c r="J1723" s="6"/>
    </row>
    <row r="1724">
      <c r="A1724" s="16"/>
      <c r="B1724" s="16"/>
      <c r="C1724" s="16"/>
      <c r="D1724" s="16"/>
      <c r="E1724" s="16"/>
      <c r="F1724" s="17"/>
      <c r="G1724" s="17"/>
      <c r="I1724" s="6"/>
      <c r="J1724" s="6"/>
    </row>
    <row r="1725">
      <c r="A1725" s="16"/>
      <c r="B1725" s="16"/>
      <c r="C1725" s="16"/>
      <c r="D1725" s="16"/>
      <c r="E1725" s="16"/>
      <c r="F1725" s="17"/>
      <c r="G1725" s="17"/>
      <c r="I1725" s="6"/>
      <c r="J1725" s="6"/>
    </row>
    <row r="1726">
      <c r="A1726" s="16"/>
      <c r="B1726" s="16"/>
      <c r="C1726" s="16"/>
      <c r="D1726" s="16"/>
      <c r="E1726" s="16"/>
      <c r="F1726" s="17"/>
      <c r="G1726" s="17"/>
      <c r="I1726" s="6"/>
      <c r="J1726" s="6"/>
    </row>
    <row r="1727">
      <c r="A1727" s="16"/>
      <c r="B1727" s="16"/>
      <c r="C1727" s="16"/>
      <c r="D1727" s="16"/>
      <c r="E1727" s="16"/>
      <c r="F1727" s="17"/>
      <c r="G1727" s="17"/>
      <c r="I1727" s="6"/>
      <c r="J1727" s="6"/>
    </row>
    <row r="1728">
      <c r="A1728" s="16"/>
      <c r="B1728" s="16"/>
      <c r="C1728" s="16"/>
      <c r="D1728" s="16"/>
      <c r="E1728" s="16"/>
      <c r="F1728" s="17"/>
      <c r="G1728" s="17"/>
      <c r="I1728" s="6"/>
      <c r="J1728" s="6"/>
    </row>
    <row r="1729">
      <c r="A1729" s="16"/>
      <c r="B1729" s="16"/>
      <c r="C1729" s="16"/>
      <c r="D1729" s="16"/>
      <c r="E1729" s="16"/>
      <c r="F1729" s="17"/>
      <c r="G1729" s="17"/>
      <c r="I1729" s="6"/>
      <c r="J1729" s="6"/>
    </row>
    <row r="1730">
      <c r="A1730" s="16"/>
      <c r="B1730" s="16"/>
      <c r="C1730" s="16"/>
      <c r="D1730" s="16"/>
      <c r="E1730" s="16"/>
      <c r="F1730" s="17"/>
      <c r="G1730" s="17"/>
      <c r="I1730" s="6"/>
      <c r="J1730" s="6"/>
    </row>
    <row r="1731">
      <c r="A1731" s="16"/>
      <c r="B1731" s="16"/>
      <c r="C1731" s="16"/>
      <c r="D1731" s="16"/>
      <c r="E1731" s="16"/>
      <c r="F1731" s="17"/>
      <c r="G1731" s="17"/>
      <c r="I1731" s="6"/>
      <c r="J1731" s="6"/>
    </row>
    <row r="1732">
      <c r="A1732" s="16"/>
      <c r="B1732" s="16"/>
      <c r="C1732" s="16"/>
      <c r="D1732" s="16"/>
      <c r="E1732" s="16"/>
      <c r="F1732" s="17"/>
      <c r="G1732" s="17"/>
      <c r="I1732" s="6"/>
      <c r="J1732" s="6"/>
    </row>
    <row r="1733">
      <c r="A1733" s="16"/>
      <c r="B1733" s="16"/>
      <c r="C1733" s="16"/>
      <c r="D1733" s="16"/>
      <c r="E1733" s="16"/>
      <c r="F1733" s="17"/>
      <c r="G1733" s="17"/>
      <c r="I1733" s="6"/>
      <c r="J1733" s="6"/>
    </row>
    <row r="1734">
      <c r="A1734" s="16"/>
      <c r="B1734" s="16"/>
      <c r="C1734" s="16"/>
      <c r="D1734" s="16"/>
      <c r="E1734" s="16"/>
      <c r="F1734" s="17"/>
      <c r="G1734" s="17"/>
      <c r="I1734" s="6"/>
      <c r="J1734" s="6"/>
    </row>
    <row r="1735">
      <c r="A1735" s="16"/>
      <c r="B1735" s="16"/>
      <c r="C1735" s="16"/>
      <c r="D1735" s="16"/>
      <c r="E1735" s="16"/>
      <c r="F1735" s="17"/>
      <c r="G1735" s="17"/>
      <c r="I1735" s="6"/>
      <c r="J1735" s="6"/>
    </row>
    <row r="1736">
      <c r="A1736" s="16"/>
      <c r="B1736" s="16"/>
      <c r="C1736" s="16"/>
      <c r="D1736" s="16"/>
      <c r="E1736" s="16"/>
      <c r="F1736" s="17"/>
      <c r="G1736" s="17"/>
      <c r="I1736" s="6"/>
      <c r="J1736" s="6"/>
    </row>
    <row r="1737">
      <c r="A1737" s="16"/>
      <c r="B1737" s="16"/>
      <c r="C1737" s="16"/>
      <c r="D1737" s="16"/>
      <c r="E1737" s="16"/>
      <c r="F1737" s="17"/>
      <c r="G1737" s="17"/>
      <c r="I1737" s="6"/>
      <c r="J1737" s="6"/>
    </row>
    <row r="1738">
      <c r="A1738" s="16"/>
      <c r="B1738" s="16"/>
      <c r="C1738" s="16"/>
      <c r="D1738" s="16"/>
      <c r="E1738" s="16"/>
      <c r="F1738" s="17"/>
      <c r="G1738" s="17"/>
      <c r="I1738" s="6"/>
      <c r="J1738" s="6"/>
    </row>
    <row r="1739">
      <c r="A1739" s="16"/>
      <c r="B1739" s="16"/>
      <c r="C1739" s="16"/>
      <c r="D1739" s="16"/>
      <c r="E1739" s="16"/>
      <c r="F1739" s="17"/>
      <c r="G1739" s="17"/>
      <c r="I1739" s="6"/>
      <c r="J1739" s="6"/>
    </row>
    <row r="1740">
      <c r="A1740" s="16"/>
      <c r="B1740" s="16"/>
      <c r="C1740" s="16"/>
      <c r="D1740" s="16"/>
      <c r="E1740" s="16"/>
      <c r="F1740" s="17"/>
      <c r="G1740" s="17"/>
      <c r="I1740" s="6"/>
      <c r="J1740" s="6"/>
    </row>
    <row r="1741">
      <c r="A1741" s="16"/>
      <c r="B1741" s="16"/>
      <c r="C1741" s="16"/>
      <c r="D1741" s="16"/>
      <c r="E1741" s="16"/>
      <c r="F1741" s="17"/>
      <c r="G1741" s="17"/>
      <c r="I1741" s="6"/>
      <c r="J1741" s="6"/>
    </row>
    <row r="1742">
      <c r="A1742" s="16"/>
      <c r="B1742" s="16"/>
      <c r="C1742" s="16"/>
      <c r="D1742" s="16"/>
      <c r="E1742" s="16"/>
      <c r="F1742" s="17"/>
      <c r="G1742" s="17"/>
      <c r="I1742" s="6"/>
      <c r="J1742" s="6"/>
    </row>
    <row r="1743">
      <c r="A1743" s="16"/>
      <c r="B1743" s="16"/>
      <c r="C1743" s="16"/>
      <c r="D1743" s="16"/>
      <c r="E1743" s="16"/>
      <c r="F1743" s="17"/>
      <c r="G1743" s="17"/>
      <c r="I1743" s="6"/>
      <c r="J1743" s="6"/>
    </row>
    <row r="1744">
      <c r="A1744" s="16"/>
      <c r="B1744" s="16"/>
      <c r="C1744" s="16"/>
      <c r="D1744" s="16"/>
      <c r="E1744" s="16"/>
      <c r="F1744" s="17"/>
      <c r="G1744" s="17"/>
      <c r="I1744" s="6"/>
      <c r="J1744" s="6"/>
    </row>
    <row r="1745">
      <c r="A1745" s="16"/>
      <c r="B1745" s="16"/>
      <c r="C1745" s="16"/>
      <c r="D1745" s="16"/>
      <c r="E1745" s="16"/>
      <c r="F1745" s="17"/>
      <c r="G1745" s="17"/>
      <c r="I1745" s="6"/>
      <c r="J1745" s="6"/>
    </row>
    <row r="1746">
      <c r="A1746" s="16"/>
      <c r="B1746" s="16"/>
      <c r="C1746" s="16"/>
      <c r="D1746" s="16"/>
      <c r="E1746" s="16"/>
      <c r="F1746" s="17"/>
      <c r="G1746" s="17"/>
      <c r="I1746" s="6"/>
      <c r="J1746" s="6"/>
    </row>
    <row r="1747">
      <c r="A1747" s="16"/>
      <c r="B1747" s="16"/>
      <c r="C1747" s="16"/>
      <c r="D1747" s="16"/>
      <c r="E1747" s="16"/>
      <c r="F1747" s="17"/>
      <c r="G1747" s="17"/>
      <c r="I1747" s="6"/>
      <c r="J1747" s="6"/>
    </row>
    <row r="1748">
      <c r="A1748" s="16"/>
      <c r="B1748" s="16"/>
      <c r="C1748" s="16"/>
      <c r="D1748" s="16"/>
      <c r="E1748" s="16"/>
      <c r="F1748" s="17"/>
      <c r="G1748" s="17"/>
      <c r="I1748" s="6"/>
      <c r="J1748" s="6"/>
    </row>
    <row r="1749">
      <c r="A1749" s="16"/>
      <c r="B1749" s="16"/>
      <c r="C1749" s="16"/>
      <c r="D1749" s="16"/>
      <c r="E1749" s="16"/>
      <c r="F1749" s="17"/>
      <c r="G1749" s="17"/>
      <c r="I1749" s="6"/>
      <c r="J1749" s="6"/>
    </row>
    <row r="1750">
      <c r="A1750" s="16"/>
      <c r="B1750" s="16"/>
      <c r="C1750" s="16"/>
      <c r="D1750" s="16"/>
      <c r="E1750" s="16"/>
      <c r="F1750" s="17"/>
      <c r="G1750" s="17"/>
      <c r="I1750" s="6"/>
      <c r="J1750" s="6"/>
    </row>
    <row r="1751">
      <c r="A1751" s="16"/>
      <c r="B1751" s="16"/>
      <c r="C1751" s="16"/>
      <c r="D1751" s="16"/>
      <c r="E1751" s="16"/>
      <c r="F1751" s="17"/>
      <c r="G1751" s="17"/>
      <c r="I1751" s="6"/>
      <c r="J1751" s="6"/>
    </row>
    <row r="1752">
      <c r="A1752" s="16"/>
      <c r="B1752" s="16"/>
      <c r="C1752" s="16"/>
      <c r="D1752" s="16"/>
      <c r="E1752" s="16"/>
      <c r="F1752" s="17"/>
      <c r="G1752" s="17"/>
      <c r="I1752" s="6"/>
      <c r="J1752" s="6"/>
    </row>
    <row r="1753">
      <c r="A1753" s="16"/>
      <c r="B1753" s="16"/>
      <c r="C1753" s="16"/>
      <c r="D1753" s="16"/>
      <c r="E1753" s="16"/>
      <c r="F1753" s="17"/>
      <c r="G1753" s="17"/>
      <c r="I1753" s="6"/>
      <c r="J1753" s="6"/>
    </row>
    <row r="1754">
      <c r="A1754" s="16"/>
      <c r="B1754" s="16"/>
      <c r="C1754" s="16"/>
      <c r="D1754" s="16"/>
      <c r="E1754" s="16"/>
      <c r="F1754" s="17"/>
      <c r="G1754" s="17"/>
      <c r="I1754" s="6"/>
      <c r="J1754" s="6"/>
    </row>
    <row r="1755">
      <c r="A1755" s="16"/>
      <c r="B1755" s="16"/>
      <c r="C1755" s="16"/>
      <c r="D1755" s="16"/>
      <c r="E1755" s="16"/>
      <c r="F1755" s="17"/>
      <c r="G1755" s="17"/>
      <c r="I1755" s="6"/>
      <c r="J1755" s="6"/>
    </row>
    <row r="1756">
      <c r="A1756" s="16"/>
      <c r="B1756" s="16"/>
      <c r="C1756" s="16"/>
      <c r="D1756" s="16"/>
      <c r="E1756" s="16"/>
      <c r="F1756" s="17"/>
      <c r="G1756" s="17"/>
      <c r="I1756" s="6"/>
      <c r="J1756" s="6"/>
    </row>
    <row r="1757">
      <c r="A1757" s="16"/>
      <c r="B1757" s="16"/>
      <c r="C1757" s="16"/>
      <c r="D1757" s="16"/>
      <c r="E1757" s="16"/>
      <c r="F1757" s="17"/>
      <c r="G1757" s="17"/>
      <c r="I1757" s="6"/>
      <c r="J1757" s="6"/>
    </row>
    <row r="1758">
      <c r="A1758" s="16"/>
      <c r="B1758" s="16"/>
      <c r="C1758" s="16"/>
      <c r="D1758" s="16"/>
      <c r="E1758" s="16"/>
      <c r="F1758" s="17"/>
      <c r="G1758" s="17"/>
      <c r="I1758" s="6"/>
      <c r="J1758" s="6"/>
    </row>
    <row r="1759">
      <c r="A1759" s="16"/>
      <c r="B1759" s="16"/>
      <c r="C1759" s="16"/>
      <c r="D1759" s="16"/>
      <c r="E1759" s="16"/>
      <c r="F1759" s="17"/>
      <c r="G1759" s="17"/>
      <c r="I1759" s="6"/>
      <c r="J1759" s="6"/>
    </row>
    <row r="1760">
      <c r="A1760" s="16"/>
      <c r="B1760" s="16"/>
      <c r="C1760" s="16"/>
      <c r="D1760" s="16"/>
      <c r="E1760" s="16"/>
      <c r="F1760" s="17"/>
      <c r="G1760" s="17"/>
      <c r="I1760" s="6"/>
      <c r="J1760" s="6"/>
    </row>
    <row r="1761">
      <c r="A1761" s="16"/>
      <c r="B1761" s="16"/>
      <c r="C1761" s="16"/>
      <c r="D1761" s="16"/>
      <c r="E1761" s="16"/>
      <c r="F1761" s="17"/>
      <c r="G1761" s="17"/>
      <c r="I1761" s="6"/>
      <c r="J1761" s="6"/>
    </row>
    <row r="1762">
      <c r="A1762" s="16"/>
      <c r="B1762" s="16"/>
      <c r="C1762" s="16"/>
      <c r="D1762" s="16"/>
      <c r="E1762" s="16"/>
      <c r="F1762" s="17"/>
      <c r="G1762" s="17"/>
      <c r="I1762" s="6"/>
      <c r="J1762" s="6"/>
    </row>
    <row r="1763">
      <c r="A1763" s="16"/>
      <c r="B1763" s="16"/>
      <c r="C1763" s="16"/>
      <c r="D1763" s="16"/>
      <c r="E1763" s="16"/>
      <c r="F1763" s="17"/>
      <c r="G1763" s="17"/>
      <c r="I1763" s="6"/>
      <c r="J1763" s="6"/>
    </row>
    <row r="1764">
      <c r="A1764" s="16"/>
      <c r="B1764" s="16"/>
      <c r="C1764" s="16"/>
      <c r="D1764" s="16"/>
      <c r="E1764" s="16"/>
      <c r="F1764" s="17"/>
      <c r="G1764" s="17"/>
      <c r="I1764" s="6"/>
      <c r="J1764" s="6"/>
    </row>
    <row r="1765">
      <c r="A1765" s="16"/>
      <c r="B1765" s="16"/>
      <c r="C1765" s="16"/>
      <c r="D1765" s="16"/>
      <c r="E1765" s="16"/>
      <c r="F1765" s="17"/>
      <c r="G1765" s="17"/>
      <c r="I1765" s="6"/>
      <c r="J1765" s="6"/>
    </row>
    <row r="1766">
      <c r="A1766" s="16"/>
      <c r="B1766" s="16"/>
      <c r="C1766" s="16"/>
      <c r="D1766" s="16"/>
      <c r="E1766" s="16"/>
      <c r="F1766" s="17"/>
      <c r="G1766" s="17"/>
      <c r="I1766" s="6"/>
      <c r="J1766" s="6"/>
    </row>
    <row r="1767">
      <c r="A1767" s="16"/>
      <c r="B1767" s="16"/>
      <c r="C1767" s="16"/>
      <c r="D1767" s="16"/>
      <c r="E1767" s="16"/>
      <c r="F1767" s="17"/>
      <c r="G1767" s="17"/>
      <c r="I1767" s="6"/>
      <c r="J1767" s="6"/>
    </row>
    <row r="1768">
      <c r="A1768" s="16"/>
      <c r="B1768" s="16"/>
      <c r="C1768" s="16"/>
      <c r="D1768" s="16"/>
      <c r="E1768" s="16"/>
      <c r="F1768" s="17"/>
      <c r="G1768" s="17"/>
      <c r="I1768" s="6"/>
      <c r="J1768" s="6"/>
    </row>
    <row r="1769">
      <c r="A1769" s="16"/>
      <c r="B1769" s="16"/>
      <c r="C1769" s="16"/>
      <c r="D1769" s="16"/>
      <c r="E1769" s="16"/>
      <c r="F1769" s="17"/>
      <c r="G1769" s="17"/>
      <c r="I1769" s="6"/>
      <c r="J1769" s="6"/>
    </row>
    <row r="1770">
      <c r="A1770" s="16"/>
      <c r="B1770" s="16"/>
      <c r="C1770" s="16"/>
      <c r="D1770" s="16"/>
      <c r="E1770" s="16"/>
      <c r="F1770" s="17"/>
      <c r="G1770" s="17"/>
      <c r="I1770" s="6"/>
      <c r="J1770" s="6"/>
    </row>
    <row r="1771">
      <c r="A1771" s="16"/>
      <c r="B1771" s="16"/>
      <c r="C1771" s="16"/>
      <c r="D1771" s="16"/>
      <c r="E1771" s="16"/>
      <c r="F1771" s="17"/>
      <c r="G1771" s="17"/>
      <c r="I1771" s="6"/>
      <c r="J1771" s="6"/>
    </row>
    <row r="1772">
      <c r="A1772" s="16"/>
      <c r="B1772" s="16"/>
      <c r="C1772" s="16"/>
      <c r="D1772" s="16"/>
      <c r="E1772" s="16"/>
      <c r="F1772" s="17"/>
      <c r="G1772" s="17"/>
      <c r="I1772" s="6"/>
      <c r="J1772" s="6"/>
    </row>
    <row r="1773">
      <c r="A1773" s="16"/>
      <c r="B1773" s="16"/>
      <c r="C1773" s="16"/>
      <c r="D1773" s="16"/>
      <c r="E1773" s="16"/>
      <c r="F1773" s="17"/>
      <c r="G1773" s="17"/>
      <c r="I1773" s="6"/>
      <c r="J1773" s="6"/>
    </row>
    <row r="1774">
      <c r="A1774" s="16"/>
      <c r="B1774" s="16"/>
      <c r="C1774" s="16"/>
      <c r="D1774" s="16"/>
      <c r="E1774" s="16"/>
      <c r="F1774" s="17"/>
      <c r="G1774" s="17"/>
      <c r="I1774" s="6"/>
      <c r="J1774" s="6"/>
    </row>
    <row r="1775">
      <c r="A1775" s="16"/>
      <c r="B1775" s="16"/>
      <c r="C1775" s="16"/>
      <c r="D1775" s="16"/>
      <c r="E1775" s="16"/>
      <c r="F1775" s="17"/>
      <c r="G1775" s="17"/>
      <c r="I1775" s="6"/>
      <c r="J1775" s="6"/>
    </row>
    <row r="1776">
      <c r="A1776" s="16"/>
      <c r="B1776" s="16"/>
      <c r="C1776" s="16"/>
      <c r="D1776" s="16"/>
      <c r="E1776" s="16"/>
      <c r="F1776" s="17"/>
      <c r="G1776" s="17"/>
      <c r="I1776" s="6"/>
      <c r="J1776" s="6"/>
    </row>
    <row r="1777">
      <c r="A1777" s="16"/>
      <c r="B1777" s="16"/>
      <c r="C1777" s="16"/>
      <c r="D1777" s="16"/>
      <c r="E1777" s="16"/>
      <c r="F1777" s="17"/>
      <c r="G1777" s="17"/>
      <c r="I1777" s="6"/>
      <c r="J1777" s="6"/>
    </row>
    <row r="1778">
      <c r="A1778" s="16"/>
      <c r="B1778" s="16"/>
      <c r="C1778" s="16"/>
      <c r="D1778" s="16"/>
      <c r="E1778" s="16"/>
      <c r="F1778" s="17"/>
      <c r="G1778" s="17"/>
      <c r="I1778" s="6"/>
      <c r="J1778" s="6"/>
    </row>
    <row r="1779">
      <c r="A1779" s="16"/>
      <c r="B1779" s="16"/>
      <c r="C1779" s="16"/>
      <c r="D1779" s="16"/>
      <c r="E1779" s="16"/>
      <c r="F1779" s="17"/>
      <c r="G1779" s="17"/>
      <c r="I1779" s="6"/>
      <c r="J1779" s="6"/>
    </row>
    <row r="1780">
      <c r="A1780" s="16"/>
      <c r="B1780" s="16"/>
      <c r="C1780" s="16"/>
      <c r="D1780" s="16"/>
      <c r="E1780" s="16"/>
      <c r="F1780" s="17"/>
      <c r="G1780" s="17"/>
      <c r="I1780" s="6"/>
      <c r="J1780" s="6"/>
    </row>
    <row r="1781">
      <c r="A1781" s="16"/>
      <c r="B1781" s="16"/>
      <c r="C1781" s="16"/>
      <c r="D1781" s="16"/>
      <c r="E1781" s="16"/>
      <c r="F1781" s="17"/>
      <c r="G1781" s="17"/>
      <c r="I1781" s="6"/>
      <c r="J1781" s="6"/>
    </row>
    <row r="1782">
      <c r="A1782" s="16"/>
      <c r="B1782" s="16"/>
      <c r="C1782" s="16"/>
      <c r="D1782" s="16"/>
      <c r="E1782" s="16"/>
      <c r="F1782" s="17"/>
      <c r="G1782" s="17"/>
      <c r="I1782" s="6"/>
      <c r="J1782" s="6"/>
    </row>
    <row r="1783">
      <c r="A1783" s="16"/>
      <c r="B1783" s="16"/>
      <c r="C1783" s="16"/>
      <c r="D1783" s="16"/>
      <c r="E1783" s="16"/>
      <c r="F1783" s="17"/>
      <c r="G1783" s="17"/>
      <c r="I1783" s="6"/>
      <c r="J1783" s="6"/>
    </row>
    <row r="1784">
      <c r="A1784" s="16"/>
      <c r="B1784" s="16"/>
      <c r="C1784" s="16"/>
      <c r="D1784" s="16"/>
      <c r="E1784" s="16"/>
      <c r="F1784" s="17"/>
      <c r="G1784" s="17"/>
      <c r="I1784" s="6"/>
      <c r="J1784" s="6"/>
    </row>
    <row r="1785">
      <c r="A1785" s="16"/>
      <c r="B1785" s="16"/>
      <c r="C1785" s="16"/>
      <c r="D1785" s="16"/>
      <c r="E1785" s="16"/>
      <c r="F1785" s="17"/>
      <c r="G1785" s="17"/>
      <c r="I1785" s="6"/>
      <c r="J1785" s="6"/>
    </row>
    <row r="1786">
      <c r="A1786" s="16"/>
      <c r="B1786" s="16"/>
      <c r="C1786" s="16"/>
      <c r="D1786" s="16"/>
      <c r="E1786" s="16"/>
      <c r="F1786" s="17"/>
      <c r="G1786" s="17"/>
      <c r="I1786" s="6"/>
      <c r="J1786" s="6"/>
    </row>
    <row r="1787">
      <c r="A1787" s="16"/>
      <c r="B1787" s="16"/>
      <c r="C1787" s="16"/>
      <c r="D1787" s="16"/>
      <c r="E1787" s="16"/>
      <c r="F1787" s="17"/>
      <c r="G1787" s="17"/>
      <c r="I1787" s="6"/>
      <c r="J1787" s="6"/>
    </row>
    <row r="1788">
      <c r="A1788" s="16"/>
      <c r="B1788" s="16"/>
      <c r="C1788" s="16"/>
      <c r="D1788" s="16"/>
      <c r="E1788" s="16"/>
      <c r="F1788" s="17"/>
      <c r="G1788" s="17"/>
      <c r="I1788" s="6"/>
      <c r="J1788" s="6"/>
    </row>
    <row r="1789">
      <c r="A1789" s="16"/>
      <c r="B1789" s="16"/>
      <c r="C1789" s="16"/>
      <c r="D1789" s="16"/>
      <c r="E1789" s="16"/>
      <c r="F1789" s="17"/>
      <c r="G1789" s="17"/>
      <c r="I1789" s="6"/>
      <c r="J1789" s="6"/>
    </row>
    <row r="1790">
      <c r="A1790" s="16"/>
      <c r="B1790" s="16"/>
      <c r="C1790" s="16"/>
      <c r="D1790" s="16"/>
      <c r="E1790" s="16"/>
      <c r="F1790" s="17"/>
      <c r="G1790" s="17"/>
      <c r="I1790" s="6"/>
      <c r="J1790" s="6"/>
    </row>
    <row r="1791">
      <c r="A1791" s="16"/>
      <c r="B1791" s="16"/>
      <c r="C1791" s="16"/>
      <c r="D1791" s="16"/>
      <c r="E1791" s="16"/>
      <c r="F1791" s="17"/>
      <c r="G1791" s="17"/>
      <c r="I1791" s="6"/>
      <c r="J1791" s="6"/>
    </row>
    <row r="1792">
      <c r="A1792" s="16"/>
      <c r="B1792" s="16"/>
      <c r="C1792" s="16"/>
      <c r="D1792" s="16"/>
      <c r="E1792" s="16"/>
      <c r="F1792" s="17"/>
      <c r="G1792" s="17"/>
      <c r="I1792" s="6"/>
      <c r="J1792" s="6"/>
    </row>
    <row r="1793">
      <c r="A1793" s="16"/>
      <c r="B1793" s="16"/>
      <c r="C1793" s="16"/>
      <c r="D1793" s="16"/>
      <c r="E1793" s="16"/>
      <c r="F1793" s="17"/>
      <c r="G1793" s="17"/>
      <c r="I1793" s="6"/>
      <c r="J1793" s="6"/>
    </row>
    <row r="1794">
      <c r="A1794" s="16"/>
      <c r="B1794" s="16"/>
      <c r="C1794" s="16"/>
      <c r="D1794" s="16"/>
      <c r="E1794" s="16"/>
      <c r="F1794" s="17"/>
      <c r="G1794" s="17"/>
      <c r="I1794" s="6"/>
      <c r="J1794" s="6"/>
    </row>
    <row r="1795">
      <c r="A1795" s="16"/>
      <c r="B1795" s="16"/>
      <c r="C1795" s="16"/>
      <c r="D1795" s="16"/>
      <c r="E1795" s="16"/>
      <c r="F1795" s="17"/>
      <c r="G1795" s="17"/>
      <c r="I1795" s="6"/>
      <c r="J1795" s="6"/>
    </row>
    <row r="1796">
      <c r="A1796" s="16"/>
      <c r="B1796" s="16"/>
      <c r="C1796" s="16"/>
      <c r="D1796" s="16"/>
      <c r="E1796" s="16"/>
      <c r="F1796" s="17"/>
      <c r="G1796" s="17"/>
      <c r="I1796" s="6"/>
      <c r="J1796" s="6"/>
    </row>
    <row r="1797">
      <c r="A1797" s="16"/>
      <c r="B1797" s="16"/>
      <c r="C1797" s="16"/>
      <c r="D1797" s="16"/>
      <c r="E1797" s="16"/>
      <c r="F1797" s="17"/>
      <c r="G1797" s="17"/>
      <c r="I1797" s="6"/>
      <c r="J1797" s="6"/>
    </row>
    <row r="1798">
      <c r="A1798" s="16"/>
      <c r="B1798" s="16"/>
      <c r="C1798" s="16"/>
      <c r="D1798" s="16"/>
      <c r="E1798" s="16"/>
      <c r="F1798" s="17"/>
      <c r="G1798" s="17"/>
      <c r="I1798" s="6"/>
      <c r="J1798" s="6"/>
    </row>
    <row r="1799">
      <c r="A1799" s="16"/>
      <c r="B1799" s="16"/>
      <c r="C1799" s="16"/>
      <c r="D1799" s="16"/>
      <c r="E1799" s="16"/>
      <c r="F1799" s="17"/>
      <c r="G1799" s="17"/>
      <c r="I1799" s="6"/>
      <c r="J1799" s="6"/>
    </row>
    <row r="1800">
      <c r="A1800" s="16"/>
      <c r="B1800" s="16"/>
      <c r="C1800" s="16"/>
      <c r="D1800" s="16"/>
      <c r="E1800" s="16"/>
      <c r="F1800" s="17"/>
      <c r="G1800" s="17"/>
      <c r="I1800" s="6"/>
      <c r="J1800" s="6"/>
    </row>
    <row r="1801">
      <c r="A1801" s="16"/>
      <c r="B1801" s="16"/>
      <c r="C1801" s="16"/>
      <c r="D1801" s="16"/>
      <c r="E1801" s="16"/>
      <c r="F1801" s="17"/>
      <c r="G1801" s="17"/>
      <c r="I1801" s="6"/>
      <c r="J1801" s="6"/>
    </row>
    <row r="1802">
      <c r="A1802" s="16"/>
      <c r="B1802" s="16"/>
      <c r="C1802" s="16"/>
      <c r="D1802" s="16"/>
      <c r="E1802" s="16"/>
      <c r="F1802" s="17"/>
      <c r="G1802" s="17"/>
      <c r="I1802" s="6"/>
      <c r="J1802" s="6"/>
    </row>
    <row r="1803">
      <c r="A1803" s="16"/>
      <c r="B1803" s="16"/>
      <c r="C1803" s="16"/>
      <c r="D1803" s="16"/>
      <c r="E1803" s="16"/>
      <c r="F1803" s="17"/>
      <c r="G1803" s="17"/>
      <c r="I1803" s="6"/>
      <c r="J1803" s="6"/>
    </row>
    <row r="1804">
      <c r="A1804" s="16"/>
      <c r="B1804" s="16"/>
      <c r="C1804" s="16"/>
      <c r="D1804" s="16"/>
      <c r="E1804" s="16"/>
      <c r="F1804" s="17"/>
      <c r="G1804" s="17"/>
      <c r="I1804" s="6"/>
      <c r="J1804" s="6"/>
    </row>
    <row r="1805">
      <c r="A1805" s="16"/>
      <c r="B1805" s="16"/>
      <c r="C1805" s="16"/>
      <c r="D1805" s="16"/>
      <c r="E1805" s="16"/>
      <c r="F1805" s="17"/>
      <c r="G1805" s="17"/>
      <c r="I1805" s="6"/>
      <c r="J1805" s="6"/>
    </row>
    <row r="1806">
      <c r="A1806" s="16"/>
      <c r="B1806" s="16"/>
      <c r="C1806" s="16"/>
      <c r="D1806" s="16"/>
      <c r="E1806" s="16"/>
      <c r="F1806" s="17"/>
      <c r="G1806" s="17"/>
      <c r="I1806" s="6"/>
      <c r="J1806" s="6"/>
    </row>
    <row r="1807">
      <c r="A1807" s="16"/>
      <c r="B1807" s="16"/>
      <c r="C1807" s="16"/>
      <c r="D1807" s="16"/>
      <c r="E1807" s="16"/>
      <c r="F1807" s="17"/>
      <c r="G1807" s="17"/>
      <c r="I1807" s="6"/>
      <c r="J1807" s="6"/>
    </row>
    <row r="1808">
      <c r="A1808" s="16"/>
      <c r="B1808" s="16"/>
      <c r="C1808" s="16"/>
      <c r="D1808" s="16"/>
      <c r="E1808" s="16"/>
      <c r="F1808" s="17"/>
      <c r="G1808" s="17"/>
      <c r="I1808" s="6"/>
      <c r="J1808" s="6"/>
    </row>
    <row r="1809">
      <c r="A1809" s="16"/>
      <c r="B1809" s="16"/>
      <c r="C1809" s="16"/>
      <c r="D1809" s="16"/>
      <c r="E1809" s="16"/>
      <c r="F1809" s="17"/>
      <c r="G1809" s="17"/>
      <c r="I1809" s="6"/>
      <c r="J1809" s="6"/>
    </row>
    <row r="1810">
      <c r="A1810" s="16"/>
      <c r="B1810" s="16"/>
      <c r="C1810" s="16"/>
      <c r="D1810" s="16"/>
      <c r="E1810" s="16"/>
      <c r="F1810" s="17"/>
      <c r="G1810" s="17"/>
      <c r="I1810" s="6"/>
      <c r="J1810" s="6"/>
    </row>
    <row r="1811">
      <c r="A1811" s="16"/>
      <c r="B1811" s="16"/>
      <c r="C1811" s="16"/>
      <c r="D1811" s="16"/>
      <c r="E1811" s="16"/>
      <c r="F1811" s="17"/>
      <c r="G1811" s="17"/>
      <c r="I1811" s="6"/>
      <c r="J1811" s="6"/>
    </row>
    <row r="1812">
      <c r="A1812" s="16"/>
      <c r="B1812" s="16"/>
      <c r="C1812" s="16"/>
      <c r="D1812" s="16"/>
      <c r="E1812" s="16"/>
      <c r="F1812" s="17"/>
      <c r="G1812" s="17"/>
      <c r="I1812" s="6"/>
      <c r="J1812" s="6"/>
    </row>
    <row r="1813">
      <c r="A1813" s="16"/>
      <c r="B1813" s="16"/>
      <c r="C1813" s="16"/>
      <c r="D1813" s="16"/>
      <c r="E1813" s="16"/>
      <c r="F1813" s="17"/>
      <c r="G1813" s="17"/>
      <c r="I1813" s="6"/>
      <c r="J1813" s="6"/>
    </row>
    <row r="1814">
      <c r="A1814" s="16"/>
      <c r="B1814" s="16"/>
      <c r="C1814" s="16"/>
      <c r="D1814" s="16"/>
      <c r="E1814" s="16"/>
      <c r="F1814" s="17"/>
      <c r="G1814" s="17"/>
      <c r="I1814" s="6"/>
      <c r="J1814" s="6"/>
    </row>
    <row r="1815">
      <c r="A1815" s="16"/>
      <c r="B1815" s="16"/>
      <c r="C1815" s="16"/>
      <c r="D1815" s="16"/>
      <c r="E1815" s="16"/>
      <c r="F1815" s="17"/>
      <c r="G1815" s="17"/>
      <c r="I1815" s="6"/>
      <c r="J1815" s="6"/>
    </row>
    <row r="1816">
      <c r="A1816" s="16"/>
      <c r="B1816" s="16"/>
      <c r="C1816" s="16"/>
      <c r="D1816" s="16"/>
      <c r="E1816" s="16"/>
      <c r="F1816" s="17"/>
      <c r="G1816" s="17"/>
      <c r="I1816" s="6"/>
      <c r="J1816" s="6"/>
    </row>
    <row r="1817">
      <c r="A1817" s="16"/>
      <c r="B1817" s="16"/>
      <c r="C1817" s="16"/>
      <c r="D1817" s="16"/>
      <c r="E1817" s="16"/>
      <c r="F1817" s="17"/>
      <c r="G1817" s="17"/>
      <c r="I1817" s="6"/>
      <c r="J1817" s="6"/>
    </row>
    <row r="1818">
      <c r="A1818" s="16"/>
      <c r="B1818" s="16"/>
      <c r="C1818" s="16"/>
      <c r="D1818" s="16"/>
      <c r="E1818" s="16"/>
      <c r="F1818" s="17"/>
      <c r="G1818" s="17"/>
      <c r="I1818" s="6"/>
      <c r="J1818" s="6"/>
    </row>
    <row r="1819">
      <c r="A1819" s="16"/>
      <c r="B1819" s="16"/>
      <c r="C1819" s="16"/>
      <c r="D1819" s="16"/>
      <c r="E1819" s="16"/>
      <c r="F1819" s="17"/>
      <c r="G1819" s="17"/>
      <c r="I1819" s="6"/>
      <c r="J1819" s="6"/>
    </row>
    <row r="1820">
      <c r="A1820" s="16"/>
      <c r="B1820" s="16"/>
      <c r="C1820" s="16"/>
      <c r="D1820" s="16"/>
      <c r="E1820" s="16"/>
      <c r="F1820" s="17"/>
      <c r="G1820" s="17"/>
      <c r="I1820" s="6"/>
      <c r="J1820" s="6"/>
    </row>
    <row r="1821">
      <c r="A1821" s="16"/>
      <c r="B1821" s="16"/>
      <c r="C1821" s="16"/>
      <c r="D1821" s="16"/>
      <c r="E1821" s="16"/>
      <c r="F1821" s="17"/>
      <c r="G1821" s="17"/>
      <c r="I1821" s="6"/>
      <c r="J1821" s="6"/>
    </row>
    <row r="1822">
      <c r="A1822" s="16"/>
      <c r="B1822" s="16"/>
      <c r="C1822" s="16"/>
      <c r="D1822" s="16"/>
      <c r="E1822" s="16"/>
      <c r="F1822" s="17"/>
      <c r="G1822" s="17"/>
      <c r="I1822" s="6"/>
      <c r="J1822" s="6"/>
    </row>
    <row r="1823">
      <c r="A1823" s="16"/>
      <c r="B1823" s="16"/>
      <c r="C1823" s="16"/>
      <c r="D1823" s="16"/>
      <c r="E1823" s="16"/>
      <c r="F1823" s="17"/>
      <c r="G1823" s="17"/>
      <c r="I1823" s="6"/>
      <c r="J1823" s="6"/>
    </row>
    <row r="1824">
      <c r="A1824" s="16"/>
      <c r="B1824" s="16"/>
      <c r="C1824" s="16"/>
      <c r="D1824" s="16"/>
      <c r="E1824" s="16"/>
      <c r="F1824" s="17"/>
      <c r="G1824" s="17"/>
      <c r="I1824" s="6"/>
      <c r="J1824" s="6"/>
    </row>
    <row r="1825">
      <c r="A1825" s="16"/>
      <c r="B1825" s="16"/>
      <c r="C1825" s="16"/>
      <c r="D1825" s="16"/>
      <c r="E1825" s="16"/>
      <c r="F1825" s="17"/>
      <c r="G1825" s="17"/>
      <c r="I1825" s="6"/>
      <c r="J1825" s="6"/>
    </row>
    <row r="1826">
      <c r="A1826" s="16"/>
      <c r="B1826" s="16"/>
      <c r="C1826" s="16"/>
      <c r="D1826" s="16"/>
      <c r="E1826" s="16"/>
      <c r="F1826" s="17"/>
      <c r="G1826" s="17"/>
      <c r="I1826" s="6"/>
      <c r="J1826" s="6"/>
    </row>
    <row r="1827">
      <c r="A1827" s="16"/>
      <c r="B1827" s="16"/>
      <c r="C1827" s="16"/>
      <c r="D1827" s="16"/>
      <c r="E1827" s="16"/>
      <c r="F1827" s="17"/>
      <c r="G1827" s="17"/>
      <c r="I1827" s="6"/>
      <c r="J1827" s="6"/>
    </row>
    <row r="1828">
      <c r="A1828" s="16"/>
      <c r="B1828" s="16"/>
      <c r="C1828" s="16"/>
      <c r="D1828" s="16"/>
      <c r="E1828" s="16"/>
      <c r="F1828" s="17"/>
      <c r="G1828" s="17"/>
      <c r="I1828" s="6"/>
      <c r="J1828" s="6"/>
    </row>
    <row r="1829">
      <c r="A1829" s="16"/>
      <c r="B1829" s="16"/>
      <c r="C1829" s="16"/>
      <c r="D1829" s="16"/>
      <c r="E1829" s="16"/>
      <c r="F1829" s="17"/>
      <c r="G1829" s="17"/>
      <c r="I1829" s="6"/>
      <c r="J1829" s="6"/>
    </row>
    <row r="1830">
      <c r="A1830" s="16"/>
      <c r="B1830" s="16"/>
      <c r="C1830" s="16"/>
      <c r="D1830" s="16"/>
      <c r="E1830" s="16"/>
      <c r="F1830" s="17"/>
      <c r="G1830" s="17"/>
      <c r="I1830" s="6"/>
      <c r="J1830" s="6"/>
    </row>
    <row r="1831">
      <c r="A1831" s="16"/>
      <c r="B1831" s="16"/>
      <c r="C1831" s="16"/>
      <c r="D1831" s="16"/>
      <c r="E1831" s="16"/>
      <c r="F1831" s="17"/>
      <c r="G1831" s="17"/>
      <c r="I1831" s="6"/>
      <c r="J1831" s="6"/>
    </row>
    <row r="1832">
      <c r="A1832" s="16"/>
      <c r="B1832" s="16"/>
      <c r="C1832" s="16"/>
      <c r="D1832" s="16"/>
      <c r="E1832" s="16"/>
      <c r="F1832" s="17"/>
      <c r="G1832" s="17"/>
      <c r="I1832" s="6"/>
      <c r="J1832" s="6"/>
    </row>
    <row r="1833">
      <c r="A1833" s="16"/>
      <c r="B1833" s="16"/>
      <c r="C1833" s="16"/>
      <c r="D1833" s="16"/>
      <c r="E1833" s="16"/>
      <c r="F1833" s="17"/>
      <c r="G1833" s="17"/>
      <c r="I1833" s="6"/>
      <c r="J1833" s="6"/>
    </row>
    <row r="1834">
      <c r="A1834" s="16"/>
      <c r="B1834" s="16"/>
      <c r="C1834" s="16"/>
      <c r="D1834" s="16"/>
      <c r="E1834" s="16"/>
      <c r="F1834" s="17"/>
      <c r="G1834" s="17"/>
      <c r="I1834" s="6"/>
      <c r="J1834" s="6"/>
    </row>
    <row r="1835">
      <c r="A1835" s="16"/>
      <c r="B1835" s="16"/>
      <c r="C1835" s="16"/>
      <c r="D1835" s="16"/>
      <c r="E1835" s="16"/>
      <c r="F1835" s="17"/>
      <c r="G1835" s="17"/>
      <c r="I1835" s="6"/>
      <c r="J1835" s="6"/>
    </row>
    <row r="1836">
      <c r="A1836" s="16"/>
      <c r="B1836" s="16"/>
      <c r="C1836" s="16"/>
      <c r="D1836" s="16"/>
      <c r="E1836" s="16"/>
      <c r="F1836" s="17"/>
      <c r="G1836" s="17"/>
      <c r="I1836" s="6"/>
      <c r="J1836" s="6"/>
    </row>
    <row r="1837">
      <c r="A1837" s="16"/>
      <c r="B1837" s="16"/>
      <c r="C1837" s="16"/>
      <c r="D1837" s="16"/>
      <c r="E1837" s="16"/>
      <c r="F1837" s="17"/>
      <c r="G1837" s="17"/>
      <c r="I1837" s="6"/>
      <c r="J1837" s="6"/>
    </row>
    <row r="1838">
      <c r="A1838" s="16"/>
      <c r="B1838" s="16"/>
      <c r="C1838" s="16"/>
      <c r="D1838" s="16"/>
      <c r="E1838" s="16"/>
      <c r="F1838" s="17"/>
      <c r="G1838" s="17"/>
      <c r="I1838" s="6"/>
      <c r="J1838" s="6"/>
    </row>
    <row r="1839">
      <c r="A1839" s="16"/>
      <c r="B1839" s="16"/>
      <c r="C1839" s="16"/>
      <c r="D1839" s="16"/>
      <c r="E1839" s="16"/>
      <c r="F1839" s="17"/>
      <c r="G1839" s="17"/>
      <c r="I1839" s="6"/>
      <c r="J1839" s="6"/>
    </row>
    <row r="1840">
      <c r="A1840" s="16"/>
      <c r="B1840" s="16"/>
      <c r="C1840" s="16"/>
      <c r="D1840" s="16"/>
      <c r="E1840" s="16"/>
      <c r="F1840" s="17"/>
      <c r="G1840" s="17"/>
      <c r="I1840" s="6"/>
      <c r="J1840" s="6"/>
    </row>
    <row r="1841">
      <c r="A1841" s="16"/>
      <c r="B1841" s="16"/>
      <c r="C1841" s="16"/>
      <c r="D1841" s="16"/>
      <c r="E1841" s="16"/>
      <c r="F1841" s="17"/>
      <c r="G1841" s="17"/>
      <c r="I1841" s="6"/>
      <c r="J1841" s="6"/>
    </row>
    <row r="1842">
      <c r="A1842" s="16"/>
      <c r="B1842" s="16"/>
      <c r="C1842" s="16"/>
      <c r="D1842" s="16"/>
      <c r="E1842" s="16"/>
      <c r="F1842" s="17"/>
      <c r="G1842" s="17"/>
      <c r="I1842" s="6"/>
      <c r="J1842" s="6"/>
    </row>
    <row r="1843">
      <c r="A1843" s="16"/>
      <c r="B1843" s="16"/>
      <c r="C1843" s="16"/>
      <c r="D1843" s="16"/>
      <c r="E1843" s="16"/>
      <c r="F1843" s="17"/>
      <c r="G1843" s="17"/>
      <c r="I1843" s="6"/>
      <c r="J1843" s="6"/>
    </row>
    <row r="1844">
      <c r="A1844" s="16"/>
      <c r="B1844" s="16"/>
      <c r="C1844" s="16"/>
      <c r="D1844" s="16"/>
      <c r="E1844" s="16"/>
      <c r="F1844" s="17"/>
      <c r="G1844" s="17"/>
      <c r="I1844" s="6"/>
      <c r="J1844" s="6"/>
    </row>
    <row r="1845">
      <c r="A1845" s="16"/>
      <c r="B1845" s="16"/>
      <c r="C1845" s="16"/>
      <c r="D1845" s="16"/>
      <c r="E1845" s="16"/>
      <c r="F1845" s="17"/>
      <c r="G1845" s="17"/>
      <c r="I1845" s="6"/>
      <c r="J1845" s="6"/>
    </row>
    <row r="1846">
      <c r="A1846" s="16"/>
      <c r="B1846" s="16"/>
      <c r="C1846" s="16"/>
      <c r="D1846" s="16"/>
      <c r="E1846" s="16"/>
      <c r="F1846" s="17"/>
      <c r="G1846" s="17"/>
      <c r="I1846" s="6"/>
      <c r="J1846" s="6"/>
    </row>
    <row r="1847">
      <c r="A1847" s="16"/>
      <c r="B1847" s="16"/>
      <c r="C1847" s="16"/>
      <c r="D1847" s="16"/>
      <c r="E1847" s="16"/>
      <c r="F1847" s="17"/>
      <c r="G1847" s="17"/>
      <c r="I1847" s="6"/>
      <c r="J1847" s="6"/>
    </row>
    <row r="1848">
      <c r="A1848" s="16"/>
      <c r="B1848" s="16"/>
      <c r="C1848" s="16"/>
      <c r="D1848" s="16"/>
      <c r="E1848" s="16"/>
      <c r="F1848" s="17"/>
      <c r="G1848" s="17"/>
      <c r="I1848" s="6"/>
      <c r="J1848" s="6"/>
    </row>
    <row r="1849">
      <c r="A1849" s="16"/>
      <c r="B1849" s="16"/>
      <c r="C1849" s="16"/>
      <c r="D1849" s="16"/>
      <c r="E1849" s="16"/>
      <c r="F1849" s="17"/>
      <c r="G1849" s="17"/>
      <c r="I1849" s="6"/>
      <c r="J1849" s="6"/>
    </row>
    <row r="1850">
      <c r="A1850" s="16"/>
      <c r="B1850" s="16"/>
      <c r="C1850" s="16"/>
      <c r="D1850" s="16"/>
      <c r="E1850" s="16"/>
      <c r="F1850" s="17"/>
      <c r="G1850" s="17"/>
      <c r="I1850" s="6"/>
      <c r="J1850" s="6"/>
    </row>
    <row r="1851">
      <c r="A1851" s="16"/>
      <c r="B1851" s="16"/>
      <c r="C1851" s="16"/>
      <c r="D1851" s="16"/>
      <c r="E1851" s="16"/>
      <c r="F1851" s="17"/>
      <c r="G1851" s="17"/>
      <c r="I1851" s="6"/>
      <c r="J1851" s="6"/>
    </row>
    <row r="1852">
      <c r="A1852" s="16"/>
      <c r="B1852" s="16"/>
      <c r="C1852" s="16"/>
      <c r="D1852" s="16"/>
      <c r="E1852" s="16"/>
      <c r="F1852" s="17"/>
      <c r="G1852" s="17"/>
      <c r="I1852" s="6"/>
      <c r="J1852" s="6"/>
    </row>
    <row r="1853">
      <c r="A1853" s="16"/>
      <c r="B1853" s="16"/>
      <c r="C1853" s="16"/>
      <c r="D1853" s="16"/>
      <c r="E1853" s="16"/>
      <c r="F1853" s="17"/>
      <c r="G1853" s="17"/>
      <c r="I1853" s="6"/>
      <c r="J1853" s="6"/>
    </row>
    <row r="1854">
      <c r="A1854" s="16"/>
      <c r="B1854" s="16"/>
      <c r="C1854" s="16"/>
      <c r="D1854" s="16"/>
      <c r="E1854" s="16"/>
      <c r="F1854" s="17"/>
      <c r="G1854" s="17"/>
      <c r="I1854" s="6"/>
      <c r="J1854" s="6"/>
    </row>
    <row r="1855">
      <c r="A1855" s="16"/>
      <c r="B1855" s="16"/>
      <c r="C1855" s="16"/>
      <c r="D1855" s="16"/>
      <c r="E1855" s="16"/>
      <c r="F1855" s="17"/>
      <c r="G1855" s="17"/>
      <c r="I1855" s="6"/>
      <c r="J1855" s="6"/>
    </row>
    <row r="1856">
      <c r="A1856" s="16"/>
      <c r="B1856" s="16"/>
      <c r="C1856" s="16"/>
      <c r="D1856" s="16"/>
      <c r="E1856" s="16"/>
      <c r="F1856" s="17"/>
      <c r="G1856" s="17"/>
      <c r="I1856" s="6"/>
      <c r="J1856" s="6"/>
    </row>
    <row r="1857">
      <c r="A1857" s="16"/>
      <c r="B1857" s="16"/>
      <c r="C1857" s="16"/>
      <c r="D1857" s="16"/>
      <c r="E1857" s="16"/>
      <c r="F1857" s="17"/>
      <c r="G1857" s="17"/>
      <c r="I1857" s="6"/>
      <c r="J1857" s="6"/>
    </row>
    <row r="1858">
      <c r="A1858" s="16"/>
      <c r="B1858" s="16"/>
      <c r="C1858" s="16"/>
      <c r="D1858" s="16"/>
      <c r="E1858" s="16"/>
      <c r="F1858" s="17"/>
      <c r="G1858" s="17"/>
      <c r="I1858" s="6"/>
      <c r="J1858" s="6"/>
    </row>
    <row r="1859">
      <c r="A1859" s="16"/>
      <c r="B1859" s="16"/>
      <c r="C1859" s="16"/>
      <c r="D1859" s="16"/>
      <c r="E1859" s="16"/>
      <c r="F1859" s="17"/>
      <c r="G1859" s="17"/>
      <c r="I1859" s="6"/>
      <c r="J1859" s="6"/>
    </row>
    <row r="1860">
      <c r="A1860" s="16"/>
      <c r="B1860" s="16"/>
      <c r="C1860" s="16"/>
      <c r="D1860" s="16"/>
      <c r="E1860" s="16"/>
      <c r="F1860" s="17"/>
      <c r="G1860" s="17"/>
      <c r="I1860" s="6"/>
      <c r="J1860" s="6"/>
    </row>
    <row r="1861">
      <c r="A1861" s="16"/>
      <c r="B1861" s="16"/>
      <c r="C1861" s="16"/>
      <c r="D1861" s="16"/>
      <c r="E1861" s="16"/>
      <c r="F1861" s="17"/>
      <c r="G1861" s="17"/>
      <c r="I1861" s="6"/>
      <c r="J1861" s="6"/>
    </row>
    <row r="1862">
      <c r="A1862" s="16"/>
      <c r="B1862" s="16"/>
      <c r="C1862" s="16"/>
      <c r="D1862" s="16"/>
      <c r="E1862" s="16"/>
      <c r="F1862" s="17"/>
      <c r="G1862" s="17"/>
      <c r="I1862" s="6"/>
      <c r="J1862" s="6"/>
    </row>
    <row r="1863">
      <c r="A1863" s="16"/>
      <c r="B1863" s="16"/>
      <c r="C1863" s="16"/>
      <c r="D1863" s="16"/>
      <c r="E1863" s="16"/>
      <c r="F1863" s="17"/>
      <c r="G1863" s="17"/>
      <c r="I1863" s="6"/>
      <c r="J1863" s="6"/>
    </row>
    <row r="1864">
      <c r="A1864" s="16"/>
      <c r="B1864" s="16"/>
      <c r="C1864" s="16"/>
      <c r="D1864" s="16"/>
      <c r="E1864" s="16"/>
      <c r="F1864" s="17"/>
      <c r="G1864" s="17"/>
      <c r="I1864" s="6"/>
      <c r="J1864" s="6"/>
    </row>
    <row r="1865">
      <c r="A1865" s="16"/>
      <c r="B1865" s="16"/>
      <c r="C1865" s="16"/>
      <c r="D1865" s="16"/>
      <c r="E1865" s="16"/>
      <c r="F1865" s="17"/>
      <c r="G1865" s="17"/>
      <c r="I1865" s="6"/>
      <c r="J1865" s="6"/>
    </row>
    <row r="1866">
      <c r="A1866" s="16"/>
      <c r="B1866" s="16"/>
      <c r="C1866" s="16"/>
      <c r="D1866" s="16"/>
      <c r="E1866" s="16"/>
      <c r="F1866" s="17"/>
      <c r="G1866" s="17"/>
      <c r="I1866" s="6"/>
      <c r="J1866" s="6"/>
    </row>
    <row r="1867">
      <c r="A1867" s="16"/>
      <c r="B1867" s="16"/>
      <c r="C1867" s="16"/>
      <c r="D1867" s="16"/>
      <c r="E1867" s="16"/>
      <c r="F1867" s="17"/>
      <c r="G1867" s="17"/>
      <c r="I1867" s="6"/>
      <c r="J1867" s="6"/>
    </row>
    <row r="1868">
      <c r="A1868" s="16"/>
      <c r="B1868" s="16"/>
      <c r="C1868" s="16"/>
      <c r="D1868" s="16"/>
      <c r="E1868" s="16"/>
      <c r="F1868" s="17"/>
      <c r="G1868" s="17"/>
      <c r="I1868" s="6"/>
      <c r="J1868" s="6"/>
    </row>
    <row r="1869">
      <c r="A1869" s="16"/>
      <c r="B1869" s="16"/>
      <c r="C1869" s="16"/>
      <c r="D1869" s="16"/>
      <c r="E1869" s="16"/>
      <c r="F1869" s="17"/>
      <c r="G1869" s="17"/>
      <c r="I1869" s="6"/>
      <c r="J1869" s="6"/>
    </row>
    <row r="1870">
      <c r="A1870" s="16"/>
      <c r="B1870" s="16"/>
      <c r="C1870" s="16"/>
      <c r="D1870" s="16"/>
      <c r="E1870" s="16"/>
      <c r="F1870" s="17"/>
      <c r="G1870" s="17"/>
      <c r="I1870" s="6"/>
      <c r="J1870" s="6"/>
    </row>
    <row r="1871">
      <c r="A1871" s="16"/>
      <c r="B1871" s="16"/>
      <c r="C1871" s="16"/>
      <c r="D1871" s="16"/>
      <c r="E1871" s="16"/>
      <c r="F1871" s="17"/>
      <c r="G1871" s="17"/>
      <c r="I1871" s="6"/>
      <c r="J1871" s="6"/>
    </row>
    <row r="1872">
      <c r="A1872" s="16"/>
      <c r="B1872" s="16"/>
      <c r="C1872" s="16"/>
      <c r="D1872" s="16"/>
      <c r="E1872" s="16"/>
      <c r="F1872" s="17"/>
      <c r="G1872" s="17"/>
      <c r="I1872" s="6"/>
      <c r="J1872" s="6"/>
    </row>
    <row r="1873">
      <c r="A1873" s="16"/>
      <c r="B1873" s="16"/>
      <c r="C1873" s="16"/>
      <c r="D1873" s="16"/>
      <c r="E1873" s="16"/>
      <c r="F1873" s="17"/>
      <c r="G1873" s="17"/>
      <c r="I1873" s="6"/>
      <c r="J1873" s="6"/>
    </row>
    <row r="1874">
      <c r="A1874" s="16"/>
      <c r="B1874" s="16"/>
      <c r="C1874" s="16"/>
      <c r="D1874" s="16"/>
      <c r="E1874" s="16"/>
      <c r="F1874" s="17"/>
      <c r="G1874" s="17"/>
      <c r="I1874" s="6"/>
      <c r="J1874" s="6"/>
    </row>
    <row r="1875">
      <c r="A1875" s="16"/>
      <c r="B1875" s="16"/>
      <c r="C1875" s="16"/>
      <c r="D1875" s="16"/>
      <c r="E1875" s="16"/>
      <c r="F1875" s="17"/>
      <c r="G1875" s="17"/>
      <c r="I1875" s="6"/>
      <c r="J1875" s="6"/>
    </row>
    <row r="1876">
      <c r="A1876" s="16"/>
      <c r="B1876" s="16"/>
      <c r="C1876" s="16"/>
      <c r="D1876" s="16"/>
      <c r="E1876" s="16"/>
      <c r="F1876" s="17"/>
      <c r="G1876" s="17"/>
      <c r="I1876" s="6"/>
      <c r="J1876" s="6"/>
    </row>
    <row r="1877">
      <c r="A1877" s="16"/>
      <c r="B1877" s="16"/>
      <c r="C1877" s="16"/>
      <c r="D1877" s="16"/>
      <c r="E1877" s="16"/>
      <c r="F1877" s="17"/>
      <c r="G1877" s="17"/>
      <c r="I1877" s="6"/>
      <c r="J1877" s="6"/>
    </row>
    <row r="1878">
      <c r="A1878" s="16"/>
      <c r="B1878" s="16"/>
      <c r="C1878" s="16"/>
      <c r="D1878" s="16"/>
      <c r="E1878" s="16"/>
      <c r="F1878" s="17"/>
      <c r="G1878" s="17"/>
      <c r="I1878" s="6"/>
      <c r="J1878" s="6"/>
    </row>
    <row r="1879">
      <c r="A1879" s="16"/>
      <c r="B1879" s="16"/>
      <c r="C1879" s="16"/>
      <c r="D1879" s="16"/>
      <c r="E1879" s="16"/>
      <c r="F1879" s="17"/>
      <c r="G1879" s="17"/>
      <c r="I1879" s="6"/>
      <c r="J1879" s="6"/>
    </row>
    <row r="1880">
      <c r="A1880" s="16"/>
      <c r="B1880" s="16"/>
      <c r="C1880" s="16"/>
      <c r="D1880" s="16"/>
      <c r="E1880" s="16"/>
      <c r="F1880" s="17"/>
      <c r="G1880" s="17"/>
      <c r="I1880" s="6"/>
      <c r="J1880" s="6"/>
    </row>
    <row r="1881">
      <c r="A1881" s="16"/>
      <c r="B1881" s="16"/>
      <c r="C1881" s="16"/>
      <c r="D1881" s="16"/>
      <c r="E1881" s="16"/>
      <c r="F1881" s="17"/>
      <c r="G1881" s="17"/>
      <c r="I1881" s="6"/>
      <c r="J1881" s="6"/>
    </row>
    <row r="1882">
      <c r="A1882" s="16"/>
      <c r="B1882" s="16"/>
      <c r="C1882" s="16"/>
      <c r="D1882" s="16"/>
      <c r="E1882" s="16"/>
      <c r="F1882" s="17"/>
      <c r="G1882" s="17"/>
      <c r="I1882" s="6"/>
      <c r="J1882" s="6"/>
    </row>
    <row r="1883">
      <c r="A1883" s="16"/>
      <c r="B1883" s="16"/>
      <c r="C1883" s="16"/>
      <c r="D1883" s="16"/>
      <c r="E1883" s="16"/>
      <c r="F1883" s="17"/>
      <c r="G1883" s="17"/>
      <c r="I1883" s="6"/>
      <c r="J1883" s="6"/>
    </row>
    <row r="1884">
      <c r="A1884" s="16"/>
      <c r="B1884" s="16"/>
      <c r="C1884" s="16"/>
      <c r="D1884" s="16"/>
      <c r="E1884" s="16"/>
      <c r="F1884" s="17"/>
      <c r="G1884" s="17"/>
      <c r="I1884" s="6"/>
      <c r="J1884" s="6"/>
    </row>
    <row r="1885">
      <c r="A1885" s="16"/>
      <c r="B1885" s="16"/>
      <c r="C1885" s="16"/>
      <c r="D1885" s="16"/>
      <c r="E1885" s="16"/>
      <c r="F1885" s="17"/>
      <c r="G1885" s="17"/>
      <c r="I1885" s="6"/>
      <c r="J1885" s="6"/>
    </row>
    <row r="1886">
      <c r="A1886" s="16"/>
      <c r="B1886" s="16"/>
      <c r="C1886" s="16"/>
      <c r="D1886" s="16"/>
      <c r="E1886" s="16"/>
      <c r="F1886" s="17"/>
      <c r="G1886" s="17"/>
      <c r="I1886" s="6"/>
      <c r="J1886" s="6"/>
    </row>
    <row r="1887">
      <c r="A1887" s="16"/>
      <c r="B1887" s="16"/>
      <c r="C1887" s="16"/>
      <c r="D1887" s="16"/>
      <c r="E1887" s="16"/>
      <c r="F1887" s="17"/>
      <c r="G1887" s="17"/>
      <c r="I1887" s="6"/>
      <c r="J1887" s="6"/>
    </row>
    <row r="1888">
      <c r="A1888" s="16"/>
      <c r="B1888" s="16"/>
      <c r="C1888" s="16"/>
      <c r="D1888" s="16"/>
      <c r="E1888" s="16"/>
      <c r="F1888" s="17"/>
      <c r="G1888" s="17"/>
      <c r="I1888" s="6"/>
      <c r="J1888" s="6"/>
    </row>
    <row r="1889">
      <c r="A1889" s="16"/>
      <c r="B1889" s="16"/>
      <c r="C1889" s="16"/>
      <c r="D1889" s="16"/>
      <c r="E1889" s="16"/>
      <c r="F1889" s="17"/>
      <c r="G1889" s="17"/>
      <c r="I1889" s="6"/>
      <c r="J1889" s="6"/>
    </row>
    <row r="1890">
      <c r="A1890" s="16"/>
      <c r="B1890" s="16"/>
      <c r="C1890" s="16"/>
      <c r="D1890" s="16"/>
      <c r="E1890" s="16"/>
      <c r="F1890" s="17"/>
      <c r="G1890" s="17"/>
      <c r="I1890" s="6"/>
      <c r="J1890" s="6"/>
    </row>
    <row r="1891">
      <c r="A1891" s="16"/>
      <c r="B1891" s="16"/>
      <c r="C1891" s="16"/>
      <c r="D1891" s="16"/>
      <c r="E1891" s="16"/>
      <c r="F1891" s="17"/>
      <c r="G1891" s="17"/>
      <c r="I1891" s="6"/>
      <c r="J1891" s="6"/>
    </row>
    <row r="1892">
      <c r="A1892" s="16"/>
      <c r="B1892" s="16"/>
      <c r="C1892" s="16"/>
      <c r="D1892" s="16"/>
      <c r="E1892" s="16"/>
      <c r="F1892" s="17"/>
      <c r="G1892" s="17"/>
      <c r="I1892" s="6"/>
      <c r="J1892" s="6"/>
    </row>
    <row r="1893">
      <c r="A1893" s="16"/>
      <c r="B1893" s="16"/>
      <c r="C1893" s="16"/>
      <c r="D1893" s="16"/>
      <c r="E1893" s="16"/>
      <c r="F1893" s="17"/>
      <c r="G1893" s="17"/>
      <c r="I1893" s="6"/>
      <c r="J1893" s="6"/>
    </row>
    <row r="1894">
      <c r="A1894" s="16"/>
      <c r="B1894" s="16"/>
      <c r="C1894" s="16"/>
      <c r="D1894" s="16"/>
      <c r="E1894" s="16"/>
      <c r="F1894" s="17"/>
      <c r="G1894" s="17"/>
      <c r="I1894" s="6"/>
      <c r="J1894" s="6"/>
    </row>
    <row r="1895">
      <c r="A1895" s="16"/>
      <c r="B1895" s="16"/>
      <c r="C1895" s="16"/>
      <c r="D1895" s="16"/>
      <c r="E1895" s="16"/>
      <c r="F1895" s="17"/>
      <c r="G1895" s="17"/>
      <c r="I1895" s="6"/>
      <c r="J1895" s="6"/>
    </row>
    <row r="1896">
      <c r="A1896" s="16"/>
      <c r="B1896" s="16"/>
      <c r="C1896" s="16"/>
      <c r="D1896" s="16"/>
      <c r="E1896" s="16"/>
      <c r="F1896" s="17"/>
      <c r="G1896" s="17"/>
      <c r="I1896" s="6"/>
      <c r="J1896" s="6"/>
    </row>
    <row r="1897">
      <c r="A1897" s="16"/>
      <c r="B1897" s="16"/>
      <c r="C1897" s="16"/>
      <c r="D1897" s="16"/>
      <c r="E1897" s="16"/>
      <c r="F1897" s="17"/>
      <c r="G1897" s="17"/>
      <c r="I1897" s="6"/>
      <c r="J1897" s="6"/>
    </row>
    <row r="1898">
      <c r="A1898" s="16"/>
      <c r="B1898" s="16"/>
      <c r="C1898" s="16"/>
      <c r="D1898" s="16"/>
      <c r="E1898" s="16"/>
      <c r="F1898" s="17"/>
      <c r="G1898" s="17"/>
      <c r="I1898" s="6"/>
      <c r="J1898" s="6"/>
    </row>
    <row r="1899">
      <c r="A1899" s="16"/>
      <c r="B1899" s="16"/>
      <c r="C1899" s="16"/>
      <c r="D1899" s="16"/>
      <c r="E1899" s="16"/>
      <c r="F1899" s="17"/>
      <c r="G1899" s="17"/>
      <c r="I1899" s="6"/>
      <c r="J1899" s="6"/>
    </row>
    <row r="1900">
      <c r="A1900" s="16"/>
      <c r="B1900" s="16"/>
      <c r="C1900" s="16"/>
      <c r="D1900" s="16"/>
      <c r="E1900" s="16"/>
      <c r="F1900" s="17"/>
      <c r="G1900" s="17"/>
      <c r="I1900" s="6"/>
      <c r="J1900" s="6"/>
    </row>
    <row r="1901">
      <c r="A1901" s="16"/>
      <c r="B1901" s="16"/>
      <c r="C1901" s="16"/>
      <c r="D1901" s="16"/>
      <c r="E1901" s="16"/>
      <c r="F1901" s="17"/>
      <c r="G1901" s="17"/>
      <c r="I1901" s="6"/>
      <c r="J1901" s="6"/>
    </row>
    <row r="1902">
      <c r="A1902" s="16"/>
      <c r="B1902" s="16"/>
      <c r="C1902" s="16"/>
      <c r="D1902" s="16"/>
      <c r="E1902" s="16"/>
      <c r="F1902" s="17"/>
      <c r="G1902" s="17"/>
      <c r="I1902" s="6"/>
      <c r="J1902" s="6"/>
    </row>
    <row r="1903">
      <c r="A1903" s="16"/>
      <c r="B1903" s="16"/>
      <c r="C1903" s="16"/>
      <c r="D1903" s="16"/>
      <c r="E1903" s="16"/>
      <c r="F1903" s="17"/>
      <c r="G1903" s="17"/>
      <c r="I1903" s="6"/>
      <c r="J1903" s="6"/>
    </row>
    <row r="1904">
      <c r="A1904" s="16"/>
      <c r="B1904" s="16"/>
      <c r="C1904" s="16"/>
      <c r="D1904" s="16"/>
      <c r="E1904" s="16"/>
      <c r="F1904" s="17"/>
      <c r="G1904" s="17"/>
      <c r="I1904" s="6"/>
      <c r="J1904" s="6"/>
    </row>
    <row r="1905">
      <c r="A1905" s="16"/>
      <c r="B1905" s="16"/>
      <c r="C1905" s="16"/>
      <c r="D1905" s="16"/>
      <c r="E1905" s="16"/>
      <c r="F1905" s="17"/>
      <c r="G1905" s="17"/>
      <c r="I1905" s="6"/>
      <c r="J1905" s="6"/>
    </row>
    <row r="1906">
      <c r="A1906" s="16"/>
      <c r="B1906" s="16"/>
      <c r="C1906" s="16"/>
      <c r="D1906" s="16"/>
      <c r="E1906" s="16"/>
      <c r="F1906" s="17"/>
      <c r="G1906" s="17"/>
      <c r="I1906" s="6"/>
      <c r="J1906" s="6"/>
    </row>
    <row r="1907">
      <c r="A1907" s="16"/>
      <c r="B1907" s="16"/>
      <c r="C1907" s="16"/>
      <c r="D1907" s="16"/>
      <c r="E1907" s="16"/>
      <c r="F1907" s="17"/>
      <c r="G1907" s="17"/>
      <c r="I1907" s="6"/>
      <c r="J1907" s="6"/>
    </row>
    <row r="1908">
      <c r="A1908" s="16"/>
      <c r="B1908" s="16"/>
      <c r="C1908" s="16"/>
      <c r="D1908" s="16"/>
      <c r="E1908" s="16"/>
      <c r="F1908" s="17"/>
      <c r="G1908" s="17"/>
      <c r="I1908" s="6"/>
      <c r="J1908" s="6"/>
    </row>
    <row r="1909">
      <c r="A1909" s="16"/>
      <c r="B1909" s="16"/>
      <c r="C1909" s="16"/>
      <c r="D1909" s="16"/>
      <c r="E1909" s="16"/>
      <c r="F1909" s="17"/>
      <c r="G1909" s="17"/>
      <c r="I1909" s="6"/>
      <c r="J1909" s="6"/>
    </row>
    <row r="1910">
      <c r="A1910" s="16"/>
      <c r="B1910" s="16"/>
      <c r="C1910" s="16"/>
      <c r="D1910" s="16"/>
      <c r="E1910" s="16"/>
      <c r="F1910" s="17"/>
      <c r="G1910" s="17"/>
      <c r="I1910" s="6"/>
      <c r="J1910" s="6"/>
    </row>
    <row r="1911">
      <c r="A1911" s="16"/>
      <c r="B1911" s="16"/>
      <c r="C1911" s="16"/>
      <c r="D1911" s="16"/>
      <c r="E1911" s="16"/>
      <c r="F1911" s="17"/>
      <c r="G1911" s="17"/>
      <c r="I1911" s="6"/>
      <c r="J1911" s="6"/>
    </row>
    <row r="1912">
      <c r="A1912" s="16"/>
      <c r="B1912" s="16"/>
      <c r="C1912" s="16"/>
      <c r="D1912" s="16"/>
      <c r="E1912" s="16"/>
      <c r="F1912" s="17"/>
      <c r="G1912" s="17"/>
      <c r="I1912" s="6"/>
      <c r="J1912" s="6"/>
    </row>
    <row r="1913">
      <c r="A1913" s="16"/>
      <c r="B1913" s="16"/>
      <c r="C1913" s="16"/>
      <c r="D1913" s="16"/>
      <c r="E1913" s="16"/>
      <c r="F1913" s="17"/>
      <c r="G1913" s="17"/>
      <c r="I1913" s="6"/>
      <c r="J1913" s="6"/>
    </row>
    <row r="1914">
      <c r="A1914" s="16"/>
      <c r="B1914" s="16"/>
      <c r="C1914" s="16"/>
      <c r="D1914" s="16"/>
      <c r="E1914" s="16"/>
      <c r="F1914" s="17"/>
      <c r="G1914" s="17"/>
      <c r="I1914" s="6"/>
      <c r="J1914" s="6"/>
    </row>
    <row r="1915">
      <c r="A1915" s="16"/>
      <c r="B1915" s="16"/>
      <c r="C1915" s="16"/>
      <c r="D1915" s="16"/>
      <c r="E1915" s="16"/>
      <c r="F1915" s="17"/>
      <c r="G1915" s="17"/>
      <c r="I1915" s="6"/>
      <c r="J1915" s="6"/>
    </row>
    <row r="1916">
      <c r="A1916" s="16"/>
      <c r="B1916" s="16"/>
      <c r="C1916" s="16"/>
      <c r="D1916" s="16"/>
      <c r="E1916" s="16"/>
      <c r="F1916" s="17"/>
      <c r="G1916" s="17"/>
      <c r="I1916" s="6"/>
      <c r="J1916" s="6"/>
    </row>
    <row r="1917">
      <c r="A1917" s="16"/>
      <c r="B1917" s="16"/>
      <c r="C1917" s="16"/>
      <c r="D1917" s="16"/>
      <c r="E1917" s="16"/>
      <c r="F1917" s="17"/>
      <c r="G1917" s="17"/>
      <c r="I1917" s="6"/>
      <c r="J1917" s="6"/>
    </row>
    <row r="1918">
      <c r="A1918" s="16"/>
      <c r="B1918" s="16"/>
      <c r="C1918" s="16"/>
      <c r="D1918" s="16"/>
      <c r="E1918" s="16"/>
      <c r="F1918" s="17"/>
      <c r="G1918" s="17"/>
      <c r="I1918" s="6"/>
      <c r="J1918" s="6"/>
    </row>
    <row r="1919">
      <c r="A1919" s="16"/>
      <c r="B1919" s="16"/>
      <c r="C1919" s="16"/>
      <c r="D1919" s="16"/>
      <c r="E1919" s="16"/>
      <c r="F1919" s="17"/>
      <c r="G1919" s="17"/>
      <c r="I1919" s="6"/>
      <c r="J1919" s="6"/>
    </row>
    <row r="1920">
      <c r="A1920" s="16"/>
      <c r="B1920" s="16"/>
      <c r="C1920" s="16"/>
      <c r="D1920" s="16"/>
      <c r="E1920" s="16"/>
      <c r="F1920" s="17"/>
      <c r="G1920" s="17"/>
      <c r="I1920" s="6"/>
      <c r="J1920" s="6"/>
    </row>
    <row r="1921">
      <c r="A1921" s="16"/>
      <c r="B1921" s="16"/>
      <c r="C1921" s="16"/>
      <c r="D1921" s="16"/>
      <c r="E1921" s="16"/>
      <c r="F1921" s="17"/>
      <c r="G1921" s="17"/>
      <c r="I1921" s="6"/>
      <c r="J1921" s="6"/>
    </row>
    <row r="1922">
      <c r="A1922" s="16"/>
      <c r="B1922" s="16"/>
      <c r="C1922" s="16"/>
      <c r="D1922" s="16"/>
      <c r="E1922" s="16"/>
      <c r="F1922" s="17"/>
      <c r="G1922" s="17"/>
      <c r="I1922" s="6"/>
      <c r="J1922" s="6"/>
    </row>
    <row r="1923">
      <c r="A1923" s="16"/>
      <c r="B1923" s="16"/>
      <c r="C1923" s="16"/>
      <c r="D1923" s="16"/>
      <c r="E1923" s="16"/>
      <c r="F1923" s="17"/>
      <c r="G1923" s="17"/>
      <c r="I1923" s="6"/>
      <c r="J1923" s="6"/>
    </row>
    <row r="1924">
      <c r="A1924" s="16"/>
      <c r="B1924" s="16"/>
      <c r="C1924" s="16"/>
      <c r="D1924" s="16"/>
      <c r="E1924" s="16"/>
      <c r="F1924" s="17"/>
      <c r="G1924" s="17"/>
      <c r="I1924" s="6"/>
      <c r="J1924" s="6"/>
    </row>
    <row r="1925">
      <c r="A1925" s="16"/>
      <c r="B1925" s="16"/>
      <c r="C1925" s="16"/>
      <c r="D1925" s="16"/>
      <c r="E1925" s="16"/>
      <c r="F1925" s="17"/>
      <c r="G1925" s="17"/>
      <c r="I1925" s="6"/>
      <c r="J1925" s="6"/>
    </row>
    <row r="1926">
      <c r="A1926" s="16"/>
      <c r="B1926" s="16"/>
      <c r="C1926" s="16"/>
      <c r="D1926" s="16"/>
      <c r="E1926" s="16"/>
      <c r="F1926" s="17"/>
      <c r="G1926" s="17"/>
      <c r="I1926" s="6"/>
      <c r="J1926" s="6"/>
    </row>
    <row r="1927">
      <c r="A1927" s="16"/>
      <c r="B1927" s="16"/>
      <c r="C1927" s="16"/>
      <c r="D1927" s="16"/>
      <c r="E1927" s="16"/>
      <c r="F1927" s="17"/>
      <c r="G1927" s="17"/>
      <c r="I1927" s="6"/>
      <c r="J1927" s="6"/>
    </row>
    <row r="1928">
      <c r="A1928" s="16"/>
      <c r="B1928" s="16"/>
      <c r="C1928" s="16"/>
      <c r="D1928" s="16"/>
      <c r="E1928" s="16"/>
      <c r="F1928" s="17"/>
      <c r="G1928" s="17"/>
      <c r="I1928" s="6"/>
      <c r="J1928" s="6"/>
    </row>
    <row r="1929">
      <c r="A1929" s="16"/>
      <c r="B1929" s="16"/>
      <c r="C1929" s="16"/>
      <c r="D1929" s="16"/>
      <c r="E1929" s="16"/>
      <c r="F1929" s="17"/>
      <c r="G1929" s="17"/>
      <c r="I1929" s="6"/>
      <c r="J1929" s="6"/>
    </row>
    <row r="1930">
      <c r="A1930" s="16"/>
      <c r="B1930" s="16"/>
      <c r="C1930" s="16"/>
      <c r="D1930" s="16"/>
      <c r="E1930" s="16"/>
      <c r="F1930" s="17"/>
      <c r="G1930" s="17"/>
      <c r="I1930" s="6"/>
      <c r="J1930" s="6"/>
    </row>
    <row r="1931">
      <c r="A1931" s="16"/>
      <c r="B1931" s="16"/>
      <c r="C1931" s="16"/>
      <c r="D1931" s="16"/>
      <c r="E1931" s="16"/>
      <c r="F1931" s="17"/>
      <c r="G1931" s="17"/>
      <c r="I1931" s="6"/>
      <c r="J1931" s="6"/>
    </row>
    <row r="1932">
      <c r="A1932" s="16"/>
      <c r="B1932" s="16"/>
      <c r="C1932" s="16"/>
      <c r="D1932" s="16"/>
      <c r="E1932" s="16"/>
      <c r="F1932" s="17"/>
      <c r="G1932" s="17"/>
      <c r="I1932" s="6"/>
      <c r="J1932" s="6"/>
    </row>
    <row r="1933">
      <c r="A1933" s="16"/>
      <c r="B1933" s="16"/>
      <c r="C1933" s="16"/>
      <c r="D1933" s="16"/>
      <c r="E1933" s="16"/>
      <c r="F1933" s="17"/>
      <c r="G1933" s="17"/>
      <c r="I1933" s="6"/>
      <c r="J1933" s="6"/>
    </row>
    <row r="1934">
      <c r="A1934" s="16"/>
      <c r="B1934" s="16"/>
      <c r="C1934" s="16"/>
      <c r="D1934" s="16"/>
      <c r="E1934" s="16"/>
      <c r="F1934" s="17"/>
      <c r="G1934" s="17"/>
      <c r="I1934" s="6"/>
      <c r="J1934" s="6"/>
    </row>
    <row r="1935">
      <c r="A1935" s="16"/>
      <c r="B1935" s="16"/>
      <c r="C1935" s="16"/>
      <c r="D1935" s="16"/>
      <c r="E1935" s="16"/>
      <c r="F1935" s="17"/>
      <c r="G1935" s="17"/>
      <c r="I1935" s="6"/>
      <c r="J1935" s="6"/>
    </row>
    <row r="1936">
      <c r="A1936" s="16"/>
      <c r="B1936" s="16"/>
      <c r="C1936" s="16"/>
      <c r="D1936" s="16"/>
      <c r="E1936" s="16"/>
      <c r="F1936" s="17"/>
      <c r="G1936" s="17"/>
      <c r="I1936" s="6"/>
      <c r="J1936" s="6"/>
    </row>
    <row r="1937">
      <c r="A1937" s="16"/>
      <c r="B1937" s="16"/>
      <c r="C1937" s="16"/>
      <c r="D1937" s="16"/>
      <c r="E1937" s="16"/>
      <c r="F1937" s="17"/>
      <c r="G1937" s="17"/>
      <c r="I1937" s="6"/>
      <c r="J1937" s="6"/>
    </row>
    <row r="1938">
      <c r="A1938" s="16"/>
      <c r="B1938" s="16"/>
      <c r="C1938" s="16"/>
      <c r="D1938" s="16"/>
      <c r="E1938" s="16"/>
      <c r="F1938" s="17"/>
      <c r="G1938" s="17"/>
      <c r="I1938" s="6"/>
      <c r="J1938" s="6"/>
    </row>
    <row r="1939">
      <c r="A1939" s="16"/>
      <c r="B1939" s="16"/>
      <c r="C1939" s="16"/>
      <c r="D1939" s="16"/>
      <c r="E1939" s="16"/>
      <c r="F1939" s="17"/>
      <c r="G1939" s="17"/>
      <c r="I1939" s="6"/>
      <c r="J1939" s="6"/>
    </row>
    <row r="1940">
      <c r="A1940" s="16"/>
      <c r="B1940" s="16"/>
      <c r="C1940" s="16"/>
      <c r="D1940" s="16"/>
      <c r="E1940" s="16"/>
      <c r="F1940" s="17"/>
      <c r="G1940" s="17"/>
      <c r="I1940" s="6"/>
      <c r="J1940" s="6"/>
    </row>
    <row r="1941">
      <c r="A1941" s="16"/>
      <c r="B1941" s="16"/>
      <c r="C1941" s="16"/>
      <c r="D1941" s="16"/>
      <c r="E1941" s="16"/>
      <c r="F1941" s="17"/>
      <c r="G1941" s="17"/>
      <c r="I1941" s="6"/>
      <c r="J1941" s="6"/>
    </row>
    <row r="1942">
      <c r="A1942" s="16"/>
      <c r="B1942" s="16"/>
      <c r="C1942" s="16"/>
      <c r="D1942" s="16"/>
      <c r="E1942" s="16"/>
      <c r="F1942" s="17"/>
      <c r="G1942" s="17"/>
      <c r="I1942" s="6"/>
      <c r="J1942" s="6"/>
    </row>
    <row r="1943">
      <c r="A1943" s="16"/>
      <c r="B1943" s="16"/>
      <c r="C1943" s="16"/>
      <c r="D1943" s="16"/>
      <c r="E1943" s="16"/>
      <c r="F1943" s="17"/>
      <c r="G1943" s="17"/>
      <c r="I1943" s="6"/>
      <c r="J1943" s="6"/>
    </row>
    <row r="1944">
      <c r="A1944" s="16"/>
      <c r="B1944" s="16"/>
      <c r="C1944" s="16"/>
      <c r="D1944" s="16"/>
      <c r="E1944" s="16"/>
      <c r="F1944" s="17"/>
      <c r="G1944" s="17"/>
      <c r="I1944" s="6"/>
      <c r="J1944" s="6"/>
    </row>
    <row r="1945">
      <c r="A1945" s="16"/>
      <c r="B1945" s="16"/>
      <c r="C1945" s="16"/>
      <c r="D1945" s="16"/>
      <c r="E1945" s="16"/>
      <c r="F1945" s="17"/>
      <c r="G1945" s="17"/>
      <c r="I1945" s="6"/>
      <c r="J1945" s="6"/>
    </row>
    <row r="1946">
      <c r="A1946" s="16"/>
      <c r="B1946" s="16"/>
      <c r="C1946" s="16"/>
      <c r="D1946" s="16"/>
      <c r="E1946" s="16"/>
      <c r="F1946" s="17"/>
      <c r="G1946" s="17"/>
      <c r="I1946" s="6"/>
      <c r="J1946" s="6"/>
    </row>
    <row r="1947">
      <c r="A1947" s="16"/>
      <c r="B1947" s="16"/>
      <c r="C1947" s="16"/>
      <c r="D1947" s="16"/>
      <c r="E1947" s="16"/>
      <c r="F1947" s="17"/>
      <c r="G1947" s="17"/>
      <c r="I1947" s="6"/>
      <c r="J1947" s="6"/>
    </row>
    <row r="1948">
      <c r="A1948" s="16"/>
      <c r="B1948" s="16"/>
      <c r="C1948" s="16"/>
      <c r="D1948" s="16"/>
      <c r="E1948" s="16"/>
      <c r="F1948" s="17"/>
      <c r="G1948" s="17"/>
      <c r="I1948" s="6"/>
      <c r="J1948" s="6"/>
    </row>
    <row r="1949">
      <c r="A1949" s="16"/>
      <c r="B1949" s="16"/>
      <c r="C1949" s="16"/>
      <c r="D1949" s="16"/>
      <c r="E1949" s="16"/>
      <c r="F1949" s="17"/>
      <c r="G1949" s="17"/>
      <c r="I1949" s="6"/>
      <c r="J1949" s="6"/>
    </row>
    <row r="1950">
      <c r="A1950" s="16"/>
      <c r="B1950" s="16"/>
      <c r="C1950" s="16"/>
      <c r="D1950" s="16"/>
      <c r="E1950" s="16"/>
      <c r="F1950" s="17"/>
      <c r="G1950" s="17"/>
      <c r="I1950" s="6"/>
      <c r="J1950" s="6"/>
    </row>
    <row r="1951">
      <c r="A1951" s="16"/>
      <c r="B1951" s="16"/>
      <c r="C1951" s="16"/>
      <c r="D1951" s="16"/>
      <c r="E1951" s="16"/>
      <c r="F1951" s="17"/>
      <c r="G1951" s="17"/>
      <c r="I1951" s="6"/>
      <c r="J1951" s="6"/>
    </row>
    <row r="1952">
      <c r="A1952" s="16"/>
      <c r="B1952" s="16"/>
      <c r="C1952" s="16"/>
      <c r="D1952" s="16"/>
      <c r="E1952" s="16"/>
      <c r="F1952" s="17"/>
      <c r="G1952" s="17"/>
      <c r="I1952" s="6"/>
      <c r="J1952" s="6"/>
    </row>
    <row r="1953">
      <c r="A1953" s="16"/>
      <c r="B1953" s="16"/>
      <c r="C1953" s="16"/>
      <c r="D1953" s="16"/>
      <c r="E1953" s="16"/>
      <c r="F1953" s="17"/>
      <c r="G1953" s="17"/>
      <c r="I1953" s="6"/>
      <c r="J1953" s="6"/>
    </row>
    <row r="1954">
      <c r="A1954" s="16"/>
      <c r="B1954" s="16"/>
      <c r="C1954" s="16"/>
      <c r="D1954" s="16"/>
      <c r="E1954" s="16"/>
      <c r="F1954" s="17"/>
      <c r="G1954" s="17"/>
      <c r="I1954" s="6"/>
      <c r="J1954" s="6"/>
    </row>
    <row r="1955">
      <c r="A1955" s="16"/>
      <c r="B1955" s="16"/>
      <c r="C1955" s="16"/>
      <c r="D1955" s="16"/>
      <c r="E1955" s="16"/>
      <c r="F1955" s="17"/>
      <c r="G1955" s="17"/>
      <c r="I1955" s="6"/>
      <c r="J1955" s="6"/>
    </row>
    <row r="1956">
      <c r="A1956" s="16"/>
      <c r="B1956" s="16"/>
      <c r="C1956" s="16"/>
      <c r="D1956" s="16"/>
      <c r="E1956" s="16"/>
      <c r="F1956" s="17"/>
      <c r="G1956" s="17"/>
      <c r="I1956" s="6"/>
      <c r="J1956" s="6"/>
    </row>
    <row r="1957">
      <c r="A1957" s="16"/>
      <c r="B1957" s="16"/>
      <c r="C1957" s="16"/>
      <c r="D1957" s="16"/>
      <c r="E1957" s="16"/>
      <c r="F1957" s="17"/>
      <c r="G1957" s="17"/>
      <c r="I1957" s="6"/>
      <c r="J1957" s="6"/>
    </row>
    <row r="1958">
      <c r="A1958" s="16"/>
      <c r="B1958" s="16"/>
      <c r="C1958" s="16"/>
      <c r="D1958" s="16"/>
      <c r="E1958" s="16"/>
      <c r="F1958" s="17"/>
      <c r="G1958" s="17"/>
      <c r="I1958" s="6"/>
      <c r="J1958" s="6"/>
    </row>
    <row r="1959">
      <c r="A1959" s="16"/>
      <c r="B1959" s="16"/>
      <c r="C1959" s="16"/>
      <c r="D1959" s="16"/>
      <c r="E1959" s="16"/>
      <c r="F1959" s="17"/>
      <c r="G1959" s="17"/>
      <c r="I1959" s="6"/>
      <c r="J1959" s="6"/>
    </row>
    <row r="1960">
      <c r="A1960" s="16"/>
      <c r="B1960" s="16"/>
      <c r="C1960" s="16"/>
      <c r="D1960" s="16"/>
      <c r="E1960" s="16"/>
      <c r="F1960" s="17"/>
      <c r="G1960" s="17"/>
      <c r="I1960" s="6"/>
      <c r="J1960" s="6"/>
    </row>
    <row r="1961">
      <c r="A1961" s="16"/>
      <c r="B1961" s="16"/>
      <c r="C1961" s="16"/>
      <c r="D1961" s="16"/>
      <c r="E1961" s="16"/>
      <c r="F1961" s="17"/>
      <c r="G1961" s="17"/>
      <c r="I1961" s="6"/>
      <c r="J1961" s="6"/>
    </row>
    <row r="1962">
      <c r="A1962" s="16"/>
      <c r="B1962" s="16"/>
      <c r="C1962" s="16"/>
      <c r="D1962" s="16"/>
      <c r="E1962" s="16"/>
      <c r="F1962" s="17"/>
      <c r="G1962" s="17"/>
      <c r="I1962" s="6"/>
      <c r="J1962" s="6"/>
    </row>
    <row r="1963">
      <c r="A1963" s="16"/>
      <c r="B1963" s="16"/>
      <c r="C1963" s="16"/>
      <c r="D1963" s="16"/>
      <c r="E1963" s="16"/>
      <c r="F1963" s="17"/>
      <c r="G1963" s="17"/>
      <c r="I1963" s="6"/>
      <c r="J1963" s="6"/>
    </row>
    <row r="1964">
      <c r="A1964" s="16"/>
      <c r="B1964" s="16"/>
      <c r="C1964" s="16"/>
      <c r="D1964" s="16"/>
      <c r="E1964" s="16"/>
      <c r="F1964" s="17"/>
      <c r="G1964" s="17"/>
      <c r="I1964" s="6"/>
      <c r="J1964" s="6"/>
    </row>
    <row r="1965">
      <c r="A1965" s="16"/>
      <c r="B1965" s="16"/>
      <c r="C1965" s="16"/>
      <c r="D1965" s="16"/>
      <c r="E1965" s="16"/>
      <c r="F1965" s="17"/>
      <c r="G1965" s="17"/>
      <c r="I1965" s="6"/>
      <c r="J1965" s="6"/>
    </row>
    <row r="1966">
      <c r="A1966" s="16"/>
      <c r="B1966" s="16"/>
      <c r="C1966" s="16"/>
      <c r="D1966" s="16"/>
      <c r="E1966" s="16"/>
      <c r="F1966" s="17"/>
      <c r="G1966" s="17"/>
      <c r="I1966" s="6"/>
      <c r="J1966" s="6"/>
    </row>
    <row r="1967">
      <c r="A1967" s="16"/>
      <c r="B1967" s="16"/>
      <c r="C1967" s="16"/>
      <c r="D1967" s="16"/>
      <c r="E1967" s="16"/>
      <c r="F1967" s="17"/>
      <c r="G1967" s="17"/>
      <c r="I1967" s="6"/>
      <c r="J1967" s="6"/>
    </row>
    <row r="1968">
      <c r="A1968" s="16"/>
      <c r="B1968" s="16"/>
      <c r="C1968" s="16"/>
      <c r="D1968" s="16"/>
      <c r="E1968" s="16"/>
      <c r="F1968" s="17"/>
      <c r="G1968" s="17"/>
      <c r="I1968" s="6"/>
      <c r="J1968" s="6"/>
    </row>
    <row r="1969">
      <c r="A1969" s="16"/>
      <c r="B1969" s="16"/>
      <c r="C1969" s="16"/>
      <c r="D1969" s="16"/>
      <c r="E1969" s="16"/>
      <c r="F1969" s="17"/>
      <c r="G1969" s="17"/>
      <c r="I1969" s="6"/>
      <c r="J1969" s="6"/>
    </row>
    <row r="1970">
      <c r="A1970" s="16"/>
      <c r="B1970" s="16"/>
      <c r="C1970" s="16"/>
      <c r="D1970" s="16"/>
      <c r="E1970" s="16"/>
      <c r="F1970" s="17"/>
      <c r="G1970" s="17"/>
      <c r="I1970" s="6"/>
      <c r="J1970" s="6"/>
    </row>
    <row r="1971">
      <c r="A1971" s="16"/>
      <c r="B1971" s="16"/>
      <c r="C1971" s="16"/>
      <c r="D1971" s="16"/>
      <c r="E1971" s="16"/>
      <c r="F1971" s="17"/>
      <c r="G1971" s="17"/>
      <c r="I1971" s="6"/>
      <c r="J1971" s="6"/>
    </row>
    <row r="1972">
      <c r="A1972" s="16"/>
      <c r="B1972" s="16"/>
      <c r="C1972" s="16"/>
      <c r="D1972" s="16"/>
      <c r="E1972" s="16"/>
      <c r="F1972" s="17"/>
      <c r="G1972" s="17"/>
      <c r="I1972" s="6"/>
      <c r="J1972" s="6"/>
    </row>
    <row r="1973">
      <c r="A1973" s="16"/>
      <c r="B1973" s="16"/>
      <c r="C1973" s="16"/>
      <c r="D1973" s="16"/>
      <c r="E1973" s="16"/>
      <c r="F1973" s="17"/>
      <c r="G1973" s="17"/>
      <c r="I1973" s="6"/>
      <c r="J1973" s="6"/>
    </row>
    <row r="1974">
      <c r="A1974" s="16"/>
      <c r="B1974" s="16"/>
      <c r="C1974" s="16"/>
      <c r="D1974" s="16"/>
      <c r="E1974" s="16"/>
      <c r="F1974" s="17"/>
      <c r="G1974" s="17"/>
      <c r="I1974" s="6"/>
      <c r="J1974" s="6"/>
    </row>
    <row r="1975">
      <c r="A1975" s="16"/>
      <c r="B1975" s="16"/>
      <c r="C1975" s="16"/>
      <c r="D1975" s="16"/>
      <c r="E1975" s="16"/>
      <c r="F1975" s="17"/>
      <c r="G1975" s="17"/>
      <c r="I1975" s="6"/>
      <c r="J1975" s="6"/>
    </row>
    <row r="1976">
      <c r="A1976" s="16"/>
      <c r="B1976" s="16"/>
      <c r="C1976" s="16"/>
      <c r="D1976" s="16"/>
      <c r="E1976" s="16"/>
      <c r="F1976" s="17"/>
      <c r="G1976" s="17"/>
      <c r="I1976" s="6"/>
      <c r="J1976" s="6"/>
    </row>
    <row r="1977">
      <c r="A1977" s="16"/>
      <c r="B1977" s="16"/>
      <c r="C1977" s="16"/>
      <c r="D1977" s="16"/>
      <c r="E1977" s="16"/>
      <c r="F1977" s="17"/>
      <c r="G1977" s="17"/>
      <c r="I1977" s="6"/>
      <c r="J1977" s="6"/>
    </row>
    <row r="1978">
      <c r="A1978" s="16"/>
      <c r="B1978" s="16"/>
      <c r="C1978" s="16"/>
      <c r="D1978" s="16"/>
      <c r="E1978" s="16"/>
      <c r="F1978" s="17"/>
      <c r="G1978" s="17"/>
      <c r="I1978" s="6"/>
      <c r="J1978" s="6"/>
    </row>
    <row r="1979">
      <c r="A1979" s="16"/>
      <c r="B1979" s="16"/>
      <c r="C1979" s="16"/>
      <c r="D1979" s="16"/>
      <c r="E1979" s="16"/>
      <c r="F1979" s="17"/>
      <c r="G1979" s="17"/>
      <c r="I1979" s="6"/>
      <c r="J1979" s="6"/>
    </row>
    <row r="1980">
      <c r="A1980" s="16"/>
      <c r="B1980" s="16"/>
      <c r="C1980" s="16"/>
      <c r="D1980" s="16"/>
      <c r="E1980" s="16"/>
      <c r="F1980" s="17"/>
      <c r="G1980" s="17"/>
      <c r="I1980" s="6"/>
      <c r="J1980" s="6"/>
    </row>
    <row r="1981">
      <c r="A1981" s="16"/>
      <c r="B1981" s="16"/>
      <c r="C1981" s="16"/>
      <c r="D1981" s="16"/>
      <c r="E1981" s="16"/>
      <c r="F1981" s="17"/>
      <c r="G1981" s="17"/>
      <c r="I1981" s="6"/>
      <c r="J1981" s="6"/>
    </row>
    <row r="1982">
      <c r="A1982" s="16"/>
      <c r="B1982" s="16"/>
      <c r="C1982" s="16"/>
      <c r="D1982" s="16"/>
      <c r="E1982" s="16"/>
      <c r="F1982" s="17"/>
      <c r="G1982" s="17"/>
      <c r="I1982" s="6"/>
      <c r="J1982" s="6"/>
    </row>
    <row r="1983">
      <c r="A1983" s="16"/>
      <c r="B1983" s="16"/>
      <c r="C1983" s="16"/>
      <c r="D1983" s="16"/>
      <c r="E1983" s="16"/>
      <c r="F1983" s="17"/>
      <c r="G1983" s="17"/>
      <c r="I1983" s="6"/>
      <c r="J1983" s="6"/>
    </row>
    <row r="1984">
      <c r="A1984" s="16"/>
      <c r="B1984" s="16"/>
      <c r="C1984" s="16"/>
      <c r="D1984" s="16"/>
      <c r="E1984" s="16"/>
      <c r="F1984" s="17"/>
      <c r="G1984" s="17"/>
      <c r="I1984" s="6"/>
      <c r="J1984" s="6"/>
    </row>
    <row r="1985">
      <c r="A1985" s="16"/>
      <c r="B1985" s="16"/>
      <c r="C1985" s="16"/>
      <c r="D1985" s="16"/>
      <c r="E1985" s="16"/>
      <c r="F1985" s="17"/>
      <c r="G1985" s="17"/>
      <c r="I1985" s="6"/>
      <c r="J1985" s="6"/>
    </row>
    <row r="1986">
      <c r="A1986" s="16"/>
      <c r="B1986" s="16"/>
      <c r="C1986" s="16"/>
      <c r="D1986" s="16"/>
      <c r="E1986" s="16"/>
      <c r="F1986" s="17"/>
      <c r="G1986" s="17"/>
      <c r="I1986" s="6"/>
      <c r="J1986" s="6"/>
    </row>
    <row r="1987">
      <c r="A1987" s="16"/>
      <c r="B1987" s="16"/>
      <c r="C1987" s="16"/>
      <c r="D1987" s="16"/>
      <c r="E1987" s="16"/>
      <c r="F1987" s="17"/>
      <c r="G1987" s="17"/>
      <c r="I1987" s="6"/>
      <c r="J1987" s="6"/>
    </row>
    <row r="1988">
      <c r="A1988" s="16"/>
      <c r="B1988" s="16"/>
      <c r="C1988" s="16"/>
      <c r="D1988" s="16"/>
      <c r="E1988" s="16"/>
      <c r="F1988" s="17"/>
      <c r="G1988" s="17"/>
      <c r="I1988" s="6"/>
      <c r="J1988" s="6"/>
    </row>
    <row r="1989">
      <c r="A1989" s="16"/>
      <c r="B1989" s="16"/>
      <c r="C1989" s="16"/>
      <c r="D1989" s="16"/>
      <c r="E1989" s="16"/>
      <c r="F1989" s="17"/>
      <c r="G1989" s="17"/>
      <c r="I1989" s="6"/>
      <c r="J1989" s="6"/>
    </row>
    <row r="1990">
      <c r="A1990" s="16"/>
      <c r="B1990" s="16"/>
      <c r="C1990" s="16"/>
      <c r="D1990" s="16"/>
      <c r="E1990" s="16"/>
      <c r="F1990" s="17"/>
      <c r="G1990" s="17"/>
      <c r="I1990" s="6"/>
      <c r="J1990" s="6"/>
    </row>
    <row r="1991">
      <c r="A1991" s="16"/>
      <c r="B1991" s="16"/>
      <c r="C1991" s="16"/>
      <c r="D1991" s="16"/>
      <c r="E1991" s="16"/>
      <c r="F1991" s="17"/>
      <c r="G1991" s="17"/>
      <c r="I1991" s="6"/>
      <c r="J1991" s="6"/>
    </row>
    <row r="1992">
      <c r="A1992" s="16"/>
      <c r="B1992" s="16"/>
      <c r="C1992" s="16"/>
      <c r="D1992" s="16"/>
      <c r="E1992" s="16"/>
      <c r="F1992" s="17"/>
      <c r="G1992" s="17"/>
      <c r="I1992" s="6"/>
      <c r="J1992" s="6"/>
    </row>
    <row r="1993">
      <c r="A1993" s="16"/>
      <c r="B1993" s="16"/>
      <c r="C1993" s="16"/>
      <c r="D1993" s="16"/>
      <c r="E1993" s="16"/>
      <c r="F1993" s="17"/>
      <c r="G1993" s="17"/>
      <c r="I1993" s="6"/>
      <c r="J1993" s="6"/>
    </row>
    <row r="1994">
      <c r="A1994" s="16"/>
      <c r="B1994" s="16"/>
      <c r="C1994" s="16"/>
      <c r="D1994" s="16"/>
      <c r="E1994" s="16"/>
      <c r="F1994" s="17"/>
      <c r="G1994" s="17"/>
      <c r="I1994" s="6"/>
      <c r="J1994" s="6"/>
    </row>
    <row r="1995">
      <c r="A1995" s="16"/>
      <c r="B1995" s="16"/>
      <c r="C1995" s="16"/>
      <c r="D1995" s="16"/>
      <c r="E1995" s="16"/>
      <c r="F1995" s="17"/>
      <c r="G1995" s="17"/>
      <c r="I1995" s="6"/>
      <c r="J1995" s="6"/>
    </row>
    <row r="1996">
      <c r="A1996" s="16"/>
      <c r="B1996" s="16"/>
      <c r="C1996" s="16"/>
      <c r="D1996" s="16"/>
      <c r="E1996" s="16"/>
      <c r="F1996" s="17"/>
      <c r="G1996" s="17"/>
      <c r="I1996" s="6"/>
      <c r="J1996" s="6"/>
    </row>
    <row r="1997">
      <c r="A1997" s="16"/>
      <c r="B1997" s="16"/>
      <c r="C1997" s="16"/>
      <c r="D1997" s="16"/>
      <c r="E1997" s="16"/>
      <c r="F1997" s="17"/>
      <c r="G1997" s="17"/>
      <c r="I1997" s="6"/>
      <c r="J1997" s="6"/>
    </row>
    <row r="1998">
      <c r="A1998" s="16"/>
      <c r="B1998" s="16"/>
      <c r="C1998" s="16"/>
      <c r="D1998" s="16"/>
      <c r="E1998" s="16"/>
      <c r="F1998" s="17"/>
      <c r="G1998" s="17"/>
      <c r="I1998" s="6"/>
      <c r="J1998" s="6"/>
    </row>
    <row r="1999">
      <c r="A1999" s="16"/>
      <c r="B1999" s="16"/>
      <c r="C1999" s="16"/>
      <c r="D1999" s="16"/>
      <c r="E1999" s="16"/>
      <c r="F1999" s="17"/>
      <c r="G1999" s="17"/>
      <c r="I1999" s="6"/>
      <c r="J1999" s="6"/>
    </row>
    <row r="2000">
      <c r="A2000" s="16"/>
      <c r="B2000" s="16"/>
      <c r="C2000" s="16"/>
      <c r="D2000" s="16"/>
      <c r="E2000" s="16"/>
      <c r="F2000" s="17"/>
      <c r="G2000" s="17"/>
      <c r="I2000" s="6"/>
      <c r="J2000" s="6"/>
    </row>
    <row r="2001">
      <c r="A2001" s="16"/>
      <c r="B2001" s="16"/>
      <c r="C2001" s="16"/>
      <c r="D2001" s="16"/>
      <c r="E2001" s="16"/>
      <c r="F2001" s="17"/>
      <c r="G2001" s="17"/>
      <c r="I2001" s="6"/>
      <c r="J2001" s="6"/>
    </row>
    <row r="2002">
      <c r="A2002" s="16"/>
      <c r="B2002" s="16"/>
      <c r="C2002" s="16"/>
      <c r="D2002" s="16"/>
      <c r="E2002" s="16"/>
      <c r="F2002" s="17"/>
      <c r="G2002" s="17"/>
      <c r="I2002" s="6"/>
      <c r="J2002" s="6"/>
    </row>
    <row r="2003">
      <c r="A2003" s="16"/>
      <c r="B2003" s="16"/>
      <c r="C2003" s="16"/>
      <c r="D2003" s="16"/>
      <c r="E2003" s="16"/>
      <c r="F2003" s="17"/>
      <c r="G2003" s="17"/>
      <c r="I2003" s="6"/>
      <c r="J2003" s="6"/>
    </row>
    <row r="2004">
      <c r="A2004" s="16"/>
      <c r="B2004" s="16"/>
      <c r="C2004" s="16"/>
      <c r="D2004" s="16"/>
      <c r="E2004" s="16"/>
      <c r="F2004" s="17"/>
      <c r="G2004" s="17"/>
      <c r="I2004" s="6"/>
      <c r="J2004" s="6"/>
    </row>
    <row r="2005">
      <c r="A2005" s="16"/>
      <c r="B2005" s="16"/>
      <c r="C2005" s="16"/>
      <c r="D2005" s="16"/>
      <c r="E2005" s="16"/>
      <c r="F2005" s="17"/>
      <c r="G2005" s="17"/>
      <c r="I2005" s="6"/>
      <c r="J2005" s="6"/>
    </row>
    <row r="2006">
      <c r="A2006" s="16"/>
      <c r="B2006" s="16"/>
      <c r="C2006" s="16"/>
      <c r="D2006" s="16"/>
      <c r="E2006" s="16"/>
      <c r="F2006" s="17"/>
      <c r="G2006" s="17"/>
      <c r="I2006" s="6"/>
      <c r="J2006" s="6"/>
    </row>
    <row r="2007">
      <c r="A2007" s="16"/>
      <c r="B2007" s="16"/>
      <c r="C2007" s="16"/>
      <c r="D2007" s="16"/>
      <c r="E2007" s="16"/>
      <c r="F2007" s="17"/>
      <c r="G2007" s="17"/>
      <c r="I2007" s="6"/>
      <c r="J2007" s="6"/>
    </row>
    <row r="2008">
      <c r="A2008" s="16"/>
      <c r="B2008" s="16"/>
      <c r="C2008" s="16"/>
      <c r="D2008" s="16"/>
      <c r="E2008" s="16"/>
      <c r="F2008" s="17"/>
      <c r="G2008" s="17"/>
      <c r="I2008" s="6"/>
      <c r="J2008" s="6"/>
    </row>
    <row r="2009">
      <c r="A2009" s="16"/>
      <c r="B2009" s="16"/>
      <c r="C2009" s="16"/>
      <c r="D2009" s="16"/>
      <c r="E2009" s="16"/>
      <c r="F2009" s="17"/>
      <c r="G2009" s="17"/>
      <c r="I2009" s="6"/>
      <c r="J2009" s="6"/>
    </row>
    <row r="2010">
      <c r="A2010" s="16"/>
      <c r="B2010" s="16"/>
      <c r="C2010" s="16"/>
      <c r="D2010" s="16"/>
      <c r="E2010" s="16"/>
      <c r="F2010" s="17"/>
      <c r="G2010" s="17"/>
      <c r="I2010" s="6"/>
      <c r="J2010" s="6"/>
    </row>
    <row r="2011">
      <c r="A2011" s="16"/>
      <c r="B2011" s="16"/>
      <c r="C2011" s="16"/>
      <c r="D2011" s="16"/>
      <c r="E2011" s="16"/>
      <c r="F2011" s="17"/>
      <c r="G2011" s="17"/>
      <c r="I2011" s="6"/>
      <c r="J2011" s="6"/>
    </row>
    <row r="2012">
      <c r="A2012" s="16"/>
      <c r="B2012" s="16"/>
      <c r="C2012" s="16"/>
      <c r="D2012" s="16"/>
      <c r="E2012" s="16"/>
      <c r="F2012" s="17"/>
      <c r="G2012" s="17"/>
      <c r="I2012" s="6"/>
      <c r="J2012" s="6"/>
    </row>
    <row r="2013">
      <c r="A2013" s="16"/>
      <c r="B2013" s="16"/>
      <c r="C2013" s="16"/>
      <c r="D2013" s="16"/>
      <c r="E2013" s="16"/>
      <c r="F2013" s="17"/>
      <c r="G2013" s="17"/>
      <c r="I2013" s="6"/>
      <c r="J2013" s="6"/>
    </row>
    <row r="2014">
      <c r="A2014" s="16"/>
      <c r="B2014" s="16"/>
      <c r="C2014" s="16"/>
      <c r="D2014" s="16"/>
      <c r="E2014" s="16"/>
      <c r="F2014" s="17"/>
      <c r="G2014" s="17"/>
      <c r="I2014" s="6"/>
      <c r="J2014" s="6"/>
    </row>
    <row r="2015">
      <c r="A2015" s="16"/>
      <c r="B2015" s="16"/>
      <c r="C2015" s="16"/>
      <c r="D2015" s="16"/>
      <c r="E2015" s="16"/>
      <c r="F2015" s="17"/>
      <c r="G2015" s="17"/>
      <c r="I2015" s="6"/>
      <c r="J2015" s="6"/>
    </row>
    <row r="2016">
      <c r="A2016" s="16"/>
      <c r="B2016" s="16"/>
      <c r="C2016" s="16"/>
      <c r="D2016" s="16"/>
      <c r="E2016" s="16"/>
      <c r="F2016" s="17"/>
      <c r="G2016" s="17"/>
      <c r="I2016" s="6"/>
      <c r="J2016" s="6"/>
    </row>
    <row r="2017">
      <c r="A2017" s="16"/>
      <c r="B2017" s="16"/>
      <c r="C2017" s="16"/>
      <c r="D2017" s="16"/>
      <c r="E2017" s="16"/>
      <c r="F2017" s="17"/>
      <c r="G2017" s="17"/>
      <c r="I2017" s="6"/>
      <c r="J2017" s="6"/>
    </row>
    <row r="2018">
      <c r="A2018" s="16"/>
      <c r="B2018" s="16"/>
      <c r="C2018" s="16"/>
      <c r="D2018" s="16"/>
      <c r="E2018" s="16"/>
      <c r="F2018" s="17"/>
      <c r="G2018" s="17"/>
      <c r="I2018" s="6"/>
      <c r="J2018" s="6"/>
    </row>
    <row r="2019">
      <c r="A2019" s="16"/>
      <c r="B2019" s="16"/>
      <c r="C2019" s="16"/>
      <c r="D2019" s="16"/>
      <c r="E2019" s="16"/>
      <c r="F2019" s="17"/>
      <c r="G2019" s="17"/>
      <c r="I2019" s="6"/>
      <c r="J2019" s="6"/>
    </row>
    <row r="2020">
      <c r="A2020" s="16"/>
      <c r="B2020" s="16"/>
      <c r="C2020" s="16"/>
      <c r="D2020" s="16"/>
      <c r="E2020" s="16"/>
      <c r="F2020" s="17"/>
      <c r="G2020" s="17"/>
      <c r="I2020" s="6"/>
      <c r="J2020" s="6"/>
    </row>
    <row r="2021">
      <c r="A2021" s="16"/>
      <c r="B2021" s="16"/>
      <c r="C2021" s="16"/>
      <c r="D2021" s="16"/>
      <c r="E2021" s="16"/>
      <c r="F2021" s="17"/>
      <c r="G2021" s="17"/>
      <c r="I2021" s="6"/>
      <c r="J2021" s="6"/>
    </row>
    <row r="2022">
      <c r="A2022" s="16"/>
      <c r="B2022" s="16"/>
      <c r="C2022" s="16"/>
      <c r="D2022" s="16"/>
      <c r="E2022" s="16"/>
      <c r="F2022" s="17"/>
      <c r="G2022" s="17"/>
      <c r="I2022" s="6"/>
      <c r="J2022" s="6"/>
    </row>
    <row r="2023">
      <c r="A2023" s="16"/>
      <c r="B2023" s="16"/>
      <c r="C2023" s="16"/>
      <c r="D2023" s="16"/>
      <c r="E2023" s="16"/>
      <c r="F2023" s="17"/>
      <c r="G2023" s="17"/>
      <c r="I2023" s="6"/>
      <c r="J2023" s="6"/>
    </row>
    <row r="2024">
      <c r="A2024" s="16"/>
      <c r="B2024" s="16"/>
      <c r="C2024" s="16"/>
      <c r="D2024" s="16"/>
      <c r="E2024" s="16"/>
      <c r="F2024" s="17"/>
      <c r="G2024" s="17"/>
      <c r="I2024" s="6"/>
      <c r="J2024" s="6"/>
    </row>
    <row r="2025">
      <c r="A2025" s="16"/>
      <c r="B2025" s="16"/>
      <c r="C2025" s="16"/>
      <c r="D2025" s="16"/>
      <c r="E2025" s="16"/>
      <c r="F2025" s="17"/>
      <c r="G2025" s="17"/>
      <c r="I2025" s="6"/>
      <c r="J2025" s="6"/>
    </row>
    <row r="2026">
      <c r="A2026" s="16"/>
      <c r="B2026" s="16"/>
      <c r="C2026" s="16"/>
      <c r="D2026" s="16"/>
      <c r="E2026" s="16"/>
      <c r="F2026" s="17"/>
      <c r="G2026" s="17"/>
      <c r="I2026" s="6"/>
      <c r="J2026" s="6"/>
    </row>
    <row r="2027">
      <c r="A2027" s="16"/>
      <c r="B2027" s="16"/>
      <c r="C2027" s="16"/>
      <c r="D2027" s="16"/>
      <c r="E2027" s="16"/>
      <c r="F2027" s="17"/>
      <c r="G2027" s="17"/>
      <c r="I2027" s="6"/>
      <c r="J2027" s="6"/>
    </row>
    <row r="2028">
      <c r="A2028" s="16"/>
      <c r="B2028" s="16"/>
      <c r="C2028" s="16"/>
      <c r="D2028" s="16"/>
      <c r="E2028" s="16"/>
      <c r="F2028" s="17"/>
      <c r="G2028" s="17"/>
      <c r="I2028" s="6"/>
      <c r="J2028" s="6"/>
    </row>
    <row r="2029">
      <c r="A2029" s="16"/>
      <c r="B2029" s="16"/>
      <c r="C2029" s="16"/>
      <c r="D2029" s="16"/>
      <c r="E2029" s="16"/>
      <c r="F2029" s="17"/>
      <c r="G2029" s="17"/>
      <c r="I2029" s="6"/>
      <c r="J2029" s="6"/>
    </row>
    <row r="2030">
      <c r="A2030" s="16"/>
      <c r="B2030" s="16"/>
      <c r="C2030" s="16"/>
      <c r="D2030" s="16"/>
      <c r="E2030" s="16"/>
      <c r="F2030" s="17"/>
      <c r="G2030" s="17"/>
      <c r="I2030" s="6"/>
      <c r="J2030" s="6"/>
    </row>
    <row r="2031">
      <c r="A2031" s="16"/>
      <c r="B2031" s="16"/>
      <c r="C2031" s="16"/>
      <c r="D2031" s="16"/>
      <c r="E2031" s="16"/>
      <c r="F2031" s="17"/>
      <c r="G2031" s="17"/>
      <c r="I2031" s="6"/>
      <c r="J2031" s="6"/>
    </row>
    <row r="2032">
      <c r="A2032" s="16"/>
      <c r="B2032" s="16"/>
      <c r="C2032" s="16"/>
      <c r="D2032" s="16"/>
      <c r="E2032" s="16"/>
      <c r="F2032" s="17"/>
      <c r="G2032" s="17"/>
      <c r="I2032" s="6"/>
      <c r="J2032" s="6"/>
    </row>
    <row r="2033">
      <c r="A2033" s="16"/>
      <c r="B2033" s="16"/>
      <c r="C2033" s="16"/>
      <c r="D2033" s="16"/>
      <c r="E2033" s="16"/>
      <c r="F2033" s="17"/>
      <c r="G2033" s="17"/>
      <c r="I2033" s="6"/>
      <c r="J2033" s="6"/>
    </row>
    <row r="2034">
      <c r="A2034" s="16"/>
      <c r="B2034" s="16"/>
      <c r="C2034" s="16"/>
      <c r="D2034" s="16"/>
      <c r="E2034" s="16"/>
      <c r="F2034" s="17"/>
      <c r="G2034" s="17"/>
      <c r="I2034" s="6"/>
      <c r="J2034" s="6"/>
    </row>
    <row r="2035">
      <c r="A2035" s="16"/>
      <c r="B2035" s="16"/>
      <c r="C2035" s="16"/>
      <c r="D2035" s="16"/>
      <c r="E2035" s="16"/>
      <c r="F2035" s="17"/>
      <c r="G2035" s="17"/>
      <c r="I2035" s="6"/>
      <c r="J2035" s="6"/>
    </row>
    <row r="2036">
      <c r="A2036" s="16"/>
      <c r="B2036" s="16"/>
      <c r="C2036" s="16"/>
      <c r="D2036" s="16"/>
      <c r="E2036" s="16"/>
      <c r="F2036" s="17"/>
      <c r="G2036" s="17"/>
      <c r="I2036" s="6"/>
      <c r="J2036" s="6"/>
    </row>
    <row r="2037">
      <c r="A2037" s="16"/>
      <c r="B2037" s="16"/>
      <c r="C2037" s="16"/>
      <c r="D2037" s="16"/>
      <c r="E2037" s="16"/>
      <c r="F2037" s="17"/>
      <c r="G2037" s="17"/>
      <c r="I2037" s="6"/>
      <c r="J2037" s="6"/>
    </row>
    <row r="2038">
      <c r="A2038" s="16"/>
      <c r="B2038" s="16"/>
      <c r="C2038" s="16"/>
      <c r="D2038" s="16"/>
      <c r="E2038" s="16"/>
      <c r="F2038" s="17"/>
      <c r="G2038" s="17"/>
      <c r="I2038" s="6"/>
      <c r="J2038" s="6"/>
    </row>
    <row r="2039">
      <c r="A2039" s="16"/>
      <c r="B2039" s="16"/>
      <c r="C2039" s="16"/>
      <c r="D2039" s="16"/>
      <c r="E2039" s="16"/>
      <c r="F2039" s="17"/>
      <c r="G2039" s="17"/>
      <c r="I2039" s="6"/>
      <c r="J2039" s="6"/>
    </row>
    <row r="2040">
      <c r="A2040" s="16"/>
      <c r="B2040" s="16"/>
      <c r="C2040" s="16"/>
      <c r="D2040" s="16"/>
      <c r="E2040" s="16"/>
      <c r="F2040" s="17"/>
      <c r="G2040" s="17"/>
      <c r="I2040" s="6"/>
      <c r="J2040" s="6"/>
    </row>
    <row r="2041">
      <c r="A2041" s="16"/>
      <c r="B2041" s="16"/>
      <c r="C2041" s="16"/>
      <c r="D2041" s="16"/>
      <c r="E2041" s="16"/>
      <c r="F2041" s="17"/>
      <c r="G2041" s="17"/>
      <c r="I2041" s="6"/>
      <c r="J2041" s="6"/>
    </row>
    <row r="2042">
      <c r="A2042" s="16"/>
      <c r="B2042" s="16"/>
      <c r="C2042" s="16"/>
      <c r="D2042" s="16"/>
      <c r="E2042" s="16"/>
      <c r="F2042" s="17"/>
      <c r="G2042" s="17"/>
      <c r="I2042" s="6"/>
      <c r="J2042" s="6"/>
    </row>
    <row r="2043">
      <c r="A2043" s="16"/>
      <c r="B2043" s="16"/>
      <c r="C2043" s="16"/>
      <c r="D2043" s="16"/>
      <c r="E2043" s="16"/>
      <c r="F2043" s="17"/>
      <c r="G2043" s="17"/>
      <c r="I2043" s="6"/>
      <c r="J2043" s="6"/>
    </row>
    <row r="2044">
      <c r="A2044" s="16"/>
      <c r="B2044" s="16"/>
      <c r="C2044" s="16"/>
      <c r="D2044" s="16"/>
      <c r="E2044" s="16"/>
      <c r="F2044" s="17"/>
      <c r="G2044" s="17"/>
      <c r="I2044" s="6"/>
      <c r="J2044" s="6"/>
    </row>
    <row r="2045">
      <c r="A2045" s="16"/>
      <c r="B2045" s="16"/>
      <c r="C2045" s="16"/>
      <c r="D2045" s="16"/>
      <c r="E2045" s="16"/>
      <c r="F2045" s="17"/>
      <c r="G2045" s="17"/>
      <c r="I2045" s="6"/>
      <c r="J2045" s="6"/>
    </row>
    <row r="2046">
      <c r="A2046" s="16"/>
      <c r="B2046" s="16"/>
      <c r="C2046" s="16"/>
      <c r="D2046" s="16"/>
      <c r="E2046" s="16"/>
      <c r="F2046" s="17"/>
      <c r="G2046" s="17"/>
      <c r="I2046" s="6"/>
      <c r="J2046" s="6"/>
    </row>
    <row r="2047">
      <c r="A2047" s="16"/>
      <c r="B2047" s="16"/>
      <c r="C2047" s="16"/>
      <c r="D2047" s="16"/>
      <c r="E2047" s="16"/>
      <c r="F2047" s="17"/>
      <c r="G2047" s="17"/>
      <c r="I2047" s="6"/>
      <c r="J2047" s="6"/>
    </row>
    <row r="2048">
      <c r="A2048" s="16"/>
      <c r="B2048" s="16"/>
      <c r="C2048" s="16"/>
      <c r="D2048" s="16"/>
      <c r="E2048" s="16"/>
      <c r="F2048" s="17"/>
      <c r="G2048" s="17"/>
      <c r="I2048" s="6"/>
      <c r="J2048" s="6"/>
    </row>
    <row r="2049">
      <c r="A2049" s="16"/>
      <c r="B2049" s="16"/>
      <c r="C2049" s="16"/>
      <c r="D2049" s="16"/>
      <c r="E2049" s="16"/>
      <c r="F2049" s="17"/>
      <c r="G2049" s="17"/>
      <c r="I2049" s="6"/>
      <c r="J2049" s="6"/>
    </row>
    <row r="2050">
      <c r="A2050" s="16"/>
      <c r="B2050" s="16"/>
      <c r="C2050" s="16"/>
      <c r="D2050" s="16"/>
      <c r="E2050" s="16"/>
      <c r="F2050" s="17"/>
      <c r="G2050" s="17"/>
      <c r="I2050" s="6"/>
      <c r="J2050" s="6"/>
    </row>
    <row r="2051">
      <c r="A2051" s="16"/>
      <c r="B2051" s="16"/>
      <c r="C2051" s="16"/>
      <c r="D2051" s="16"/>
      <c r="E2051" s="16"/>
      <c r="F2051" s="17"/>
      <c r="G2051" s="17"/>
      <c r="I2051" s="6"/>
      <c r="J2051" s="6"/>
    </row>
    <row r="2052">
      <c r="A2052" s="16"/>
      <c r="B2052" s="16"/>
      <c r="C2052" s="16"/>
      <c r="D2052" s="16"/>
      <c r="E2052" s="16"/>
      <c r="F2052" s="17"/>
      <c r="G2052" s="17"/>
      <c r="I2052" s="6"/>
      <c r="J2052" s="6"/>
    </row>
    <row r="2053">
      <c r="A2053" s="16"/>
      <c r="B2053" s="16"/>
      <c r="C2053" s="16"/>
      <c r="D2053" s="16"/>
      <c r="E2053" s="16"/>
      <c r="F2053" s="17"/>
      <c r="G2053" s="17"/>
      <c r="I2053" s="6"/>
      <c r="J2053" s="6"/>
    </row>
    <row r="2054">
      <c r="A2054" s="16"/>
      <c r="B2054" s="16"/>
      <c r="C2054" s="16"/>
      <c r="D2054" s="16"/>
      <c r="E2054" s="16"/>
      <c r="F2054" s="17"/>
      <c r="G2054" s="17"/>
      <c r="I2054" s="6"/>
      <c r="J2054" s="6"/>
    </row>
    <row r="2055">
      <c r="A2055" s="16"/>
      <c r="B2055" s="16"/>
      <c r="C2055" s="16"/>
      <c r="D2055" s="16"/>
      <c r="E2055" s="16"/>
      <c r="F2055" s="17"/>
      <c r="G2055" s="17"/>
      <c r="I2055" s="6"/>
      <c r="J2055" s="6"/>
    </row>
    <row r="2056">
      <c r="A2056" s="16"/>
      <c r="B2056" s="16"/>
      <c r="C2056" s="16"/>
      <c r="D2056" s="16"/>
      <c r="E2056" s="16"/>
      <c r="F2056" s="17"/>
      <c r="G2056" s="17"/>
      <c r="I2056" s="6"/>
      <c r="J2056" s="6"/>
    </row>
    <row r="2057">
      <c r="A2057" s="16"/>
      <c r="B2057" s="16"/>
      <c r="C2057" s="16"/>
      <c r="D2057" s="16"/>
      <c r="E2057" s="16"/>
      <c r="F2057" s="17"/>
      <c r="G2057" s="17"/>
      <c r="I2057" s="6"/>
      <c r="J2057" s="6"/>
    </row>
    <row r="2058">
      <c r="A2058" s="16"/>
      <c r="B2058" s="16"/>
      <c r="C2058" s="16"/>
      <c r="D2058" s="16"/>
      <c r="E2058" s="16"/>
      <c r="F2058" s="17"/>
      <c r="G2058" s="17"/>
      <c r="I2058" s="6"/>
      <c r="J2058" s="6"/>
    </row>
    <row r="2059">
      <c r="A2059" s="16"/>
      <c r="B2059" s="16"/>
      <c r="C2059" s="16"/>
      <c r="D2059" s="16"/>
      <c r="E2059" s="16"/>
      <c r="F2059" s="17"/>
      <c r="G2059" s="17"/>
      <c r="I2059" s="6"/>
      <c r="J2059" s="6"/>
    </row>
    <row r="2060">
      <c r="A2060" s="16"/>
      <c r="B2060" s="16"/>
      <c r="C2060" s="16"/>
      <c r="D2060" s="16"/>
      <c r="E2060" s="16"/>
      <c r="F2060" s="17"/>
      <c r="G2060" s="17"/>
      <c r="I2060" s="6"/>
      <c r="J2060" s="6"/>
    </row>
    <row r="2061">
      <c r="A2061" s="16"/>
      <c r="B2061" s="16"/>
      <c r="C2061" s="16"/>
      <c r="D2061" s="16"/>
      <c r="E2061" s="16"/>
      <c r="F2061" s="17"/>
      <c r="G2061" s="17"/>
      <c r="I2061" s="6"/>
      <c r="J2061" s="6"/>
    </row>
    <row r="2062">
      <c r="A2062" s="16"/>
      <c r="B2062" s="16"/>
      <c r="C2062" s="16"/>
      <c r="D2062" s="16"/>
      <c r="E2062" s="16"/>
      <c r="F2062" s="17"/>
      <c r="G2062" s="17"/>
      <c r="I2062" s="6"/>
      <c r="J2062" s="6"/>
    </row>
    <row r="2063">
      <c r="A2063" s="16"/>
      <c r="B2063" s="16"/>
      <c r="C2063" s="16"/>
      <c r="D2063" s="16"/>
      <c r="E2063" s="16"/>
      <c r="F2063" s="17"/>
      <c r="G2063" s="17"/>
      <c r="I2063" s="6"/>
      <c r="J2063" s="6"/>
    </row>
    <row r="2064">
      <c r="A2064" s="16"/>
      <c r="B2064" s="16"/>
      <c r="C2064" s="16"/>
      <c r="D2064" s="16"/>
      <c r="E2064" s="16"/>
      <c r="F2064" s="17"/>
      <c r="G2064" s="17"/>
      <c r="I2064" s="6"/>
      <c r="J2064" s="6"/>
    </row>
    <row r="2065">
      <c r="A2065" s="16"/>
      <c r="B2065" s="16"/>
      <c r="C2065" s="16"/>
      <c r="D2065" s="16"/>
      <c r="E2065" s="16"/>
      <c r="F2065" s="17"/>
      <c r="G2065" s="17"/>
      <c r="I2065" s="6"/>
      <c r="J2065" s="6"/>
    </row>
    <row r="2066">
      <c r="A2066" s="16"/>
      <c r="B2066" s="16"/>
      <c r="C2066" s="16"/>
      <c r="D2066" s="16"/>
      <c r="E2066" s="16"/>
      <c r="F2066" s="17"/>
      <c r="G2066" s="17"/>
      <c r="I2066" s="6"/>
      <c r="J2066" s="6"/>
    </row>
    <row r="2067">
      <c r="A2067" s="16"/>
      <c r="B2067" s="16"/>
      <c r="C2067" s="16"/>
      <c r="D2067" s="16"/>
      <c r="E2067" s="16"/>
      <c r="F2067" s="17"/>
      <c r="G2067" s="17"/>
      <c r="I2067" s="6"/>
      <c r="J2067" s="6"/>
    </row>
    <row r="2068">
      <c r="A2068" s="16"/>
      <c r="B2068" s="16"/>
      <c r="C2068" s="16"/>
      <c r="D2068" s="16"/>
      <c r="E2068" s="16"/>
      <c r="F2068" s="17"/>
      <c r="G2068" s="17"/>
      <c r="I2068" s="6"/>
      <c r="J2068" s="6"/>
    </row>
    <row r="2069">
      <c r="A2069" s="16"/>
      <c r="B2069" s="16"/>
      <c r="C2069" s="16"/>
      <c r="D2069" s="16"/>
      <c r="E2069" s="16"/>
      <c r="F2069" s="17"/>
      <c r="G2069" s="17"/>
      <c r="I2069" s="6"/>
      <c r="J2069" s="6"/>
    </row>
    <row r="2070">
      <c r="A2070" s="16"/>
      <c r="B2070" s="16"/>
      <c r="C2070" s="16"/>
      <c r="D2070" s="16"/>
      <c r="E2070" s="16"/>
      <c r="F2070" s="17"/>
      <c r="G2070" s="17"/>
      <c r="I2070" s="6"/>
      <c r="J2070" s="6"/>
    </row>
    <row r="2071">
      <c r="A2071" s="16"/>
      <c r="B2071" s="16"/>
      <c r="C2071" s="16"/>
      <c r="D2071" s="16"/>
      <c r="E2071" s="16"/>
      <c r="F2071" s="17"/>
      <c r="G2071" s="17"/>
      <c r="I2071" s="6"/>
      <c r="J2071" s="6"/>
    </row>
    <row r="2072">
      <c r="A2072" s="16"/>
      <c r="B2072" s="16"/>
      <c r="C2072" s="16"/>
      <c r="D2072" s="16"/>
      <c r="E2072" s="16"/>
      <c r="F2072" s="17"/>
      <c r="G2072" s="17"/>
      <c r="I2072" s="6"/>
      <c r="J2072" s="6"/>
    </row>
    <row r="2073">
      <c r="A2073" s="16"/>
      <c r="B2073" s="16"/>
      <c r="C2073" s="16"/>
      <c r="D2073" s="16"/>
      <c r="E2073" s="16"/>
      <c r="F2073" s="17"/>
      <c r="G2073" s="17"/>
      <c r="I2073" s="6"/>
      <c r="J2073" s="6"/>
    </row>
    <row r="2074">
      <c r="A2074" s="16"/>
      <c r="B2074" s="16"/>
      <c r="C2074" s="16"/>
      <c r="D2074" s="16"/>
      <c r="E2074" s="16"/>
      <c r="F2074" s="17"/>
      <c r="G2074" s="17"/>
      <c r="I2074" s="6"/>
      <c r="J2074" s="6"/>
    </row>
    <row r="2075">
      <c r="A2075" s="16"/>
      <c r="B2075" s="16"/>
      <c r="C2075" s="16"/>
      <c r="D2075" s="16"/>
      <c r="E2075" s="16"/>
      <c r="F2075" s="17"/>
      <c r="G2075" s="17"/>
      <c r="I2075" s="6"/>
      <c r="J2075" s="6"/>
    </row>
    <row r="2076">
      <c r="A2076" s="16"/>
      <c r="B2076" s="16"/>
      <c r="C2076" s="16"/>
      <c r="D2076" s="16"/>
      <c r="E2076" s="16"/>
      <c r="F2076" s="17"/>
      <c r="G2076" s="17"/>
      <c r="I2076" s="6"/>
      <c r="J2076" s="6"/>
    </row>
    <row r="2077">
      <c r="A2077" s="16"/>
      <c r="B2077" s="16"/>
      <c r="C2077" s="16"/>
      <c r="D2077" s="16"/>
      <c r="E2077" s="16"/>
      <c r="F2077" s="17"/>
      <c r="G2077" s="17"/>
      <c r="I2077" s="6"/>
      <c r="J2077" s="6"/>
    </row>
    <row r="2078">
      <c r="A2078" s="16"/>
      <c r="B2078" s="16"/>
      <c r="C2078" s="16"/>
      <c r="D2078" s="16"/>
      <c r="E2078" s="16"/>
      <c r="F2078" s="17"/>
      <c r="G2078" s="17"/>
      <c r="I2078" s="6"/>
      <c r="J2078" s="6"/>
    </row>
    <row r="2079">
      <c r="A2079" s="16"/>
      <c r="B2079" s="16"/>
      <c r="C2079" s="16"/>
      <c r="D2079" s="16"/>
      <c r="E2079" s="16"/>
      <c r="F2079" s="17"/>
      <c r="G2079" s="17"/>
      <c r="I2079" s="6"/>
      <c r="J2079" s="6"/>
    </row>
    <row r="2080">
      <c r="A2080" s="16"/>
      <c r="B2080" s="16"/>
      <c r="C2080" s="16"/>
      <c r="D2080" s="16"/>
      <c r="E2080" s="16"/>
      <c r="F2080" s="17"/>
      <c r="G2080" s="17"/>
      <c r="I2080" s="6"/>
      <c r="J2080" s="6"/>
    </row>
    <row r="2081">
      <c r="A2081" s="16"/>
      <c r="B2081" s="16"/>
      <c r="C2081" s="16"/>
      <c r="D2081" s="16"/>
      <c r="E2081" s="16"/>
      <c r="F2081" s="17"/>
      <c r="G2081" s="17"/>
      <c r="I2081" s="6"/>
      <c r="J2081" s="6"/>
    </row>
    <row r="2082">
      <c r="A2082" s="16"/>
      <c r="B2082" s="16"/>
      <c r="C2082" s="16"/>
      <c r="D2082" s="16"/>
      <c r="E2082" s="16"/>
      <c r="F2082" s="17"/>
      <c r="G2082" s="17"/>
      <c r="I2082" s="6"/>
      <c r="J2082" s="6"/>
    </row>
    <row r="2083">
      <c r="A2083" s="16"/>
      <c r="B2083" s="16"/>
      <c r="C2083" s="16"/>
      <c r="D2083" s="16"/>
      <c r="E2083" s="16"/>
      <c r="F2083" s="17"/>
      <c r="G2083" s="17"/>
      <c r="I2083" s="6"/>
      <c r="J2083" s="6"/>
    </row>
    <row r="2084">
      <c r="A2084" s="16"/>
      <c r="B2084" s="16"/>
      <c r="C2084" s="16"/>
      <c r="D2084" s="16"/>
      <c r="E2084" s="16"/>
      <c r="F2084" s="17"/>
      <c r="G2084" s="17"/>
      <c r="I2084" s="6"/>
      <c r="J2084" s="6"/>
    </row>
    <row r="2085">
      <c r="A2085" s="16"/>
      <c r="B2085" s="16"/>
      <c r="C2085" s="16"/>
      <c r="D2085" s="16"/>
      <c r="E2085" s="16"/>
      <c r="F2085" s="17"/>
      <c r="G2085" s="17"/>
      <c r="I2085" s="6"/>
      <c r="J2085" s="6"/>
    </row>
    <row r="2086">
      <c r="A2086" s="16"/>
      <c r="B2086" s="16"/>
      <c r="C2086" s="16"/>
      <c r="D2086" s="16"/>
      <c r="E2086" s="16"/>
      <c r="F2086" s="17"/>
      <c r="G2086" s="17"/>
      <c r="I2086" s="6"/>
      <c r="J2086" s="6"/>
    </row>
    <row r="2087">
      <c r="A2087" s="16"/>
      <c r="B2087" s="16"/>
      <c r="C2087" s="16"/>
      <c r="D2087" s="16"/>
      <c r="E2087" s="16"/>
      <c r="F2087" s="17"/>
      <c r="G2087" s="17"/>
      <c r="I2087" s="6"/>
      <c r="J2087" s="6"/>
    </row>
    <row r="2088">
      <c r="A2088" s="16"/>
      <c r="B2088" s="16"/>
      <c r="C2088" s="16"/>
      <c r="D2088" s="16"/>
      <c r="E2088" s="16"/>
      <c r="F2088" s="17"/>
      <c r="G2088" s="17"/>
      <c r="I2088" s="6"/>
      <c r="J2088" s="6"/>
    </row>
    <row r="2089">
      <c r="A2089" s="16"/>
      <c r="B2089" s="16"/>
      <c r="C2089" s="16"/>
      <c r="D2089" s="16"/>
      <c r="E2089" s="16"/>
      <c r="F2089" s="17"/>
      <c r="G2089" s="17"/>
      <c r="I2089" s="6"/>
      <c r="J2089" s="6"/>
    </row>
    <row r="2090">
      <c r="A2090" s="16"/>
      <c r="B2090" s="16"/>
      <c r="C2090" s="16"/>
      <c r="D2090" s="16"/>
      <c r="E2090" s="16"/>
      <c r="F2090" s="17"/>
      <c r="G2090" s="17"/>
      <c r="I2090" s="6"/>
      <c r="J2090" s="6"/>
    </row>
    <row r="2091">
      <c r="A2091" s="16"/>
      <c r="B2091" s="16"/>
      <c r="C2091" s="16"/>
      <c r="D2091" s="16"/>
      <c r="E2091" s="16"/>
      <c r="F2091" s="17"/>
      <c r="G2091" s="17"/>
      <c r="I2091" s="6"/>
      <c r="J2091" s="6"/>
    </row>
    <row r="2092">
      <c r="A2092" s="16"/>
      <c r="B2092" s="16"/>
      <c r="C2092" s="16"/>
      <c r="D2092" s="16"/>
      <c r="E2092" s="16"/>
      <c r="F2092" s="17"/>
      <c r="G2092" s="17"/>
      <c r="I2092" s="6"/>
      <c r="J2092" s="6"/>
    </row>
    <row r="2093">
      <c r="A2093" s="16"/>
      <c r="B2093" s="16"/>
      <c r="C2093" s="16"/>
      <c r="D2093" s="16"/>
      <c r="E2093" s="16"/>
      <c r="F2093" s="17"/>
      <c r="G2093" s="17"/>
      <c r="I2093" s="6"/>
      <c r="J2093" s="6"/>
    </row>
    <row r="2094">
      <c r="A2094" s="16"/>
      <c r="B2094" s="16"/>
      <c r="C2094" s="16"/>
      <c r="D2094" s="16"/>
      <c r="E2094" s="16"/>
      <c r="F2094" s="17"/>
      <c r="G2094" s="17"/>
      <c r="I2094" s="6"/>
      <c r="J2094" s="6"/>
    </row>
    <row r="2095">
      <c r="A2095" s="16"/>
      <c r="B2095" s="16"/>
      <c r="C2095" s="16"/>
      <c r="D2095" s="16"/>
      <c r="E2095" s="16"/>
      <c r="F2095" s="17"/>
      <c r="G2095" s="17"/>
      <c r="I2095" s="6"/>
      <c r="J2095" s="6"/>
    </row>
    <row r="2096">
      <c r="A2096" s="16"/>
      <c r="B2096" s="16"/>
      <c r="C2096" s="16"/>
      <c r="D2096" s="16"/>
      <c r="E2096" s="16"/>
      <c r="F2096" s="17"/>
      <c r="G2096" s="17"/>
      <c r="I2096" s="6"/>
      <c r="J2096" s="6"/>
    </row>
    <row r="2097">
      <c r="A2097" s="16"/>
      <c r="B2097" s="16"/>
      <c r="C2097" s="16"/>
      <c r="D2097" s="16"/>
      <c r="E2097" s="16"/>
      <c r="F2097" s="17"/>
      <c r="G2097" s="17"/>
      <c r="I2097" s="6"/>
      <c r="J2097" s="6"/>
    </row>
    <row r="2098">
      <c r="A2098" s="16"/>
      <c r="B2098" s="16"/>
      <c r="C2098" s="16"/>
      <c r="D2098" s="16"/>
      <c r="E2098" s="16"/>
      <c r="F2098" s="17"/>
      <c r="G2098" s="17"/>
      <c r="I2098" s="6"/>
      <c r="J2098" s="6"/>
    </row>
    <row r="2099">
      <c r="A2099" s="16"/>
      <c r="B2099" s="16"/>
      <c r="C2099" s="16"/>
      <c r="D2099" s="16"/>
      <c r="E2099" s="16"/>
      <c r="F2099" s="17"/>
      <c r="G2099" s="17"/>
      <c r="I2099" s="6"/>
      <c r="J2099" s="6"/>
    </row>
    <row r="2100">
      <c r="A2100" s="16"/>
      <c r="B2100" s="16"/>
      <c r="C2100" s="16"/>
      <c r="D2100" s="16"/>
      <c r="E2100" s="16"/>
      <c r="F2100" s="17"/>
      <c r="G2100" s="17"/>
      <c r="I2100" s="6"/>
      <c r="J2100" s="6"/>
    </row>
    <row r="2101">
      <c r="A2101" s="16"/>
      <c r="B2101" s="16"/>
      <c r="C2101" s="16"/>
      <c r="D2101" s="16"/>
      <c r="E2101" s="16"/>
      <c r="F2101" s="17"/>
      <c r="G2101" s="17"/>
      <c r="I2101" s="6"/>
      <c r="J2101" s="6"/>
    </row>
    <row r="2102">
      <c r="A2102" s="16"/>
      <c r="B2102" s="16"/>
      <c r="C2102" s="16"/>
      <c r="D2102" s="16"/>
      <c r="E2102" s="16"/>
      <c r="F2102" s="17"/>
      <c r="G2102" s="17"/>
      <c r="I2102" s="6"/>
      <c r="J2102" s="6"/>
    </row>
    <row r="2103">
      <c r="A2103" s="16"/>
      <c r="B2103" s="16"/>
      <c r="C2103" s="16"/>
      <c r="D2103" s="16"/>
      <c r="E2103" s="16"/>
      <c r="F2103" s="17"/>
      <c r="G2103" s="17"/>
      <c r="I2103" s="6"/>
      <c r="J2103" s="6"/>
    </row>
    <row r="2104">
      <c r="A2104" s="16"/>
      <c r="B2104" s="16"/>
      <c r="C2104" s="16"/>
      <c r="D2104" s="16"/>
      <c r="E2104" s="16"/>
      <c r="F2104" s="17"/>
      <c r="G2104" s="17"/>
      <c r="I2104" s="6"/>
      <c r="J2104" s="6"/>
    </row>
    <row r="2105">
      <c r="A2105" s="16"/>
      <c r="B2105" s="16"/>
      <c r="C2105" s="16"/>
      <c r="D2105" s="16"/>
      <c r="E2105" s="16"/>
      <c r="F2105" s="17"/>
      <c r="G2105" s="17"/>
      <c r="I2105" s="6"/>
      <c r="J2105" s="6"/>
    </row>
    <row r="2106">
      <c r="A2106" s="16"/>
      <c r="B2106" s="16"/>
      <c r="C2106" s="16"/>
      <c r="D2106" s="16"/>
      <c r="E2106" s="16"/>
      <c r="F2106" s="17"/>
      <c r="G2106" s="17"/>
      <c r="I2106" s="6"/>
      <c r="J2106" s="6"/>
    </row>
    <row r="2107">
      <c r="A2107" s="16"/>
      <c r="B2107" s="16"/>
      <c r="C2107" s="16"/>
      <c r="D2107" s="16"/>
      <c r="E2107" s="16"/>
      <c r="F2107" s="17"/>
      <c r="G2107" s="17"/>
      <c r="I2107" s="6"/>
      <c r="J2107" s="6"/>
    </row>
    <row r="2108">
      <c r="A2108" s="16"/>
      <c r="B2108" s="16"/>
      <c r="C2108" s="16"/>
      <c r="D2108" s="16"/>
      <c r="E2108" s="16"/>
      <c r="F2108" s="17"/>
      <c r="G2108" s="17"/>
      <c r="I2108" s="6"/>
      <c r="J2108" s="6"/>
    </row>
    <row r="2109">
      <c r="A2109" s="16"/>
      <c r="B2109" s="16"/>
      <c r="C2109" s="16"/>
      <c r="D2109" s="16"/>
      <c r="E2109" s="16"/>
      <c r="F2109" s="17"/>
      <c r="G2109" s="17"/>
      <c r="I2109" s="6"/>
      <c r="J2109" s="6"/>
    </row>
    <row r="2110">
      <c r="A2110" s="16"/>
      <c r="B2110" s="16"/>
      <c r="C2110" s="16"/>
      <c r="D2110" s="16"/>
      <c r="E2110" s="16"/>
      <c r="F2110" s="17"/>
      <c r="G2110" s="17"/>
      <c r="I2110" s="6"/>
      <c r="J2110" s="6"/>
    </row>
    <row r="2111">
      <c r="A2111" s="16"/>
      <c r="B2111" s="16"/>
      <c r="C2111" s="16"/>
      <c r="D2111" s="16"/>
      <c r="E2111" s="16"/>
      <c r="F2111" s="17"/>
      <c r="G2111" s="17"/>
      <c r="I2111" s="6"/>
      <c r="J2111" s="6"/>
    </row>
    <row r="2112">
      <c r="A2112" s="16"/>
      <c r="B2112" s="16"/>
      <c r="C2112" s="16"/>
      <c r="D2112" s="16"/>
      <c r="E2112" s="16"/>
      <c r="F2112" s="17"/>
      <c r="G2112" s="17"/>
      <c r="I2112" s="6"/>
      <c r="J2112" s="6"/>
    </row>
    <row r="2113">
      <c r="A2113" s="16"/>
      <c r="B2113" s="16"/>
      <c r="C2113" s="16"/>
      <c r="D2113" s="16"/>
      <c r="E2113" s="16"/>
      <c r="F2113" s="17"/>
      <c r="G2113" s="17"/>
      <c r="I2113" s="6"/>
      <c r="J2113" s="6"/>
    </row>
    <row r="2114">
      <c r="A2114" s="16"/>
      <c r="B2114" s="16"/>
      <c r="C2114" s="16"/>
      <c r="D2114" s="16"/>
      <c r="E2114" s="16"/>
      <c r="F2114" s="17"/>
      <c r="G2114" s="17"/>
      <c r="I2114" s="6"/>
      <c r="J2114" s="6"/>
    </row>
    <row r="2115">
      <c r="A2115" s="16"/>
      <c r="B2115" s="16"/>
      <c r="C2115" s="16"/>
      <c r="D2115" s="16"/>
      <c r="E2115" s="16"/>
      <c r="F2115" s="17"/>
      <c r="G2115" s="17"/>
      <c r="I2115" s="6"/>
      <c r="J2115" s="6"/>
    </row>
    <row r="2116">
      <c r="A2116" s="16"/>
      <c r="B2116" s="16"/>
      <c r="C2116" s="16"/>
      <c r="D2116" s="16"/>
      <c r="E2116" s="16"/>
      <c r="F2116" s="17"/>
      <c r="G2116" s="17"/>
      <c r="I2116" s="6"/>
      <c r="J2116" s="6"/>
    </row>
    <row r="2117">
      <c r="A2117" s="16"/>
      <c r="B2117" s="16"/>
      <c r="C2117" s="16"/>
      <c r="D2117" s="16"/>
      <c r="E2117" s="16"/>
      <c r="F2117" s="17"/>
      <c r="G2117" s="17"/>
      <c r="I2117" s="6"/>
      <c r="J2117" s="6"/>
    </row>
    <row r="2118">
      <c r="A2118" s="16"/>
      <c r="B2118" s="16"/>
      <c r="C2118" s="16"/>
      <c r="D2118" s="16"/>
      <c r="E2118" s="16"/>
      <c r="F2118" s="17"/>
      <c r="G2118" s="17"/>
      <c r="I2118" s="6"/>
      <c r="J2118" s="6"/>
    </row>
    <row r="2119">
      <c r="A2119" s="16"/>
      <c r="B2119" s="16"/>
      <c r="C2119" s="16"/>
      <c r="D2119" s="16"/>
      <c r="E2119" s="16"/>
      <c r="F2119" s="17"/>
      <c r="G2119" s="17"/>
      <c r="I2119" s="6"/>
      <c r="J2119" s="6"/>
    </row>
    <row r="2120">
      <c r="A2120" s="16"/>
      <c r="B2120" s="16"/>
      <c r="C2120" s="16"/>
      <c r="D2120" s="16"/>
      <c r="E2120" s="16"/>
      <c r="F2120" s="17"/>
      <c r="G2120" s="17"/>
      <c r="I2120" s="6"/>
      <c r="J2120" s="6"/>
    </row>
    <row r="2121">
      <c r="A2121" s="16"/>
      <c r="B2121" s="16"/>
      <c r="C2121" s="16"/>
      <c r="D2121" s="16"/>
      <c r="E2121" s="16"/>
      <c r="F2121" s="17"/>
      <c r="G2121" s="17"/>
      <c r="I2121" s="6"/>
      <c r="J2121" s="6"/>
    </row>
    <row r="2122">
      <c r="A2122" s="16"/>
      <c r="B2122" s="16"/>
      <c r="C2122" s="16"/>
      <c r="D2122" s="16"/>
      <c r="E2122" s="16"/>
      <c r="F2122" s="17"/>
      <c r="G2122" s="17"/>
      <c r="I2122" s="6"/>
      <c r="J2122" s="6"/>
    </row>
    <row r="2123">
      <c r="A2123" s="16"/>
      <c r="B2123" s="16"/>
      <c r="C2123" s="16"/>
      <c r="D2123" s="16"/>
      <c r="E2123" s="16"/>
      <c r="F2123" s="17"/>
      <c r="G2123" s="17"/>
      <c r="I2123" s="6"/>
      <c r="J2123" s="6"/>
    </row>
    <row r="2124">
      <c r="A2124" s="16"/>
      <c r="B2124" s="16"/>
      <c r="C2124" s="16"/>
      <c r="D2124" s="16"/>
      <c r="E2124" s="16"/>
      <c r="F2124" s="17"/>
      <c r="G2124" s="17"/>
      <c r="I2124" s="6"/>
      <c r="J2124" s="6"/>
    </row>
    <row r="2125">
      <c r="A2125" s="16"/>
      <c r="B2125" s="16"/>
      <c r="C2125" s="16"/>
      <c r="D2125" s="16"/>
      <c r="E2125" s="16"/>
      <c r="F2125" s="17"/>
      <c r="G2125" s="17"/>
      <c r="I2125" s="6"/>
      <c r="J2125" s="6"/>
    </row>
    <row r="2126">
      <c r="A2126" s="16"/>
      <c r="B2126" s="16"/>
      <c r="C2126" s="16"/>
      <c r="D2126" s="16"/>
      <c r="E2126" s="16"/>
      <c r="F2126" s="17"/>
      <c r="G2126" s="17"/>
      <c r="I2126" s="6"/>
      <c r="J2126" s="6"/>
    </row>
    <row r="2127">
      <c r="A2127" s="16"/>
      <c r="B2127" s="16"/>
      <c r="C2127" s="16"/>
      <c r="D2127" s="16"/>
      <c r="E2127" s="16"/>
      <c r="F2127" s="17"/>
      <c r="G2127" s="17"/>
      <c r="I2127" s="6"/>
      <c r="J2127" s="6"/>
    </row>
    <row r="2128">
      <c r="A2128" s="16"/>
      <c r="B2128" s="16"/>
      <c r="C2128" s="16"/>
      <c r="D2128" s="16"/>
      <c r="E2128" s="16"/>
      <c r="F2128" s="17"/>
      <c r="G2128" s="17"/>
      <c r="I2128" s="6"/>
      <c r="J2128" s="6"/>
    </row>
    <row r="2129">
      <c r="A2129" s="16"/>
      <c r="B2129" s="16"/>
      <c r="C2129" s="16"/>
      <c r="D2129" s="16"/>
      <c r="E2129" s="16"/>
      <c r="F2129" s="17"/>
      <c r="G2129" s="17"/>
      <c r="I2129" s="6"/>
      <c r="J2129" s="6"/>
    </row>
    <row r="2130">
      <c r="A2130" s="16"/>
      <c r="B2130" s="16"/>
      <c r="C2130" s="16"/>
      <c r="D2130" s="16"/>
      <c r="E2130" s="16"/>
      <c r="F2130" s="17"/>
      <c r="G2130" s="17"/>
      <c r="I2130" s="6"/>
      <c r="J2130" s="6"/>
    </row>
    <row r="2131">
      <c r="A2131" s="16"/>
      <c r="B2131" s="16"/>
      <c r="C2131" s="16"/>
      <c r="D2131" s="16"/>
      <c r="E2131" s="16"/>
      <c r="F2131" s="17"/>
      <c r="G2131" s="17"/>
      <c r="I2131" s="6"/>
      <c r="J2131" s="6"/>
    </row>
    <row r="2132">
      <c r="A2132" s="16"/>
      <c r="B2132" s="16"/>
      <c r="C2132" s="16"/>
      <c r="D2132" s="16"/>
      <c r="E2132" s="16"/>
      <c r="F2132" s="17"/>
      <c r="G2132" s="17"/>
      <c r="I2132" s="6"/>
      <c r="J2132" s="6"/>
    </row>
    <row r="2133">
      <c r="A2133" s="16"/>
      <c r="B2133" s="16"/>
      <c r="C2133" s="16"/>
      <c r="D2133" s="16"/>
      <c r="E2133" s="16"/>
      <c r="F2133" s="17"/>
      <c r="G2133" s="17"/>
      <c r="I2133" s="6"/>
      <c r="J2133" s="6"/>
    </row>
    <row r="2134">
      <c r="A2134" s="16"/>
      <c r="B2134" s="16"/>
      <c r="C2134" s="16"/>
      <c r="D2134" s="16"/>
      <c r="E2134" s="16"/>
      <c r="F2134" s="17"/>
      <c r="G2134" s="17"/>
      <c r="I2134" s="6"/>
      <c r="J2134" s="6"/>
    </row>
    <row r="2135">
      <c r="A2135" s="16"/>
      <c r="B2135" s="16"/>
      <c r="C2135" s="16"/>
      <c r="D2135" s="16"/>
      <c r="E2135" s="16"/>
      <c r="F2135" s="17"/>
      <c r="G2135" s="17"/>
      <c r="I2135" s="6"/>
      <c r="J2135" s="6"/>
    </row>
    <row r="2136">
      <c r="A2136" s="16"/>
      <c r="B2136" s="16"/>
      <c r="C2136" s="16"/>
      <c r="D2136" s="16"/>
      <c r="E2136" s="16"/>
      <c r="F2136" s="17"/>
      <c r="G2136" s="17"/>
      <c r="I2136" s="6"/>
      <c r="J2136" s="6"/>
    </row>
    <row r="2137">
      <c r="A2137" s="16"/>
      <c r="B2137" s="16"/>
      <c r="C2137" s="16"/>
      <c r="D2137" s="16"/>
      <c r="E2137" s="16"/>
      <c r="F2137" s="17"/>
      <c r="G2137" s="17"/>
      <c r="I2137" s="6"/>
      <c r="J2137" s="6"/>
    </row>
    <row r="2138">
      <c r="A2138" s="16"/>
      <c r="B2138" s="16"/>
      <c r="C2138" s="16"/>
      <c r="D2138" s="16"/>
      <c r="E2138" s="16"/>
      <c r="F2138" s="17"/>
      <c r="G2138" s="17"/>
      <c r="I2138" s="6"/>
      <c r="J2138" s="6"/>
    </row>
    <row r="2139">
      <c r="A2139" s="16"/>
      <c r="B2139" s="16"/>
      <c r="C2139" s="16"/>
      <c r="D2139" s="16"/>
      <c r="E2139" s="16"/>
      <c r="F2139" s="17"/>
      <c r="G2139" s="17"/>
      <c r="I2139" s="6"/>
      <c r="J2139" s="6"/>
    </row>
    <row r="2140">
      <c r="A2140" s="16"/>
      <c r="B2140" s="16"/>
      <c r="C2140" s="16"/>
      <c r="D2140" s="16"/>
      <c r="E2140" s="16"/>
      <c r="F2140" s="17"/>
      <c r="G2140" s="17"/>
      <c r="I2140" s="6"/>
      <c r="J2140" s="6"/>
    </row>
    <row r="2141">
      <c r="A2141" s="16"/>
      <c r="B2141" s="16"/>
      <c r="C2141" s="16"/>
      <c r="D2141" s="16"/>
      <c r="E2141" s="16"/>
      <c r="F2141" s="17"/>
      <c r="G2141" s="17"/>
      <c r="I2141" s="6"/>
      <c r="J2141" s="6"/>
    </row>
    <row r="2142">
      <c r="A2142" s="16"/>
      <c r="B2142" s="16"/>
      <c r="C2142" s="16"/>
      <c r="D2142" s="16"/>
      <c r="E2142" s="16"/>
      <c r="F2142" s="17"/>
      <c r="G2142" s="17"/>
      <c r="I2142" s="6"/>
      <c r="J2142" s="6"/>
    </row>
    <row r="2143">
      <c r="A2143" s="16"/>
      <c r="B2143" s="16"/>
      <c r="C2143" s="16"/>
      <c r="D2143" s="16"/>
      <c r="E2143" s="16"/>
      <c r="F2143" s="17"/>
      <c r="G2143" s="17"/>
      <c r="I2143" s="6"/>
      <c r="J2143" s="6"/>
    </row>
    <row r="2144">
      <c r="A2144" s="16"/>
      <c r="B2144" s="16"/>
      <c r="C2144" s="16"/>
      <c r="D2144" s="16"/>
      <c r="E2144" s="16"/>
      <c r="F2144" s="17"/>
      <c r="G2144" s="17"/>
      <c r="I2144" s="6"/>
      <c r="J2144" s="6"/>
    </row>
    <row r="2145">
      <c r="A2145" s="16"/>
      <c r="B2145" s="16"/>
      <c r="C2145" s="16"/>
      <c r="D2145" s="16"/>
      <c r="E2145" s="16"/>
      <c r="F2145" s="17"/>
      <c r="G2145" s="17"/>
      <c r="I2145" s="6"/>
      <c r="J2145" s="6"/>
    </row>
    <row r="2146">
      <c r="A2146" s="16"/>
      <c r="B2146" s="16"/>
      <c r="C2146" s="16"/>
      <c r="D2146" s="16"/>
      <c r="E2146" s="16"/>
      <c r="F2146" s="17"/>
      <c r="G2146" s="17"/>
      <c r="I2146" s="6"/>
      <c r="J2146" s="6"/>
    </row>
    <row r="2147">
      <c r="A2147" s="16"/>
      <c r="B2147" s="16"/>
      <c r="C2147" s="16"/>
      <c r="D2147" s="16"/>
      <c r="E2147" s="16"/>
      <c r="F2147" s="17"/>
      <c r="G2147" s="17"/>
      <c r="I2147" s="6"/>
      <c r="J2147" s="6"/>
    </row>
    <row r="2148">
      <c r="A2148" s="16"/>
      <c r="B2148" s="16"/>
      <c r="C2148" s="16"/>
      <c r="D2148" s="16"/>
      <c r="E2148" s="16"/>
      <c r="F2148" s="17"/>
      <c r="G2148" s="17"/>
      <c r="I2148" s="6"/>
      <c r="J2148" s="6"/>
    </row>
    <row r="2149">
      <c r="A2149" s="16"/>
      <c r="B2149" s="16"/>
      <c r="C2149" s="16"/>
      <c r="D2149" s="16"/>
      <c r="E2149" s="16"/>
      <c r="F2149" s="17"/>
      <c r="G2149" s="17"/>
      <c r="I2149" s="6"/>
      <c r="J2149" s="6"/>
    </row>
    <row r="2150">
      <c r="A2150" s="16"/>
      <c r="B2150" s="16"/>
      <c r="C2150" s="16"/>
      <c r="D2150" s="16"/>
      <c r="E2150" s="16"/>
      <c r="F2150" s="17"/>
      <c r="G2150" s="17"/>
      <c r="I2150" s="6"/>
      <c r="J2150" s="6"/>
    </row>
    <row r="2151">
      <c r="A2151" s="16"/>
      <c r="B2151" s="16"/>
      <c r="C2151" s="16"/>
      <c r="D2151" s="16"/>
      <c r="E2151" s="16"/>
      <c r="F2151" s="17"/>
      <c r="G2151" s="17"/>
      <c r="I2151" s="6"/>
      <c r="J2151" s="6"/>
    </row>
    <row r="2152">
      <c r="A2152" s="16"/>
      <c r="B2152" s="16"/>
      <c r="C2152" s="16"/>
      <c r="D2152" s="16"/>
      <c r="E2152" s="16"/>
      <c r="F2152" s="17"/>
      <c r="G2152" s="17"/>
      <c r="I2152" s="6"/>
      <c r="J2152" s="6"/>
    </row>
    <row r="2153">
      <c r="A2153" s="16"/>
      <c r="B2153" s="16"/>
      <c r="C2153" s="16"/>
      <c r="D2153" s="16"/>
      <c r="E2153" s="16"/>
      <c r="F2153" s="17"/>
      <c r="G2153" s="17"/>
      <c r="I2153" s="6"/>
      <c r="J2153" s="6"/>
    </row>
    <row r="2154">
      <c r="A2154" s="16"/>
      <c r="B2154" s="16"/>
      <c r="C2154" s="16"/>
      <c r="D2154" s="16"/>
      <c r="E2154" s="16"/>
      <c r="F2154" s="17"/>
      <c r="G2154" s="17"/>
      <c r="I2154" s="6"/>
      <c r="J2154" s="6"/>
    </row>
    <row r="2155">
      <c r="A2155" s="16"/>
      <c r="B2155" s="16"/>
      <c r="C2155" s="16"/>
      <c r="D2155" s="16"/>
      <c r="E2155" s="16"/>
      <c r="F2155" s="17"/>
      <c r="G2155" s="17"/>
      <c r="I2155" s="6"/>
      <c r="J2155" s="6"/>
    </row>
    <row r="2156">
      <c r="A2156" s="16"/>
      <c r="B2156" s="16"/>
      <c r="C2156" s="16"/>
      <c r="D2156" s="16"/>
      <c r="E2156" s="16"/>
      <c r="F2156" s="17"/>
      <c r="G2156" s="17"/>
      <c r="I2156" s="6"/>
      <c r="J2156" s="6"/>
    </row>
    <row r="2157">
      <c r="A2157" s="16"/>
      <c r="B2157" s="16"/>
      <c r="C2157" s="16"/>
      <c r="D2157" s="16"/>
      <c r="E2157" s="16"/>
      <c r="F2157" s="17"/>
      <c r="G2157" s="17"/>
      <c r="I2157" s="6"/>
      <c r="J2157" s="6"/>
    </row>
    <row r="2158">
      <c r="A2158" s="16"/>
      <c r="B2158" s="16"/>
      <c r="C2158" s="16"/>
      <c r="D2158" s="16"/>
      <c r="E2158" s="16"/>
      <c r="F2158" s="17"/>
      <c r="G2158" s="17"/>
      <c r="I2158" s="6"/>
      <c r="J2158" s="6"/>
    </row>
    <row r="2159">
      <c r="A2159" s="16"/>
      <c r="B2159" s="16"/>
      <c r="C2159" s="16"/>
      <c r="D2159" s="16"/>
      <c r="E2159" s="16"/>
      <c r="F2159" s="17"/>
      <c r="G2159" s="17"/>
      <c r="I2159" s="6"/>
      <c r="J2159" s="6"/>
    </row>
    <row r="2160">
      <c r="A2160" s="16"/>
      <c r="B2160" s="16"/>
      <c r="C2160" s="16"/>
      <c r="D2160" s="16"/>
      <c r="E2160" s="16"/>
      <c r="F2160" s="17"/>
      <c r="G2160" s="17"/>
      <c r="I2160" s="6"/>
      <c r="J2160" s="6"/>
    </row>
    <row r="2161">
      <c r="A2161" s="16"/>
      <c r="B2161" s="16"/>
      <c r="C2161" s="16"/>
      <c r="D2161" s="16"/>
      <c r="E2161" s="16"/>
      <c r="F2161" s="17"/>
      <c r="G2161" s="17"/>
      <c r="I2161" s="6"/>
      <c r="J2161" s="6"/>
    </row>
    <row r="2162">
      <c r="A2162" s="16"/>
      <c r="B2162" s="16"/>
      <c r="C2162" s="16"/>
      <c r="D2162" s="16"/>
      <c r="E2162" s="16"/>
      <c r="F2162" s="17"/>
      <c r="G2162" s="17"/>
      <c r="I2162" s="6"/>
      <c r="J2162" s="6"/>
    </row>
    <row r="2163">
      <c r="A2163" s="16"/>
      <c r="B2163" s="16"/>
      <c r="C2163" s="16"/>
      <c r="D2163" s="16"/>
      <c r="E2163" s="16"/>
      <c r="F2163" s="17"/>
      <c r="G2163" s="17"/>
      <c r="I2163" s="6"/>
      <c r="J2163" s="6"/>
    </row>
    <row r="2164">
      <c r="A2164" s="16"/>
      <c r="B2164" s="16"/>
      <c r="C2164" s="16"/>
      <c r="D2164" s="16"/>
      <c r="E2164" s="16"/>
      <c r="F2164" s="17"/>
      <c r="G2164" s="17"/>
      <c r="I2164" s="6"/>
      <c r="J2164" s="6"/>
    </row>
    <row r="2165">
      <c r="A2165" s="16"/>
      <c r="B2165" s="16"/>
      <c r="C2165" s="16"/>
      <c r="D2165" s="16"/>
      <c r="E2165" s="16"/>
      <c r="F2165" s="17"/>
      <c r="G2165" s="17"/>
      <c r="I2165" s="6"/>
      <c r="J2165" s="6"/>
    </row>
    <row r="2166">
      <c r="A2166" s="16"/>
      <c r="B2166" s="16"/>
      <c r="C2166" s="16"/>
      <c r="D2166" s="16"/>
      <c r="E2166" s="16"/>
      <c r="F2166" s="17"/>
      <c r="G2166" s="17"/>
      <c r="I2166" s="6"/>
      <c r="J2166" s="6"/>
    </row>
    <row r="2167">
      <c r="A2167" s="16"/>
      <c r="B2167" s="16"/>
      <c r="C2167" s="16"/>
      <c r="D2167" s="16"/>
      <c r="E2167" s="16"/>
      <c r="F2167" s="17"/>
      <c r="G2167" s="17"/>
      <c r="I2167" s="6"/>
      <c r="J2167" s="6"/>
    </row>
    <row r="2168">
      <c r="A2168" s="16"/>
      <c r="B2168" s="16"/>
      <c r="C2168" s="16"/>
      <c r="D2168" s="16"/>
      <c r="E2168" s="16"/>
      <c r="F2168" s="17"/>
      <c r="G2168" s="17"/>
      <c r="I2168" s="6"/>
      <c r="J2168" s="6"/>
    </row>
    <row r="2169">
      <c r="A2169" s="16"/>
      <c r="B2169" s="16"/>
      <c r="C2169" s="16"/>
      <c r="D2169" s="16"/>
      <c r="E2169" s="16"/>
      <c r="F2169" s="17"/>
      <c r="G2169" s="17"/>
      <c r="I2169" s="6"/>
      <c r="J2169" s="6"/>
    </row>
    <row r="2170">
      <c r="A2170" s="16"/>
      <c r="B2170" s="16"/>
      <c r="C2170" s="16"/>
      <c r="D2170" s="16"/>
      <c r="E2170" s="16"/>
      <c r="F2170" s="17"/>
      <c r="G2170" s="17"/>
      <c r="I2170" s="6"/>
      <c r="J2170" s="6"/>
    </row>
    <row r="2171">
      <c r="A2171" s="16"/>
      <c r="B2171" s="16"/>
      <c r="C2171" s="16"/>
      <c r="D2171" s="16"/>
      <c r="E2171" s="16"/>
      <c r="F2171" s="17"/>
      <c r="G2171" s="17"/>
      <c r="I2171" s="6"/>
      <c r="J2171" s="6"/>
    </row>
    <row r="2172">
      <c r="A2172" s="16"/>
      <c r="B2172" s="16"/>
      <c r="C2172" s="16"/>
      <c r="D2172" s="16"/>
      <c r="E2172" s="16"/>
      <c r="F2172" s="17"/>
      <c r="G2172" s="17"/>
      <c r="I2172" s="6"/>
      <c r="J2172" s="6"/>
    </row>
    <row r="2173">
      <c r="A2173" s="16"/>
      <c r="B2173" s="16"/>
      <c r="C2173" s="16"/>
      <c r="D2173" s="16"/>
      <c r="E2173" s="16"/>
      <c r="F2173" s="17"/>
      <c r="G2173" s="17"/>
      <c r="I2173" s="6"/>
      <c r="J2173" s="6"/>
    </row>
    <row r="2174">
      <c r="A2174" s="16"/>
      <c r="B2174" s="16"/>
      <c r="C2174" s="16"/>
      <c r="D2174" s="16"/>
      <c r="E2174" s="16"/>
      <c r="F2174" s="17"/>
      <c r="G2174" s="17"/>
      <c r="I2174" s="6"/>
      <c r="J2174" s="6"/>
    </row>
    <row r="2175">
      <c r="A2175" s="16"/>
      <c r="B2175" s="16"/>
      <c r="C2175" s="16"/>
      <c r="D2175" s="16"/>
      <c r="E2175" s="16"/>
      <c r="F2175" s="17"/>
      <c r="G2175" s="17"/>
      <c r="I2175" s="6"/>
      <c r="J2175" s="6"/>
    </row>
    <row r="2176">
      <c r="A2176" s="16"/>
      <c r="B2176" s="16"/>
      <c r="C2176" s="16"/>
      <c r="D2176" s="16"/>
      <c r="E2176" s="16"/>
      <c r="F2176" s="17"/>
      <c r="G2176" s="17"/>
      <c r="I2176" s="6"/>
      <c r="J2176" s="6"/>
    </row>
    <row r="2177">
      <c r="A2177" s="16"/>
      <c r="B2177" s="16"/>
      <c r="C2177" s="16"/>
      <c r="D2177" s="16"/>
      <c r="E2177" s="16"/>
      <c r="F2177" s="17"/>
      <c r="G2177" s="17"/>
      <c r="I2177" s="6"/>
      <c r="J2177" s="6"/>
    </row>
    <row r="2178">
      <c r="A2178" s="16"/>
      <c r="B2178" s="16"/>
      <c r="C2178" s="16"/>
      <c r="D2178" s="16"/>
      <c r="E2178" s="16"/>
      <c r="F2178" s="17"/>
      <c r="G2178" s="17"/>
      <c r="I2178" s="6"/>
      <c r="J2178" s="6"/>
    </row>
    <row r="2179">
      <c r="A2179" s="16"/>
      <c r="B2179" s="16"/>
      <c r="C2179" s="16"/>
      <c r="D2179" s="16"/>
      <c r="E2179" s="16"/>
      <c r="F2179" s="17"/>
      <c r="G2179" s="17"/>
      <c r="I2179" s="6"/>
      <c r="J2179" s="6"/>
    </row>
    <row r="2180">
      <c r="A2180" s="16"/>
      <c r="B2180" s="16"/>
      <c r="C2180" s="16"/>
      <c r="D2180" s="16"/>
      <c r="E2180" s="16"/>
      <c r="F2180" s="17"/>
      <c r="G2180" s="17"/>
      <c r="I2180" s="6"/>
      <c r="J2180" s="6"/>
    </row>
    <row r="2181">
      <c r="A2181" s="16"/>
      <c r="B2181" s="16"/>
      <c r="C2181" s="16"/>
      <c r="D2181" s="16"/>
      <c r="E2181" s="16"/>
      <c r="F2181" s="17"/>
      <c r="G2181" s="17"/>
      <c r="I2181" s="6"/>
      <c r="J2181" s="6"/>
    </row>
    <row r="2182">
      <c r="A2182" s="16"/>
      <c r="B2182" s="16"/>
      <c r="C2182" s="16"/>
      <c r="D2182" s="16"/>
      <c r="E2182" s="16"/>
      <c r="F2182" s="17"/>
      <c r="G2182" s="17"/>
      <c r="I2182" s="6"/>
      <c r="J2182" s="6"/>
    </row>
    <row r="2183">
      <c r="A2183" s="16"/>
      <c r="B2183" s="16"/>
      <c r="C2183" s="16"/>
      <c r="D2183" s="16"/>
      <c r="E2183" s="16"/>
      <c r="F2183" s="17"/>
      <c r="G2183" s="17"/>
      <c r="I2183" s="6"/>
      <c r="J2183" s="6"/>
    </row>
    <row r="2184">
      <c r="A2184" s="16"/>
      <c r="B2184" s="16"/>
      <c r="C2184" s="16"/>
      <c r="D2184" s="16"/>
      <c r="E2184" s="16"/>
      <c r="F2184" s="17"/>
      <c r="G2184" s="17"/>
      <c r="I2184" s="6"/>
      <c r="J2184" s="6"/>
    </row>
    <row r="2185">
      <c r="A2185" s="16"/>
      <c r="B2185" s="16"/>
      <c r="C2185" s="16"/>
      <c r="D2185" s="16"/>
      <c r="E2185" s="16"/>
      <c r="F2185" s="17"/>
      <c r="G2185" s="17"/>
      <c r="I2185" s="6"/>
      <c r="J2185" s="6"/>
    </row>
    <row r="2186">
      <c r="A2186" s="16"/>
      <c r="B2186" s="16"/>
      <c r="C2186" s="16"/>
      <c r="D2186" s="16"/>
      <c r="E2186" s="16"/>
      <c r="F2186" s="17"/>
      <c r="G2186" s="17"/>
      <c r="I2186" s="6"/>
      <c r="J2186" s="6"/>
    </row>
    <row r="2187">
      <c r="A2187" s="16"/>
      <c r="B2187" s="16"/>
      <c r="C2187" s="16"/>
      <c r="D2187" s="16"/>
      <c r="E2187" s="16"/>
      <c r="F2187" s="17"/>
      <c r="G2187" s="17"/>
      <c r="I2187" s="6"/>
      <c r="J2187" s="6"/>
    </row>
    <row r="2188">
      <c r="A2188" s="16"/>
      <c r="B2188" s="16"/>
      <c r="C2188" s="16"/>
      <c r="D2188" s="16"/>
      <c r="E2188" s="16"/>
      <c r="F2188" s="17"/>
      <c r="G2188" s="17"/>
      <c r="I2188" s="6"/>
      <c r="J2188" s="6"/>
    </row>
    <row r="2189">
      <c r="A2189" s="16"/>
      <c r="B2189" s="16"/>
      <c r="C2189" s="16"/>
      <c r="D2189" s="16"/>
      <c r="E2189" s="16"/>
      <c r="F2189" s="17"/>
      <c r="G2189" s="17"/>
      <c r="I2189" s="6"/>
      <c r="J2189" s="6"/>
    </row>
    <row r="2190">
      <c r="A2190" s="16"/>
      <c r="B2190" s="16"/>
      <c r="C2190" s="16"/>
      <c r="D2190" s="16"/>
      <c r="E2190" s="16"/>
      <c r="F2190" s="17"/>
      <c r="G2190" s="17"/>
      <c r="I2190" s="6"/>
      <c r="J2190" s="6"/>
    </row>
    <row r="2191">
      <c r="A2191" s="16"/>
      <c r="B2191" s="16"/>
      <c r="C2191" s="16"/>
      <c r="D2191" s="16"/>
      <c r="E2191" s="16"/>
      <c r="F2191" s="17"/>
      <c r="G2191" s="17"/>
      <c r="I2191" s="6"/>
      <c r="J2191" s="6"/>
    </row>
    <row r="2192">
      <c r="A2192" s="16"/>
      <c r="B2192" s="16"/>
      <c r="C2192" s="16"/>
      <c r="D2192" s="16"/>
      <c r="E2192" s="16"/>
      <c r="F2192" s="17"/>
      <c r="G2192" s="17"/>
      <c r="I2192" s="6"/>
      <c r="J2192" s="6"/>
    </row>
    <row r="2193">
      <c r="A2193" s="16"/>
      <c r="B2193" s="16"/>
      <c r="C2193" s="16"/>
      <c r="D2193" s="16"/>
      <c r="E2193" s="16"/>
      <c r="F2193" s="17"/>
      <c r="G2193" s="17"/>
      <c r="I2193" s="6"/>
      <c r="J2193" s="6"/>
    </row>
    <row r="2194">
      <c r="A2194" s="16"/>
      <c r="B2194" s="16"/>
      <c r="C2194" s="16"/>
      <c r="D2194" s="16"/>
      <c r="E2194" s="16"/>
      <c r="F2194" s="17"/>
      <c r="G2194" s="17"/>
      <c r="I2194" s="6"/>
      <c r="J2194" s="6"/>
    </row>
    <row r="2195">
      <c r="A2195" s="16"/>
      <c r="B2195" s="16"/>
      <c r="C2195" s="16"/>
      <c r="D2195" s="16"/>
      <c r="E2195" s="16"/>
      <c r="F2195" s="17"/>
      <c r="G2195" s="17"/>
      <c r="I2195" s="6"/>
      <c r="J2195" s="6"/>
    </row>
    <row r="2196">
      <c r="A2196" s="16"/>
      <c r="B2196" s="16"/>
      <c r="C2196" s="16"/>
      <c r="D2196" s="16"/>
      <c r="E2196" s="16"/>
      <c r="F2196" s="17"/>
      <c r="G2196" s="17"/>
      <c r="I2196" s="6"/>
      <c r="J2196" s="6"/>
    </row>
    <row r="2197">
      <c r="A2197" s="16"/>
      <c r="B2197" s="16"/>
      <c r="C2197" s="16"/>
      <c r="D2197" s="16"/>
      <c r="E2197" s="16"/>
      <c r="F2197" s="17"/>
      <c r="G2197" s="17"/>
      <c r="I2197" s="6"/>
      <c r="J2197" s="6"/>
    </row>
    <row r="2198">
      <c r="A2198" s="16"/>
      <c r="B2198" s="16"/>
      <c r="C2198" s="16"/>
      <c r="D2198" s="16"/>
      <c r="E2198" s="16"/>
      <c r="F2198" s="17"/>
      <c r="G2198" s="17"/>
      <c r="I2198" s="6"/>
      <c r="J2198" s="6"/>
    </row>
    <row r="2199">
      <c r="A2199" s="16"/>
      <c r="B2199" s="16"/>
      <c r="C2199" s="16"/>
      <c r="D2199" s="16"/>
      <c r="E2199" s="16"/>
      <c r="F2199" s="17"/>
      <c r="G2199" s="17"/>
      <c r="I2199" s="6"/>
      <c r="J2199" s="6"/>
    </row>
    <row r="2200">
      <c r="A2200" s="16"/>
      <c r="B2200" s="16"/>
      <c r="C2200" s="16"/>
      <c r="D2200" s="16"/>
      <c r="E2200" s="16"/>
      <c r="F2200" s="17"/>
      <c r="G2200" s="17"/>
      <c r="I2200" s="6"/>
      <c r="J2200" s="6"/>
    </row>
    <row r="2201">
      <c r="A2201" s="16"/>
      <c r="B2201" s="16"/>
      <c r="C2201" s="16"/>
      <c r="D2201" s="16"/>
      <c r="E2201" s="16"/>
      <c r="F2201" s="17"/>
      <c r="G2201" s="17"/>
      <c r="I2201" s="6"/>
      <c r="J2201" s="6"/>
    </row>
    <row r="2202">
      <c r="A2202" s="16"/>
      <c r="B2202" s="16"/>
      <c r="C2202" s="16"/>
      <c r="D2202" s="16"/>
      <c r="E2202" s="16"/>
      <c r="F2202" s="17"/>
      <c r="G2202" s="17"/>
      <c r="I2202" s="6"/>
      <c r="J2202" s="6"/>
    </row>
    <row r="2203">
      <c r="A2203" s="16"/>
      <c r="B2203" s="16"/>
      <c r="C2203" s="16"/>
      <c r="D2203" s="16"/>
      <c r="E2203" s="16"/>
      <c r="F2203" s="17"/>
      <c r="G2203" s="17"/>
      <c r="I2203" s="6"/>
      <c r="J2203" s="6"/>
    </row>
    <row r="2204">
      <c r="A2204" s="16"/>
      <c r="B2204" s="16"/>
      <c r="C2204" s="16"/>
      <c r="D2204" s="16"/>
      <c r="E2204" s="16"/>
      <c r="F2204" s="17"/>
      <c r="G2204" s="17"/>
      <c r="I2204" s="6"/>
      <c r="J2204" s="6"/>
    </row>
    <row r="2205">
      <c r="A2205" s="16"/>
      <c r="B2205" s="16"/>
      <c r="C2205" s="16"/>
      <c r="D2205" s="16"/>
      <c r="E2205" s="16"/>
      <c r="F2205" s="17"/>
      <c r="G2205" s="17"/>
      <c r="I2205" s="6"/>
      <c r="J2205" s="6"/>
    </row>
    <row r="2206">
      <c r="A2206" s="16"/>
      <c r="B2206" s="16"/>
      <c r="C2206" s="16"/>
      <c r="D2206" s="16"/>
      <c r="E2206" s="16"/>
      <c r="F2206" s="17"/>
      <c r="G2206" s="17"/>
      <c r="I2206" s="6"/>
      <c r="J2206" s="6"/>
    </row>
    <row r="2207">
      <c r="A2207" s="16"/>
      <c r="B2207" s="16"/>
      <c r="C2207" s="16"/>
      <c r="D2207" s="16"/>
      <c r="E2207" s="16"/>
      <c r="F2207" s="17"/>
      <c r="G2207" s="17"/>
      <c r="I2207" s="6"/>
      <c r="J2207" s="6"/>
    </row>
    <row r="2208">
      <c r="A2208" s="16"/>
      <c r="B2208" s="16"/>
      <c r="C2208" s="16"/>
      <c r="D2208" s="16"/>
      <c r="E2208" s="16"/>
      <c r="F2208" s="17"/>
      <c r="G2208" s="17"/>
      <c r="I2208" s="6"/>
      <c r="J2208" s="6"/>
    </row>
    <row r="2209">
      <c r="A2209" s="16"/>
      <c r="B2209" s="16"/>
      <c r="C2209" s="16"/>
      <c r="D2209" s="16"/>
      <c r="E2209" s="16"/>
      <c r="F2209" s="17"/>
      <c r="G2209" s="17"/>
      <c r="I2209" s="6"/>
      <c r="J2209" s="6"/>
    </row>
    <row r="2210">
      <c r="A2210" s="16"/>
      <c r="B2210" s="16"/>
      <c r="C2210" s="16"/>
      <c r="D2210" s="16"/>
      <c r="E2210" s="16"/>
      <c r="F2210" s="17"/>
      <c r="G2210" s="17"/>
      <c r="I2210" s="6"/>
      <c r="J2210" s="6"/>
    </row>
    <row r="2211">
      <c r="A2211" s="16"/>
      <c r="B2211" s="16"/>
      <c r="C2211" s="16"/>
      <c r="D2211" s="16"/>
      <c r="E2211" s="16"/>
      <c r="F2211" s="17"/>
      <c r="G2211" s="17"/>
      <c r="I2211" s="6"/>
      <c r="J2211" s="6"/>
    </row>
    <row r="2212">
      <c r="A2212" s="16"/>
      <c r="B2212" s="16"/>
      <c r="C2212" s="16"/>
      <c r="D2212" s="16"/>
      <c r="E2212" s="16"/>
      <c r="F2212" s="17"/>
      <c r="G2212" s="17"/>
      <c r="I2212" s="6"/>
      <c r="J2212" s="6"/>
    </row>
    <row r="2213">
      <c r="A2213" s="16"/>
      <c r="B2213" s="16"/>
      <c r="C2213" s="16"/>
      <c r="D2213" s="16"/>
      <c r="E2213" s="16"/>
      <c r="F2213" s="17"/>
      <c r="G2213" s="17"/>
      <c r="I2213" s="6"/>
      <c r="J2213" s="6"/>
    </row>
    <row r="2214">
      <c r="A2214" s="16"/>
      <c r="B2214" s="16"/>
      <c r="C2214" s="16"/>
      <c r="D2214" s="16"/>
      <c r="E2214" s="16"/>
      <c r="F2214" s="17"/>
      <c r="G2214" s="17"/>
      <c r="I2214" s="6"/>
      <c r="J2214" s="6"/>
    </row>
    <row r="2215">
      <c r="A2215" s="16"/>
      <c r="B2215" s="16"/>
      <c r="C2215" s="16"/>
      <c r="D2215" s="16"/>
      <c r="E2215" s="16"/>
      <c r="F2215" s="17"/>
      <c r="G2215" s="17"/>
      <c r="I2215" s="6"/>
      <c r="J2215" s="6"/>
    </row>
    <row r="2216">
      <c r="A2216" s="16"/>
      <c r="B2216" s="16"/>
      <c r="C2216" s="16"/>
      <c r="D2216" s="16"/>
      <c r="E2216" s="16"/>
      <c r="F2216" s="17"/>
      <c r="G2216" s="17"/>
      <c r="I2216" s="6"/>
      <c r="J2216" s="6"/>
    </row>
    <row r="2217">
      <c r="A2217" s="16"/>
      <c r="B2217" s="16"/>
      <c r="C2217" s="16"/>
      <c r="D2217" s="16"/>
      <c r="E2217" s="16"/>
      <c r="F2217" s="17"/>
      <c r="G2217" s="17"/>
      <c r="I2217" s="6"/>
      <c r="J2217" s="6"/>
    </row>
    <row r="2218">
      <c r="A2218" s="16"/>
      <c r="B2218" s="16"/>
      <c r="C2218" s="16"/>
      <c r="D2218" s="16"/>
      <c r="E2218" s="16"/>
      <c r="F2218" s="17"/>
      <c r="G2218" s="17"/>
      <c r="I2218" s="6"/>
      <c r="J2218" s="6"/>
    </row>
    <row r="2219">
      <c r="A2219" s="16"/>
      <c r="B2219" s="16"/>
      <c r="C2219" s="16"/>
      <c r="D2219" s="16"/>
      <c r="E2219" s="16"/>
      <c r="F2219" s="17"/>
      <c r="G2219" s="17"/>
      <c r="I2219" s="6"/>
      <c r="J2219" s="6"/>
    </row>
    <row r="2220">
      <c r="A2220" s="16"/>
      <c r="B2220" s="16"/>
      <c r="C2220" s="16"/>
      <c r="D2220" s="16"/>
      <c r="E2220" s="16"/>
      <c r="F2220" s="17"/>
      <c r="G2220" s="17"/>
      <c r="I2220" s="6"/>
      <c r="J2220" s="6"/>
    </row>
    <row r="2221">
      <c r="A2221" s="16"/>
      <c r="B2221" s="16"/>
      <c r="C2221" s="16"/>
      <c r="D2221" s="16"/>
      <c r="E2221" s="16"/>
      <c r="F2221" s="17"/>
      <c r="G2221" s="17"/>
      <c r="I2221" s="6"/>
      <c r="J2221" s="6"/>
    </row>
    <row r="2222">
      <c r="A2222" s="16"/>
      <c r="B2222" s="16"/>
      <c r="C2222" s="16"/>
      <c r="D2222" s="16"/>
      <c r="E2222" s="16"/>
      <c r="F2222" s="17"/>
      <c r="G2222" s="17"/>
      <c r="I2222" s="6"/>
      <c r="J2222" s="6"/>
    </row>
    <row r="2223">
      <c r="A2223" s="16"/>
      <c r="B2223" s="16"/>
      <c r="C2223" s="16"/>
      <c r="D2223" s="16"/>
      <c r="E2223" s="16"/>
      <c r="F2223" s="17"/>
      <c r="G2223" s="17"/>
      <c r="I2223" s="6"/>
      <c r="J2223" s="6"/>
    </row>
    <row r="2224">
      <c r="A2224" s="16"/>
      <c r="B2224" s="16"/>
      <c r="C2224" s="16"/>
      <c r="D2224" s="16"/>
      <c r="E2224" s="16"/>
      <c r="F2224" s="17"/>
      <c r="G2224" s="17"/>
      <c r="I2224" s="6"/>
      <c r="J2224" s="6"/>
    </row>
    <row r="2225">
      <c r="A2225" s="16"/>
      <c r="B2225" s="16"/>
      <c r="C2225" s="16"/>
      <c r="D2225" s="16"/>
      <c r="E2225" s="16"/>
      <c r="F2225" s="17"/>
      <c r="G2225" s="17"/>
      <c r="I2225" s="6"/>
      <c r="J2225" s="6"/>
    </row>
    <row r="2226">
      <c r="A2226" s="16"/>
      <c r="B2226" s="16"/>
      <c r="C2226" s="16"/>
      <c r="D2226" s="16"/>
      <c r="E2226" s="16"/>
      <c r="F2226" s="17"/>
      <c r="G2226" s="17"/>
      <c r="I2226" s="6"/>
      <c r="J2226" s="6"/>
    </row>
    <row r="2227">
      <c r="A2227" s="16"/>
      <c r="B2227" s="16"/>
      <c r="C2227" s="16"/>
      <c r="D2227" s="16"/>
      <c r="E2227" s="16"/>
      <c r="F2227" s="17"/>
      <c r="G2227" s="17"/>
      <c r="I2227" s="6"/>
      <c r="J2227" s="6"/>
    </row>
    <row r="2228">
      <c r="A2228" s="16"/>
      <c r="B2228" s="16"/>
      <c r="C2228" s="16"/>
      <c r="D2228" s="16"/>
      <c r="E2228" s="16"/>
      <c r="F2228" s="17"/>
      <c r="G2228" s="17"/>
      <c r="I2228" s="6"/>
      <c r="J2228" s="6"/>
    </row>
    <row r="2229">
      <c r="A2229" s="16"/>
      <c r="B2229" s="16"/>
      <c r="C2229" s="16"/>
      <c r="D2229" s="16"/>
      <c r="E2229" s="16"/>
      <c r="F2229" s="17"/>
      <c r="G2229" s="17"/>
      <c r="I2229" s="6"/>
      <c r="J2229" s="6"/>
    </row>
    <row r="2230">
      <c r="A2230" s="16"/>
      <c r="B2230" s="16"/>
      <c r="C2230" s="16"/>
      <c r="D2230" s="16"/>
      <c r="E2230" s="16"/>
      <c r="F2230" s="17"/>
      <c r="G2230" s="17"/>
      <c r="I2230" s="6"/>
      <c r="J2230" s="6"/>
    </row>
    <row r="2231">
      <c r="A2231" s="16"/>
      <c r="B2231" s="16"/>
      <c r="C2231" s="16"/>
      <c r="D2231" s="16"/>
      <c r="E2231" s="16"/>
      <c r="F2231" s="17"/>
      <c r="G2231" s="17"/>
      <c r="I2231" s="6"/>
      <c r="J2231" s="6"/>
    </row>
    <row r="2232">
      <c r="A2232" s="16"/>
      <c r="B2232" s="16"/>
      <c r="C2232" s="16"/>
      <c r="D2232" s="16"/>
      <c r="E2232" s="16"/>
      <c r="F2232" s="17"/>
      <c r="G2232" s="17"/>
      <c r="I2232" s="6"/>
      <c r="J2232" s="6"/>
    </row>
    <row r="2233">
      <c r="A2233" s="16"/>
      <c r="B2233" s="16"/>
      <c r="C2233" s="16"/>
      <c r="D2233" s="16"/>
      <c r="E2233" s="16"/>
      <c r="F2233" s="17"/>
      <c r="G2233" s="17"/>
      <c r="I2233" s="6"/>
      <c r="J2233" s="6"/>
    </row>
    <row r="2234">
      <c r="A2234" s="16"/>
      <c r="B2234" s="16"/>
      <c r="C2234" s="16"/>
      <c r="D2234" s="16"/>
      <c r="E2234" s="16"/>
      <c r="F2234" s="17"/>
      <c r="G2234" s="17"/>
      <c r="I2234" s="6"/>
      <c r="J2234" s="6"/>
    </row>
    <row r="2235">
      <c r="A2235" s="16"/>
      <c r="B2235" s="16"/>
      <c r="C2235" s="16"/>
      <c r="D2235" s="16"/>
      <c r="E2235" s="16"/>
      <c r="F2235" s="17"/>
      <c r="G2235" s="17"/>
      <c r="I2235" s="6"/>
      <c r="J2235" s="6"/>
    </row>
    <row r="2236">
      <c r="A2236" s="16"/>
      <c r="B2236" s="16"/>
      <c r="C2236" s="16"/>
      <c r="D2236" s="16"/>
      <c r="E2236" s="16"/>
      <c r="F2236" s="17"/>
      <c r="G2236" s="17"/>
      <c r="I2236" s="6"/>
      <c r="J2236" s="6"/>
    </row>
    <row r="2237">
      <c r="A2237" s="16"/>
      <c r="B2237" s="16"/>
      <c r="C2237" s="16"/>
      <c r="D2237" s="16"/>
      <c r="E2237" s="16"/>
      <c r="F2237" s="17"/>
      <c r="G2237" s="17"/>
      <c r="I2237" s="6"/>
      <c r="J2237" s="6"/>
    </row>
    <row r="2238">
      <c r="A2238" s="16"/>
      <c r="B2238" s="16"/>
      <c r="C2238" s="16"/>
      <c r="D2238" s="16"/>
      <c r="E2238" s="16"/>
      <c r="F2238" s="17"/>
      <c r="G2238" s="17"/>
      <c r="I2238" s="6"/>
      <c r="J2238" s="6"/>
    </row>
    <row r="2239">
      <c r="A2239" s="16"/>
      <c r="B2239" s="16"/>
      <c r="C2239" s="16"/>
      <c r="D2239" s="16"/>
      <c r="E2239" s="16"/>
      <c r="F2239" s="17"/>
      <c r="G2239" s="17"/>
      <c r="I2239" s="6"/>
      <c r="J2239" s="6"/>
    </row>
    <row r="2240">
      <c r="A2240" s="16"/>
      <c r="B2240" s="16"/>
      <c r="C2240" s="16"/>
      <c r="D2240" s="16"/>
      <c r="E2240" s="16"/>
      <c r="F2240" s="17"/>
      <c r="G2240" s="17"/>
      <c r="I2240" s="6"/>
      <c r="J2240" s="6"/>
    </row>
    <row r="2241">
      <c r="A2241" s="16"/>
      <c r="B2241" s="16"/>
      <c r="C2241" s="16"/>
      <c r="D2241" s="16"/>
      <c r="E2241" s="16"/>
      <c r="F2241" s="17"/>
      <c r="G2241" s="17"/>
      <c r="I2241" s="6"/>
      <c r="J2241" s="6"/>
    </row>
    <row r="2242">
      <c r="A2242" s="16"/>
      <c r="B2242" s="16"/>
      <c r="C2242" s="16"/>
      <c r="D2242" s="16"/>
      <c r="E2242" s="16"/>
      <c r="F2242" s="17"/>
      <c r="G2242" s="17"/>
      <c r="I2242" s="6"/>
      <c r="J2242" s="6"/>
    </row>
    <row r="2243">
      <c r="A2243" s="16"/>
      <c r="B2243" s="16"/>
      <c r="C2243" s="16"/>
      <c r="D2243" s="16"/>
      <c r="E2243" s="16"/>
      <c r="F2243" s="17"/>
      <c r="G2243" s="17"/>
      <c r="I2243" s="6"/>
      <c r="J2243" s="6"/>
    </row>
    <row r="2244">
      <c r="A2244" s="16"/>
      <c r="B2244" s="16"/>
      <c r="C2244" s="16"/>
      <c r="D2244" s="16"/>
      <c r="E2244" s="16"/>
      <c r="F2244" s="17"/>
      <c r="G2244" s="17"/>
      <c r="I2244" s="6"/>
      <c r="J2244" s="6"/>
    </row>
    <row r="2245">
      <c r="A2245" s="16"/>
      <c r="B2245" s="16"/>
      <c r="C2245" s="16"/>
      <c r="D2245" s="16"/>
      <c r="E2245" s="16"/>
      <c r="F2245" s="17"/>
      <c r="G2245" s="17"/>
      <c r="I2245" s="6"/>
      <c r="J2245" s="6"/>
    </row>
    <row r="2246">
      <c r="A2246" s="16"/>
      <c r="B2246" s="16"/>
      <c r="C2246" s="16"/>
      <c r="D2246" s="16"/>
      <c r="E2246" s="16"/>
      <c r="F2246" s="17"/>
      <c r="G2246" s="17"/>
      <c r="I2246" s="6"/>
      <c r="J2246" s="6"/>
    </row>
    <row r="2247">
      <c r="A2247" s="16"/>
      <c r="B2247" s="16"/>
      <c r="C2247" s="16"/>
      <c r="D2247" s="16"/>
      <c r="E2247" s="16"/>
      <c r="F2247" s="17"/>
      <c r="G2247" s="17"/>
      <c r="I2247" s="6"/>
      <c r="J2247" s="6"/>
    </row>
    <row r="2248">
      <c r="A2248" s="16"/>
      <c r="B2248" s="16"/>
      <c r="C2248" s="16"/>
      <c r="D2248" s="16"/>
      <c r="E2248" s="16"/>
      <c r="F2248" s="17"/>
      <c r="G2248" s="17"/>
      <c r="I2248" s="6"/>
      <c r="J2248" s="6"/>
    </row>
    <row r="2249">
      <c r="A2249" s="16"/>
      <c r="B2249" s="16"/>
      <c r="C2249" s="16"/>
      <c r="D2249" s="16"/>
      <c r="E2249" s="16"/>
      <c r="F2249" s="17"/>
      <c r="G2249" s="17"/>
      <c r="I2249" s="6"/>
      <c r="J2249" s="6"/>
    </row>
    <row r="2250">
      <c r="A2250" s="16"/>
      <c r="B2250" s="16"/>
      <c r="C2250" s="16"/>
      <c r="D2250" s="16"/>
      <c r="E2250" s="16"/>
      <c r="F2250" s="17"/>
      <c r="G2250" s="17"/>
      <c r="I2250" s="6"/>
      <c r="J2250" s="6"/>
    </row>
    <row r="2251">
      <c r="A2251" s="16"/>
      <c r="B2251" s="16"/>
      <c r="C2251" s="16"/>
      <c r="D2251" s="16"/>
      <c r="E2251" s="16"/>
      <c r="F2251" s="17"/>
      <c r="G2251" s="17"/>
      <c r="I2251" s="6"/>
      <c r="J2251" s="6"/>
    </row>
    <row r="2252">
      <c r="A2252" s="16"/>
      <c r="B2252" s="16"/>
      <c r="C2252" s="16"/>
      <c r="D2252" s="16"/>
      <c r="E2252" s="16"/>
      <c r="F2252" s="17"/>
      <c r="G2252" s="17"/>
      <c r="I2252" s="6"/>
      <c r="J2252" s="6"/>
    </row>
    <row r="2253">
      <c r="A2253" s="16"/>
      <c r="B2253" s="16"/>
      <c r="C2253" s="16"/>
      <c r="D2253" s="16"/>
      <c r="E2253" s="16"/>
      <c r="F2253" s="17"/>
      <c r="G2253" s="17"/>
      <c r="I2253" s="6"/>
      <c r="J2253" s="6"/>
    </row>
    <row r="2254">
      <c r="A2254" s="16"/>
      <c r="B2254" s="16"/>
      <c r="C2254" s="16"/>
      <c r="D2254" s="16"/>
      <c r="E2254" s="16"/>
      <c r="F2254" s="17"/>
      <c r="G2254" s="17"/>
      <c r="I2254" s="6"/>
      <c r="J2254" s="6"/>
    </row>
    <row r="2255">
      <c r="A2255" s="16"/>
      <c r="B2255" s="16"/>
      <c r="C2255" s="16"/>
      <c r="D2255" s="16"/>
      <c r="E2255" s="16"/>
      <c r="F2255" s="17"/>
      <c r="G2255" s="17"/>
      <c r="I2255" s="6"/>
      <c r="J2255" s="6"/>
    </row>
    <row r="2256">
      <c r="A2256" s="16"/>
      <c r="B2256" s="16"/>
      <c r="C2256" s="16"/>
      <c r="D2256" s="16"/>
      <c r="E2256" s="16"/>
      <c r="F2256" s="17"/>
      <c r="G2256" s="17"/>
      <c r="I2256" s="6"/>
      <c r="J2256" s="6"/>
    </row>
    <row r="2257">
      <c r="A2257" s="16"/>
      <c r="B2257" s="16"/>
      <c r="C2257" s="16"/>
      <c r="D2257" s="16"/>
      <c r="E2257" s="16"/>
      <c r="F2257" s="17"/>
      <c r="G2257" s="17"/>
      <c r="I2257" s="6"/>
      <c r="J2257" s="6"/>
    </row>
    <row r="2258">
      <c r="A2258" s="16"/>
      <c r="B2258" s="16"/>
      <c r="C2258" s="16"/>
      <c r="D2258" s="16"/>
      <c r="E2258" s="16"/>
      <c r="F2258" s="17"/>
      <c r="G2258" s="17"/>
      <c r="I2258" s="6"/>
      <c r="J2258" s="6"/>
    </row>
    <row r="2259">
      <c r="A2259" s="16"/>
      <c r="B2259" s="16"/>
      <c r="C2259" s="16"/>
      <c r="D2259" s="16"/>
      <c r="E2259" s="16"/>
      <c r="F2259" s="17"/>
      <c r="G2259" s="17"/>
      <c r="I2259" s="6"/>
      <c r="J2259" s="6"/>
    </row>
    <row r="2260">
      <c r="A2260" s="16"/>
      <c r="B2260" s="16"/>
      <c r="C2260" s="16"/>
      <c r="D2260" s="16"/>
      <c r="E2260" s="16"/>
      <c r="F2260" s="17"/>
      <c r="G2260" s="17"/>
      <c r="I2260" s="6"/>
      <c r="J2260" s="6"/>
    </row>
    <row r="2261">
      <c r="A2261" s="16"/>
      <c r="B2261" s="16"/>
      <c r="C2261" s="16"/>
      <c r="D2261" s="16"/>
      <c r="E2261" s="16"/>
      <c r="F2261" s="17"/>
      <c r="G2261" s="17"/>
      <c r="I2261" s="6"/>
      <c r="J2261" s="6"/>
    </row>
    <row r="2262">
      <c r="A2262" s="16"/>
      <c r="B2262" s="16"/>
      <c r="C2262" s="16"/>
      <c r="D2262" s="16"/>
      <c r="E2262" s="16"/>
      <c r="F2262" s="17"/>
      <c r="G2262" s="17"/>
      <c r="I2262" s="6"/>
      <c r="J2262" s="6"/>
    </row>
    <row r="2263">
      <c r="A2263" s="16"/>
      <c r="B2263" s="16"/>
      <c r="C2263" s="16"/>
      <c r="D2263" s="16"/>
      <c r="E2263" s="16"/>
      <c r="F2263" s="17"/>
      <c r="G2263" s="17"/>
      <c r="I2263" s="6"/>
      <c r="J2263" s="6"/>
    </row>
    <row r="2264">
      <c r="A2264" s="16"/>
      <c r="B2264" s="16"/>
      <c r="C2264" s="16"/>
      <c r="D2264" s="16"/>
      <c r="E2264" s="16"/>
      <c r="F2264" s="17"/>
      <c r="G2264" s="17"/>
      <c r="I2264" s="6"/>
      <c r="J2264" s="6"/>
    </row>
    <row r="2265">
      <c r="A2265" s="16"/>
      <c r="B2265" s="16"/>
      <c r="C2265" s="16"/>
      <c r="D2265" s="16"/>
      <c r="E2265" s="16"/>
      <c r="F2265" s="17"/>
      <c r="G2265" s="17"/>
      <c r="I2265" s="6"/>
      <c r="J2265" s="6"/>
    </row>
    <row r="2266">
      <c r="A2266" s="16"/>
      <c r="B2266" s="16"/>
      <c r="C2266" s="16"/>
      <c r="D2266" s="16"/>
      <c r="E2266" s="16"/>
      <c r="F2266" s="17"/>
      <c r="G2266" s="17"/>
      <c r="I2266" s="6"/>
      <c r="J2266" s="6"/>
    </row>
    <row r="2267">
      <c r="A2267" s="16"/>
      <c r="B2267" s="16"/>
      <c r="C2267" s="16"/>
      <c r="D2267" s="16"/>
      <c r="E2267" s="16"/>
      <c r="F2267" s="17"/>
      <c r="G2267" s="17"/>
      <c r="I2267" s="6"/>
      <c r="J2267" s="6"/>
    </row>
    <row r="2268">
      <c r="A2268" s="16"/>
      <c r="B2268" s="16"/>
      <c r="C2268" s="16"/>
      <c r="D2268" s="16"/>
      <c r="E2268" s="16"/>
      <c r="F2268" s="17"/>
      <c r="G2268" s="17"/>
      <c r="I2268" s="6"/>
      <c r="J2268" s="6"/>
    </row>
    <row r="2269">
      <c r="A2269" s="16"/>
      <c r="B2269" s="16"/>
      <c r="C2269" s="16"/>
      <c r="D2269" s="16"/>
      <c r="E2269" s="16"/>
      <c r="F2269" s="17"/>
      <c r="G2269" s="17"/>
      <c r="I2269" s="6"/>
      <c r="J2269" s="6"/>
    </row>
    <row r="2270">
      <c r="A2270" s="16"/>
      <c r="B2270" s="16"/>
      <c r="C2270" s="16"/>
      <c r="D2270" s="16"/>
      <c r="E2270" s="16"/>
      <c r="F2270" s="17"/>
      <c r="G2270" s="17"/>
      <c r="I2270" s="6"/>
      <c r="J2270" s="6"/>
    </row>
    <row r="2271">
      <c r="A2271" s="16"/>
      <c r="B2271" s="16"/>
      <c r="C2271" s="16"/>
      <c r="D2271" s="16"/>
      <c r="E2271" s="16"/>
      <c r="F2271" s="17"/>
      <c r="G2271" s="17"/>
      <c r="I2271" s="6"/>
      <c r="J2271" s="6"/>
    </row>
    <row r="2272">
      <c r="A2272" s="16"/>
      <c r="B2272" s="16"/>
      <c r="C2272" s="16"/>
      <c r="D2272" s="16"/>
      <c r="E2272" s="16"/>
      <c r="F2272" s="17"/>
      <c r="G2272" s="17"/>
      <c r="I2272" s="6"/>
      <c r="J2272" s="6"/>
    </row>
    <row r="2273">
      <c r="A2273" s="16"/>
      <c r="B2273" s="16"/>
      <c r="C2273" s="16"/>
      <c r="D2273" s="16"/>
      <c r="E2273" s="16"/>
      <c r="F2273" s="17"/>
      <c r="G2273" s="17"/>
      <c r="I2273" s="6"/>
      <c r="J2273" s="6"/>
    </row>
    <row r="2274">
      <c r="A2274" s="16"/>
      <c r="B2274" s="16"/>
      <c r="C2274" s="16"/>
      <c r="D2274" s="16"/>
      <c r="E2274" s="16"/>
      <c r="F2274" s="17"/>
      <c r="G2274" s="17"/>
      <c r="I2274" s="6"/>
      <c r="J2274" s="6"/>
    </row>
    <row r="2275">
      <c r="A2275" s="16"/>
      <c r="B2275" s="16"/>
      <c r="C2275" s="16"/>
      <c r="D2275" s="16"/>
      <c r="E2275" s="16"/>
      <c r="F2275" s="17"/>
      <c r="G2275" s="17"/>
      <c r="I2275" s="6"/>
      <c r="J2275" s="6"/>
    </row>
    <row r="2276">
      <c r="A2276" s="16"/>
      <c r="B2276" s="16"/>
      <c r="C2276" s="16"/>
      <c r="D2276" s="16"/>
      <c r="E2276" s="16"/>
      <c r="F2276" s="17"/>
      <c r="G2276" s="17"/>
      <c r="I2276" s="6"/>
      <c r="J2276" s="6"/>
    </row>
    <row r="2277">
      <c r="A2277" s="16"/>
      <c r="B2277" s="16"/>
      <c r="C2277" s="16"/>
      <c r="D2277" s="16"/>
      <c r="E2277" s="16"/>
      <c r="F2277" s="17"/>
      <c r="G2277" s="17"/>
      <c r="I2277" s="6"/>
      <c r="J2277" s="6"/>
    </row>
    <row r="2278">
      <c r="A2278" s="16"/>
      <c r="B2278" s="16"/>
      <c r="C2278" s="16"/>
      <c r="D2278" s="16"/>
      <c r="E2278" s="16"/>
      <c r="F2278" s="17"/>
      <c r="G2278" s="17"/>
      <c r="I2278" s="6"/>
      <c r="J2278" s="6"/>
    </row>
    <row r="2279">
      <c r="A2279" s="16"/>
      <c r="B2279" s="16"/>
      <c r="C2279" s="16"/>
      <c r="D2279" s="16"/>
      <c r="E2279" s="16"/>
      <c r="F2279" s="17"/>
      <c r="G2279" s="17"/>
      <c r="I2279" s="6"/>
      <c r="J2279" s="6"/>
    </row>
    <row r="2280">
      <c r="A2280" s="16"/>
      <c r="B2280" s="16"/>
      <c r="C2280" s="16"/>
      <c r="D2280" s="16"/>
      <c r="E2280" s="16"/>
      <c r="F2280" s="17"/>
      <c r="G2280" s="17"/>
      <c r="I2280" s="6"/>
      <c r="J2280" s="6"/>
    </row>
    <row r="2281">
      <c r="A2281" s="16"/>
      <c r="B2281" s="16"/>
      <c r="C2281" s="16"/>
      <c r="D2281" s="16"/>
      <c r="E2281" s="16"/>
      <c r="F2281" s="17"/>
      <c r="G2281" s="17"/>
      <c r="I2281" s="6"/>
      <c r="J2281" s="6"/>
    </row>
    <row r="2282">
      <c r="A2282" s="16"/>
      <c r="B2282" s="16"/>
      <c r="C2282" s="16"/>
      <c r="D2282" s="16"/>
      <c r="E2282" s="16"/>
      <c r="F2282" s="17"/>
      <c r="G2282" s="17"/>
      <c r="I2282" s="6"/>
      <c r="J2282" s="6"/>
    </row>
    <row r="2283">
      <c r="A2283" s="16"/>
      <c r="B2283" s="16"/>
      <c r="C2283" s="16"/>
      <c r="D2283" s="16"/>
      <c r="E2283" s="16"/>
      <c r="F2283" s="17"/>
      <c r="G2283" s="17"/>
      <c r="I2283" s="6"/>
      <c r="J2283" s="6"/>
    </row>
    <row r="2284">
      <c r="A2284" s="16"/>
      <c r="B2284" s="16"/>
      <c r="C2284" s="16"/>
      <c r="D2284" s="16"/>
      <c r="E2284" s="16"/>
      <c r="F2284" s="17"/>
      <c r="G2284" s="17"/>
      <c r="I2284" s="6"/>
      <c r="J2284" s="6"/>
    </row>
    <row r="2285">
      <c r="A2285" s="16"/>
      <c r="B2285" s="16"/>
      <c r="C2285" s="16"/>
      <c r="D2285" s="16"/>
      <c r="E2285" s="16"/>
      <c r="F2285" s="17"/>
      <c r="G2285" s="17"/>
      <c r="I2285" s="6"/>
      <c r="J2285" s="6"/>
    </row>
    <row r="2286">
      <c r="A2286" s="16"/>
      <c r="B2286" s="16"/>
      <c r="C2286" s="16"/>
      <c r="D2286" s="16"/>
      <c r="E2286" s="16"/>
      <c r="F2286" s="17"/>
      <c r="G2286" s="17"/>
      <c r="I2286" s="6"/>
      <c r="J2286" s="6"/>
    </row>
    <row r="2287">
      <c r="A2287" s="16"/>
      <c r="B2287" s="16"/>
      <c r="C2287" s="16"/>
      <c r="D2287" s="16"/>
      <c r="E2287" s="16"/>
      <c r="F2287" s="17"/>
      <c r="G2287" s="17"/>
      <c r="I2287" s="6"/>
      <c r="J2287" s="6"/>
    </row>
    <row r="2288">
      <c r="A2288" s="16"/>
      <c r="B2288" s="16"/>
      <c r="C2288" s="16"/>
      <c r="D2288" s="16"/>
      <c r="E2288" s="16"/>
      <c r="F2288" s="17"/>
      <c r="G2288" s="17"/>
      <c r="I2288" s="6"/>
      <c r="J2288" s="6"/>
    </row>
    <row r="2289">
      <c r="A2289" s="16"/>
      <c r="B2289" s="16"/>
      <c r="C2289" s="16"/>
      <c r="D2289" s="16"/>
      <c r="E2289" s="16"/>
      <c r="F2289" s="17"/>
      <c r="G2289" s="17"/>
      <c r="I2289" s="6"/>
      <c r="J2289" s="6"/>
    </row>
    <row r="2290">
      <c r="A2290" s="16"/>
      <c r="B2290" s="16"/>
      <c r="C2290" s="16"/>
      <c r="D2290" s="16"/>
      <c r="E2290" s="16"/>
      <c r="F2290" s="17"/>
      <c r="G2290" s="17"/>
      <c r="I2290" s="6"/>
      <c r="J2290" s="6"/>
    </row>
    <row r="2291">
      <c r="A2291" s="16"/>
      <c r="B2291" s="16"/>
      <c r="C2291" s="16"/>
      <c r="D2291" s="16"/>
      <c r="E2291" s="16"/>
      <c r="F2291" s="17"/>
      <c r="G2291" s="17"/>
      <c r="I2291" s="6"/>
      <c r="J2291" s="6"/>
    </row>
    <row r="2292">
      <c r="A2292" s="16"/>
      <c r="B2292" s="16"/>
      <c r="C2292" s="16"/>
      <c r="D2292" s="16"/>
      <c r="E2292" s="16"/>
      <c r="F2292" s="17"/>
      <c r="G2292" s="17"/>
      <c r="I2292" s="6"/>
      <c r="J2292" s="6"/>
    </row>
    <row r="2293">
      <c r="A2293" s="16"/>
      <c r="B2293" s="16"/>
      <c r="C2293" s="16"/>
      <c r="D2293" s="16"/>
      <c r="E2293" s="16"/>
      <c r="F2293" s="17"/>
      <c r="G2293" s="17"/>
      <c r="I2293" s="6"/>
      <c r="J2293" s="6"/>
    </row>
    <row r="2294">
      <c r="A2294" s="16"/>
      <c r="B2294" s="16"/>
      <c r="C2294" s="16"/>
      <c r="D2294" s="16"/>
      <c r="E2294" s="16"/>
      <c r="F2294" s="17"/>
      <c r="G2294" s="17"/>
      <c r="I2294" s="6"/>
      <c r="J2294" s="6"/>
    </row>
    <row r="2295">
      <c r="A2295" s="16"/>
      <c r="B2295" s="16"/>
      <c r="C2295" s="16"/>
      <c r="D2295" s="16"/>
      <c r="E2295" s="16"/>
      <c r="F2295" s="17"/>
      <c r="G2295" s="17"/>
      <c r="I2295" s="6"/>
      <c r="J2295" s="6"/>
    </row>
    <row r="2296">
      <c r="A2296" s="16"/>
      <c r="B2296" s="16"/>
      <c r="C2296" s="16"/>
      <c r="D2296" s="16"/>
      <c r="E2296" s="16"/>
      <c r="F2296" s="17"/>
      <c r="G2296" s="17"/>
      <c r="I2296" s="6"/>
      <c r="J2296" s="6"/>
    </row>
    <row r="2297">
      <c r="A2297" s="16"/>
      <c r="B2297" s="16"/>
      <c r="C2297" s="16"/>
      <c r="D2297" s="16"/>
      <c r="E2297" s="16"/>
      <c r="F2297" s="17"/>
      <c r="G2297" s="17"/>
      <c r="I2297" s="6"/>
      <c r="J2297" s="6"/>
    </row>
    <row r="2298">
      <c r="A2298" s="16"/>
      <c r="B2298" s="16"/>
      <c r="C2298" s="16"/>
      <c r="D2298" s="16"/>
      <c r="E2298" s="16"/>
      <c r="F2298" s="17"/>
      <c r="G2298" s="17"/>
      <c r="I2298" s="6"/>
      <c r="J2298" s="6"/>
    </row>
    <row r="2299">
      <c r="A2299" s="16"/>
      <c r="B2299" s="16"/>
      <c r="C2299" s="16"/>
      <c r="D2299" s="16"/>
      <c r="E2299" s="16"/>
      <c r="F2299" s="17"/>
      <c r="G2299" s="17"/>
      <c r="I2299" s="6"/>
      <c r="J2299" s="6"/>
    </row>
    <row r="2300">
      <c r="A2300" s="16"/>
      <c r="B2300" s="16"/>
      <c r="C2300" s="16"/>
      <c r="D2300" s="16"/>
      <c r="E2300" s="16"/>
      <c r="F2300" s="17"/>
      <c r="G2300" s="17"/>
      <c r="I2300" s="6"/>
      <c r="J2300" s="6"/>
    </row>
    <row r="2301">
      <c r="A2301" s="16"/>
      <c r="B2301" s="16"/>
      <c r="C2301" s="16"/>
      <c r="D2301" s="16"/>
      <c r="E2301" s="16"/>
      <c r="F2301" s="17"/>
      <c r="G2301" s="17"/>
      <c r="I2301" s="6"/>
      <c r="J2301" s="6"/>
    </row>
    <row r="2302">
      <c r="A2302" s="16"/>
      <c r="B2302" s="16"/>
      <c r="C2302" s="16"/>
      <c r="D2302" s="16"/>
      <c r="E2302" s="16"/>
      <c r="F2302" s="17"/>
      <c r="G2302" s="17"/>
      <c r="I2302" s="6"/>
      <c r="J2302" s="6"/>
    </row>
    <row r="2303">
      <c r="A2303" s="16"/>
      <c r="B2303" s="16"/>
      <c r="C2303" s="16"/>
      <c r="D2303" s="16"/>
      <c r="E2303" s="16"/>
      <c r="F2303" s="17"/>
      <c r="G2303" s="17"/>
      <c r="I2303" s="6"/>
      <c r="J2303" s="6"/>
    </row>
    <row r="2304">
      <c r="A2304" s="16"/>
      <c r="B2304" s="16"/>
      <c r="C2304" s="16"/>
      <c r="D2304" s="16"/>
      <c r="E2304" s="16"/>
      <c r="F2304" s="17"/>
      <c r="G2304" s="17"/>
      <c r="I2304" s="6"/>
      <c r="J2304" s="6"/>
    </row>
    <row r="2305">
      <c r="A2305" s="16"/>
      <c r="B2305" s="16"/>
      <c r="C2305" s="16"/>
      <c r="D2305" s="16"/>
      <c r="E2305" s="16"/>
      <c r="F2305" s="17"/>
      <c r="G2305" s="17"/>
      <c r="I2305" s="6"/>
      <c r="J2305" s="6"/>
    </row>
    <row r="2306">
      <c r="A2306" s="16"/>
      <c r="B2306" s="16"/>
      <c r="C2306" s="16"/>
      <c r="D2306" s="16"/>
      <c r="E2306" s="16"/>
      <c r="F2306" s="17"/>
      <c r="G2306" s="17"/>
      <c r="I2306" s="6"/>
      <c r="J2306" s="6"/>
    </row>
    <row r="2307">
      <c r="A2307" s="16"/>
      <c r="B2307" s="16"/>
      <c r="C2307" s="16"/>
      <c r="D2307" s="16"/>
      <c r="E2307" s="16"/>
      <c r="F2307" s="17"/>
      <c r="G2307" s="17"/>
      <c r="I2307" s="6"/>
      <c r="J2307" s="6"/>
    </row>
    <row r="2308">
      <c r="A2308" s="16"/>
      <c r="B2308" s="16"/>
      <c r="C2308" s="16"/>
      <c r="D2308" s="16"/>
      <c r="E2308" s="16"/>
      <c r="F2308" s="17"/>
      <c r="G2308" s="17"/>
      <c r="I2308" s="6"/>
      <c r="J2308" s="6"/>
    </row>
    <row r="2309">
      <c r="A2309" s="16"/>
      <c r="B2309" s="16"/>
      <c r="C2309" s="16"/>
      <c r="D2309" s="16"/>
      <c r="E2309" s="16"/>
      <c r="F2309" s="17"/>
      <c r="G2309" s="17"/>
      <c r="I2309" s="6"/>
      <c r="J2309" s="6"/>
    </row>
    <row r="2310">
      <c r="A2310" s="16"/>
      <c r="B2310" s="16"/>
      <c r="C2310" s="16"/>
      <c r="D2310" s="16"/>
      <c r="E2310" s="16"/>
      <c r="F2310" s="17"/>
      <c r="G2310" s="17"/>
      <c r="I2310" s="6"/>
      <c r="J2310" s="6"/>
    </row>
    <row r="2311">
      <c r="A2311" s="16"/>
      <c r="B2311" s="16"/>
      <c r="C2311" s="16"/>
      <c r="D2311" s="16"/>
      <c r="E2311" s="16"/>
      <c r="F2311" s="17"/>
      <c r="G2311" s="17"/>
      <c r="I2311" s="6"/>
      <c r="J2311" s="6"/>
    </row>
    <row r="2312">
      <c r="A2312" s="16"/>
      <c r="B2312" s="16"/>
      <c r="C2312" s="16"/>
      <c r="D2312" s="16"/>
      <c r="E2312" s="16"/>
      <c r="F2312" s="17"/>
      <c r="G2312" s="17"/>
      <c r="I2312" s="6"/>
      <c r="J2312" s="6"/>
    </row>
    <row r="2313">
      <c r="A2313" s="16"/>
      <c r="B2313" s="16"/>
      <c r="C2313" s="16"/>
      <c r="D2313" s="16"/>
      <c r="E2313" s="16"/>
      <c r="F2313" s="17"/>
      <c r="G2313" s="17"/>
      <c r="I2313" s="6"/>
      <c r="J2313" s="6"/>
    </row>
    <row r="2314">
      <c r="A2314" s="16"/>
      <c r="B2314" s="16"/>
      <c r="C2314" s="16"/>
      <c r="D2314" s="16"/>
      <c r="E2314" s="16"/>
      <c r="F2314" s="17"/>
      <c r="G2314" s="17"/>
      <c r="I2314" s="6"/>
      <c r="J2314" s="6"/>
    </row>
    <row r="2315">
      <c r="A2315" s="16"/>
      <c r="B2315" s="16"/>
      <c r="C2315" s="16"/>
      <c r="D2315" s="16"/>
      <c r="E2315" s="16"/>
      <c r="F2315" s="17"/>
      <c r="G2315" s="17"/>
      <c r="I2315" s="6"/>
      <c r="J2315" s="6"/>
    </row>
    <row r="2316">
      <c r="A2316" s="16"/>
      <c r="B2316" s="16"/>
      <c r="C2316" s="16"/>
      <c r="D2316" s="16"/>
      <c r="E2316" s="16"/>
      <c r="F2316" s="17"/>
      <c r="G2316" s="17"/>
      <c r="I2316" s="6"/>
      <c r="J2316" s="6"/>
    </row>
    <row r="2317">
      <c r="A2317" s="16"/>
      <c r="B2317" s="16"/>
      <c r="C2317" s="16"/>
      <c r="D2317" s="16"/>
      <c r="E2317" s="16"/>
      <c r="F2317" s="17"/>
      <c r="G2317" s="17"/>
      <c r="I2317" s="6"/>
      <c r="J2317" s="6"/>
    </row>
    <row r="2318">
      <c r="A2318" s="16"/>
      <c r="B2318" s="16"/>
      <c r="C2318" s="16"/>
      <c r="D2318" s="16"/>
      <c r="E2318" s="16"/>
      <c r="F2318" s="17"/>
      <c r="G2318" s="17"/>
      <c r="I2318" s="6"/>
      <c r="J2318" s="6"/>
    </row>
    <row r="2319">
      <c r="A2319" s="16"/>
      <c r="B2319" s="16"/>
      <c r="C2319" s="16"/>
      <c r="D2319" s="16"/>
      <c r="E2319" s="16"/>
      <c r="F2319" s="17"/>
      <c r="G2319" s="17"/>
      <c r="I2319" s="6"/>
      <c r="J2319" s="6"/>
    </row>
    <row r="2320">
      <c r="A2320" s="16"/>
      <c r="B2320" s="16"/>
      <c r="C2320" s="16"/>
      <c r="D2320" s="16"/>
      <c r="E2320" s="16"/>
      <c r="F2320" s="17"/>
      <c r="G2320" s="17"/>
      <c r="I2320" s="6"/>
      <c r="J2320" s="6"/>
    </row>
    <row r="2321">
      <c r="A2321" s="16"/>
      <c r="B2321" s="16"/>
      <c r="C2321" s="16"/>
      <c r="D2321" s="16"/>
      <c r="E2321" s="16"/>
      <c r="F2321" s="17"/>
      <c r="G2321" s="17"/>
      <c r="I2321" s="6"/>
      <c r="J2321" s="6"/>
    </row>
    <row r="2322">
      <c r="A2322" s="16"/>
      <c r="B2322" s="16"/>
      <c r="C2322" s="16"/>
      <c r="D2322" s="16"/>
      <c r="E2322" s="16"/>
      <c r="F2322" s="17"/>
      <c r="G2322" s="17"/>
      <c r="I2322" s="6"/>
      <c r="J2322" s="6"/>
    </row>
    <row r="2323">
      <c r="A2323" s="16"/>
      <c r="B2323" s="16"/>
      <c r="C2323" s="16"/>
      <c r="D2323" s="16"/>
      <c r="E2323" s="16"/>
      <c r="F2323" s="17"/>
      <c r="G2323" s="17"/>
      <c r="I2323" s="6"/>
      <c r="J2323" s="6"/>
    </row>
    <row r="2324">
      <c r="A2324" s="16"/>
      <c r="B2324" s="16"/>
      <c r="C2324" s="16"/>
      <c r="D2324" s="16"/>
      <c r="E2324" s="16"/>
      <c r="F2324" s="17"/>
      <c r="G2324" s="17"/>
      <c r="I2324" s="6"/>
      <c r="J2324" s="6"/>
    </row>
    <row r="2325">
      <c r="A2325" s="16"/>
      <c r="B2325" s="16"/>
      <c r="C2325" s="16"/>
      <c r="D2325" s="16"/>
      <c r="E2325" s="16"/>
      <c r="F2325" s="17"/>
      <c r="G2325" s="17"/>
      <c r="I2325" s="6"/>
      <c r="J2325" s="6"/>
    </row>
    <row r="2326">
      <c r="A2326" s="16"/>
      <c r="B2326" s="16"/>
      <c r="C2326" s="16"/>
      <c r="D2326" s="16"/>
      <c r="E2326" s="16"/>
      <c r="F2326" s="17"/>
      <c r="G2326" s="17"/>
      <c r="I2326" s="6"/>
      <c r="J2326" s="6"/>
    </row>
    <row r="2327">
      <c r="A2327" s="16"/>
      <c r="B2327" s="16"/>
      <c r="C2327" s="16"/>
      <c r="D2327" s="16"/>
      <c r="E2327" s="16"/>
      <c r="F2327" s="17"/>
      <c r="G2327" s="17"/>
      <c r="I2327" s="6"/>
      <c r="J2327" s="6"/>
    </row>
    <row r="2328">
      <c r="A2328" s="16"/>
      <c r="B2328" s="16"/>
      <c r="C2328" s="16"/>
      <c r="D2328" s="16"/>
      <c r="E2328" s="16"/>
      <c r="F2328" s="17"/>
      <c r="G2328" s="17"/>
      <c r="I2328" s="6"/>
      <c r="J2328" s="6"/>
    </row>
    <row r="2329">
      <c r="A2329" s="16"/>
      <c r="B2329" s="16"/>
      <c r="C2329" s="16"/>
      <c r="D2329" s="16"/>
      <c r="E2329" s="16"/>
      <c r="F2329" s="17"/>
      <c r="G2329" s="17"/>
      <c r="I2329" s="6"/>
      <c r="J2329" s="6"/>
    </row>
    <row r="2330">
      <c r="A2330" s="16"/>
      <c r="B2330" s="16"/>
      <c r="C2330" s="16"/>
      <c r="D2330" s="16"/>
      <c r="E2330" s="16"/>
      <c r="F2330" s="17"/>
      <c r="G2330" s="17"/>
      <c r="I2330" s="6"/>
      <c r="J2330" s="6"/>
    </row>
    <row r="2331">
      <c r="A2331" s="16"/>
      <c r="B2331" s="16"/>
      <c r="C2331" s="16"/>
      <c r="D2331" s="16"/>
      <c r="E2331" s="16"/>
      <c r="F2331" s="17"/>
      <c r="G2331" s="17"/>
      <c r="I2331" s="6"/>
      <c r="J2331" s="6"/>
    </row>
    <row r="2332">
      <c r="A2332" s="16"/>
      <c r="B2332" s="16"/>
      <c r="C2332" s="16"/>
      <c r="D2332" s="16"/>
      <c r="E2332" s="16"/>
      <c r="F2332" s="17"/>
      <c r="G2332" s="17"/>
      <c r="I2332" s="6"/>
      <c r="J2332" s="6"/>
    </row>
    <row r="2333">
      <c r="A2333" s="16"/>
      <c r="B2333" s="16"/>
      <c r="C2333" s="16"/>
      <c r="D2333" s="16"/>
      <c r="E2333" s="16"/>
      <c r="F2333" s="17"/>
      <c r="G2333" s="17"/>
      <c r="I2333" s="6"/>
      <c r="J2333" s="6"/>
    </row>
    <row r="2334">
      <c r="A2334" s="16"/>
      <c r="B2334" s="16"/>
      <c r="C2334" s="16"/>
      <c r="D2334" s="16"/>
      <c r="E2334" s="16"/>
      <c r="F2334" s="17"/>
      <c r="G2334" s="17"/>
      <c r="I2334" s="6"/>
      <c r="J2334" s="6"/>
    </row>
    <row r="2335">
      <c r="A2335" s="16"/>
      <c r="B2335" s="16"/>
      <c r="C2335" s="16"/>
      <c r="D2335" s="16"/>
      <c r="E2335" s="16"/>
      <c r="F2335" s="17"/>
      <c r="G2335" s="17"/>
      <c r="I2335" s="6"/>
      <c r="J2335" s="6"/>
    </row>
    <row r="2336">
      <c r="A2336" s="16"/>
      <c r="B2336" s="16"/>
      <c r="C2336" s="16"/>
      <c r="D2336" s="16"/>
      <c r="E2336" s="16"/>
      <c r="F2336" s="17"/>
      <c r="G2336" s="17"/>
      <c r="I2336" s="6"/>
      <c r="J2336" s="6"/>
    </row>
    <row r="2337">
      <c r="A2337" s="16"/>
      <c r="B2337" s="16"/>
      <c r="C2337" s="16"/>
      <c r="D2337" s="16"/>
      <c r="E2337" s="16"/>
      <c r="F2337" s="17"/>
      <c r="G2337" s="17"/>
      <c r="I2337" s="6"/>
      <c r="J2337" s="6"/>
    </row>
    <row r="2338">
      <c r="A2338" s="16"/>
      <c r="B2338" s="16"/>
      <c r="C2338" s="16"/>
      <c r="D2338" s="16"/>
      <c r="E2338" s="16"/>
      <c r="F2338" s="17"/>
      <c r="G2338" s="17"/>
      <c r="I2338" s="6"/>
      <c r="J2338" s="6"/>
    </row>
    <row r="2339">
      <c r="A2339" s="16"/>
      <c r="B2339" s="16"/>
      <c r="C2339" s="16"/>
      <c r="D2339" s="16"/>
      <c r="E2339" s="16"/>
      <c r="F2339" s="17"/>
      <c r="G2339" s="17"/>
      <c r="I2339" s="6"/>
      <c r="J2339" s="6"/>
    </row>
    <row r="2340">
      <c r="A2340" s="16"/>
      <c r="B2340" s="16"/>
      <c r="C2340" s="16"/>
      <c r="D2340" s="16"/>
      <c r="E2340" s="16"/>
      <c r="F2340" s="17"/>
      <c r="G2340" s="17"/>
      <c r="I2340" s="6"/>
      <c r="J2340" s="6"/>
    </row>
    <row r="2341">
      <c r="A2341" s="16"/>
      <c r="B2341" s="16"/>
      <c r="C2341" s="16"/>
      <c r="D2341" s="16"/>
      <c r="E2341" s="16"/>
      <c r="F2341" s="17"/>
      <c r="G2341" s="17"/>
      <c r="I2341" s="6"/>
      <c r="J2341" s="6"/>
    </row>
    <row r="2342">
      <c r="A2342" s="16"/>
      <c r="B2342" s="16"/>
      <c r="C2342" s="16"/>
      <c r="D2342" s="16"/>
      <c r="E2342" s="16"/>
      <c r="F2342" s="17"/>
      <c r="G2342" s="17"/>
      <c r="I2342" s="6"/>
      <c r="J2342" s="6"/>
    </row>
    <row r="2343">
      <c r="A2343" s="16"/>
      <c r="B2343" s="16"/>
      <c r="C2343" s="16"/>
      <c r="D2343" s="16"/>
      <c r="E2343" s="16"/>
      <c r="F2343" s="17"/>
      <c r="G2343" s="17"/>
      <c r="I2343" s="6"/>
      <c r="J2343" s="6"/>
    </row>
    <row r="2344">
      <c r="A2344" s="16"/>
      <c r="B2344" s="16"/>
      <c r="C2344" s="16"/>
      <c r="D2344" s="16"/>
      <c r="E2344" s="16"/>
      <c r="F2344" s="17"/>
      <c r="G2344" s="17"/>
      <c r="I2344" s="6"/>
      <c r="J2344" s="6"/>
    </row>
    <row r="2345">
      <c r="A2345" s="16"/>
      <c r="B2345" s="16"/>
      <c r="C2345" s="16"/>
      <c r="D2345" s="16"/>
      <c r="E2345" s="16"/>
      <c r="F2345" s="17"/>
      <c r="G2345" s="17"/>
      <c r="I2345" s="6"/>
      <c r="J2345" s="6"/>
    </row>
    <row r="2346">
      <c r="A2346" s="16"/>
      <c r="B2346" s="16"/>
      <c r="C2346" s="16"/>
      <c r="D2346" s="16"/>
      <c r="E2346" s="16"/>
      <c r="F2346" s="17"/>
      <c r="G2346" s="17"/>
      <c r="I2346" s="6"/>
      <c r="J2346" s="6"/>
    </row>
    <row r="2347">
      <c r="A2347" s="16"/>
      <c r="B2347" s="16"/>
      <c r="C2347" s="16"/>
      <c r="D2347" s="16"/>
      <c r="E2347" s="16"/>
      <c r="F2347" s="17"/>
      <c r="G2347" s="17"/>
      <c r="I2347" s="6"/>
      <c r="J2347" s="6"/>
    </row>
    <row r="2348">
      <c r="A2348" s="16"/>
      <c r="B2348" s="16"/>
      <c r="C2348" s="16"/>
      <c r="D2348" s="16"/>
      <c r="E2348" s="16"/>
      <c r="F2348" s="17"/>
      <c r="G2348" s="17"/>
      <c r="I2348" s="6"/>
      <c r="J2348" s="6"/>
    </row>
    <row r="2349">
      <c r="A2349" s="16"/>
      <c r="B2349" s="16"/>
      <c r="C2349" s="16"/>
      <c r="D2349" s="16"/>
      <c r="E2349" s="16"/>
      <c r="F2349" s="17"/>
      <c r="G2349" s="17"/>
      <c r="I2349" s="6"/>
      <c r="J2349" s="6"/>
    </row>
    <row r="2350">
      <c r="A2350" s="16"/>
      <c r="B2350" s="16"/>
      <c r="C2350" s="16"/>
      <c r="D2350" s="16"/>
      <c r="E2350" s="16"/>
      <c r="F2350" s="17"/>
      <c r="G2350" s="17"/>
      <c r="I2350" s="6"/>
      <c r="J2350" s="6"/>
    </row>
    <row r="2351">
      <c r="A2351" s="16"/>
      <c r="B2351" s="16"/>
      <c r="C2351" s="16"/>
      <c r="D2351" s="16"/>
      <c r="E2351" s="16"/>
      <c r="F2351" s="17"/>
      <c r="G2351" s="17"/>
      <c r="I2351" s="6"/>
      <c r="J2351" s="6"/>
    </row>
    <row r="2352">
      <c r="A2352" s="16"/>
      <c r="B2352" s="16"/>
      <c r="C2352" s="16"/>
      <c r="D2352" s="16"/>
      <c r="E2352" s="16"/>
      <c r="F2352" s="17"/>
      <c r="G2352" s="17"/>
      <c r="I2352" s="6"/>
      <c r="J2352" s="6"/>
    </row>
    <row r="2353">
      <c r="A2353" s="16"/>
      <c r="B2353" s="16"/>
      <c r="C2353" s="16"/>
      <c r="D2353" s="16"/>
      <c r="E2353" s="16"/>
      <c r="F2353" s="17"/>
      <c r="G2353" s="17"/>
      <c r="I2353" s="6"/>
      <c r="J2353" s="6"/>
    </row>
    <row r="2354">
      <c r="A2354" s="16"/>
      <c r="B2354" s="16"/>
      <c r="C2354" s="16"/>
      <c r="D2354" s="16"/>
      <c r="E2354" s="16"/>
      <c r="F2354" s="17"/>
      <c r="G2354" s="17"/>
      <c r="I2354" s="6"/>
      <c r="J2354" s="6"/>
    </row>
    <row r="2355">
      <c r="A2355" s="16"/>
      <c r="B2355" s="16"/>
      <c r="C2355" s="16"/>
      <c r="D2355" s="16"/>
      <c r="E2355" s="16"/>
      <c r="F2355" s="17"/>
      <c r="G2355" s="17"/>
      <c r="I2355" s="6"/>
      <c r="J2355" s="6"/>
    </row>
    <row r="2356">
      <c r="A2356" s="16"/>
      <c r="B2356" s="16"/>
      <c r="C2356" s="16"/>
      <c r="D2356" s="16"/>
      <c r="E2356" s="16"/>
      <c r="F2356" s="17"/>
      <c r="G2356" s="17"/>
      <c r="I2356" s="6"/>
      <c r="J2356" s="6"/>
    </row>
    <row r="2357">
      <c r="A2357" s="16"/>
      <c r="B2357" s="16"/>
      <c r="C2357" s="16"/>
      <c r="D2357" s="16"/>
      <c r="E2357" s="16"/>
      <c r="F2357" s="17"/>
      <c r="G2357" s="17"/>
      <c r="I2357" s="6"/>
      <c r="J2357" s="6"/>
    </row>
    <row r="2358">
      <c r="A2358" s="16"/>
      <c r="B2358" s="16"/>
      <c r="C2358" s="16"/>
      <c r="D2358" s="16"/>
      <c r="E2358" s="16"/>
      <c r="F2358" s="17"/>
      <c r="G2358" s="17"/>
      <c r="I2358" s="6"/>
      <c r="J2358" s="6"/>
    </row>
    <row r="2359">
      <c r="A2359" s="16"/>
      <c r="B2359" s="16"/>
      <c r="C2359" s="16"/>
      <c r="D2359" s="16"/>
      <c r="E2359" s="16"/>
      <c r="F2359" s="17"/>
      <c r="G2359" s="17"/>
      <c r="I2359" s="6"/>
      <c r="J2359" s="6"/>
    </row>
    <row r="2360">
      <c r="A2360" s="16"/>
      <c r="B2360" s="16"/>
      <c r="C2360" s="16"/>
      <c r="D2360" s="16"/>
      <c r="E2360" s="16"/>
      <c r="F2360" s="17"/>
      <c r="G2360" s="17"/>
      <c r="I2360" s="6"/>
      <c r="J2360" s="6"/>
    </row>
    <row r="2361">
      <c r="A2361" s="16"/>
      <c r="B2361" s="16"/>
      <c r="C2361" s="16"/>
      <c r="D2361" s="16"/>
      <c r="E2361" s="16"/>
      <c r="F2361" s="17"/>
      <c r="G2361" s="17"/>
      <c r="I2361" s="6"/>
      <c r="J2361" s="6"/>
    </row>
    <row r="2362">
      <c r="A2362" s="16"/>
      <c r="B2362" s="16"/>
      <c r="C2362" s="16"/>
      <c r="D2362" s="16"/>
      <c r="E2362" s="16"/>
      <c r="F2362" s="17"/>
      <c r="G2362" s="17"/>
      <c r="I2362" s="6"/>
      <c r="J2362" s="6"/>
    </row>
    <row r="2363">
      <c r="A2363" s="16"/>
      <c r="B2363" s="16"/>
      <c r="C2363" s="16"/>
      <c r="D2363" s="16"/>
      <c r="E2363" s="16"/>
      <c r="F2363" s="17"/>
      <c r="G2363" s="17"/>
      <c r="I2363" s="6"/>
      <c r="J2363" s="6"/>
    </row>
    <row r="2364">
      <c r="A2364" s="16"/>
      <c r="B2364" s="16"/>
      <c r="C2364" s="16"/>
      <c r="D2364" s="16"/>
      <c r="E2364" s="16"/>
      <c r="F2364" s="17"/>
      <c r="G2364" s="17"/>
      <c r="I2364" s="6"/>
      <c r="J2364" s="6"/>
    </row>
    <row r="2365">
      <c r="A2365" s="16"/>
      <c r="B2365" s="16"/>
      <c r="C2365" s="16"/>
      <c r="D2365" s="16"/>
      <c r="E2365" s="16"/>
      <c r="F2365" s="17"/>
      <c r="G2365" s="17"/>
      <c r="I2365" s="6"/>
      <c r="J2365" s="6"/>
    </row>
    <row r="2366">
      <c r="A2366" s="16"/>
      <c r="B2366" s="16"/>
      <c r="C2366" s="16"/>
      <c r="D2366" s="16"/>
      <c r="E2366" s="16"/>
      <c r="F2366" s="17"/>
      <c r="G2366" s="17"/>
      <c r="I2366" s="6"/>
      <c r="J2366" s="6"/>
    </row>
    <row r="2367">
      <c r="A2367" s="16"/>
      <c r="B2367" s="16"/>
      <c r="C2367" s="16"/>
      <c r="D2367" s="16"/>
      <c r="E2367" s="16"/>
      <c r="F2367" s="17"/>
      <c r="G2367" s="17"/>
      <c r="I2367" s="6"/>
      <c r="J2367" s="6"/>
    </row>
    <row r="2368">
      <c r="A2368" s="16"/>
      <c r="B2368" s="16"/>
      <c r="C2368" s="16"/>
      <c r="D2368" s="16"/>
      <c r="E2368" s="16"/>
      <c r="F2368" s="17"/>
      <c r="G2368" s="17"/>
      <c r="I2368" s="6"/>
      <c r="J2368" s="6"/>
    </row>
    <row r="2369">
      <c r="A2369" s="16"/>
      <c r="B2369" s="16"/>
      <c r="C2369" s="16"/>
      <c r="D2369" s="16"/>
      <c r="E2369" s="16"/>
      <c r="F2369" s="17"/>
      <c r="G2369" s="17"/>
      <c r="I2369" s="6"/>
      <c r="J2369" s="6"/>
    </row>
    <row r="2370">
      <c r="A2370" s="16"/>
      <c r="B2370" s="16"/>
      <c r="C2370" s="16"/>
      <c r="D2370" s="16"/>
      <c r="E2370" s="16"/>
      <c r="F2370" s="17"/>
      <c r="G2370" s="17"/>
      <c r="I2370" s="6"/>
      <c r="J2370" s="6"/>
    </row>
    <row r="2371">
      <c r="A2371" s="16"/>
      <c r="B2371" s="16"/>
      <c r="C2371" s="16"/>
      <c r="D2371" s="16"/>
      <c r="E2371" s="16"/>
      <c r="F2371" s="17"/>
      <c r="G2371" s="17"/>
      <c r="I2371" s="6"/>
      <c r="J2371" s="6"/>
    </row>
    <row r="2372">
      <c r="A2372" s="16"/>
      <c r="B2372" s="16"/>
      <c r="C2372" s="16"/>
      <c r="D2372" s="16"/>
      <c r="E2372" s="16"/>
      <c r="F2372" s="17"/>
      <c r="G2372" s="17"/>
      <c r="I2372" s="6"/>
      <c r="J2372" s="6"/>
    </row>
    <row r="2373">
      <c r="A2373" s="16"/>
      <c r="B2373" s="16"/>
      <c r="C2373" s="16"/>
      <c r="D2373" s="16"/>
      <c r="E2373" s="16"/>
      <c r="F2373" s="17"/>
      <c r="G2373" s="17"/>
      <c r="I2373" s="6"/>
      <c r="J2373" s="6"/>
    </row>
    <row r="2374">
      <c r="A2374" s="16"/>
      <c r="B2374" s="16"/>
      <c r="C2374" s="16"/>
      <c r="D2374" s="16"/>
      <c r="E2374" s="16"/>
      <c r="F2374" s="17"/>
      <c r="G2374" s="17"/>
      <c r="I2374" s="6"/>
      <c r="J2374" s="6"/>
    </row>
    <row r="2375">
      <c r="A2375" s="16"/>
      <c r="B2375" s="16"/>
      <c r="C2375" s="16"/>
      <c r="D2375" s="16"/>
      <c r="E2375" s="16"/>
      <c r="F2375" s="17"/>
      <c r="G2375" s="17"/>
      <c r="I2375" s="6"/>
      <c r="J2375" s="6"/>
    </row>
    <row r="2376">
      <c r="A2376" s="16"/>
      <c r="B2376" s="16"/>
      <c r="C2376" s="16"/>
      <c r="D2376" s="16"/>
      <c r="E2376" s="16"/>
      <c r="F2376" s="17"/>
      <c r="G2376" s="17"/>
      <c r="I2376" s="6"/>
      <c r="J2376" s="6"/>
    </row>
    <row r="2377">
      <c r="A2377" s="16"/>
      <c r="B2377" s="16"/>
      <c r="C2377" s="16"/>
      <c r="D2377" s="16"/>
      <c r="E2377" s="16"/>
      <c r="F2377" s="17"/>
      <c r="G2377" s="17"/>
      <c r="I2377" s="6"/>
      <c r="J2377" s="6"/>
    </row>
    <row r="2378">
      <c r="A2378" s="16"/>
      <c r="B2378" s="16"/>
      <c r="C2378" s="16"/>
      <c r="D2378" s="16"/>
      <c r="E2378" s="16"/>
      <c r="F2378" s="17"/>
      <c r="G2378" s="17"/>
      <c r="I2378" s="6"/>
      <c r="J2378" s="6"/>
    </row>
    <row r="2379">
      <c r="A2379" s="16"/>
      <c r="B2379" s="16"/>
      <c r="C2379" s="16"/>
      <c r="D2379" s="16"/>
      <c r="E2379" s="16"/>
      <c r="F2379" s="17"/>
      <c r="G2379" s="17"/>
      <c r="I2379" s="6"/>
      <c r="J2379" s="6"/>
    </row>
    <row r="2380">
      <c r="A2380" s="16"/>
      <c r="B2380" s="16"/>
      <c r="C2380" s="16"/>
      <c r="D2380" s="16"/>
      <c r="E2380" s="16"/>
      <c r="F2380" s="17"/>
      <c r="G2380" s="17"/>
      <c r="I2380" s="6"/>
      <c r="J2380" s="6"/>
    </row>
    <row r="2381">
      <c r="A2381" s="16"/>
      <c r="B2381" s="16"/>
      <c r="C2381" s="16"/>
      <c r="D2381" s="16"/>
      <c r="E2381" s="16"/>
      <c r="F2381" s="17"/>
      <c r="G2381" s="17"/>
      <c r="I2381" s="6"/>
      <c r="J2381" s="6"/>
    </row>
    <row r="2382">
      <c r="A2382" s="16"/>
      <c r="B2382" s="16"/>
      <c r="C2382" s="16"/>
      <c r="D2382" s="16"/>
      <c r="E2382" s="16"/>
      <c r="F2382" s="17"/>
      <c r="G2382" s="17"/>
      <c r="I2382" s="6"/>
      <c r="J2382" s="6"/>
    </row>
    <row r="2383">
      <c r="A2383" s="16"/>
      <c r="B2383" s="16"/>
      <c r="C2383" s="16"/>
      <c r="D2383" s="16"/>
      <c r="E2383" s="16"/>
      <c r="F2383" s="17"/>
      <c r="G2383" s="17"/>
      <c r="I2383" s="6"/>
      <c r="J2383" s="6"/>
    </row>
    <row r="2384">
      <c r="A2384" s="16"/>
      <c r="B2384" s="16"/>
      <c r="C2384" s="16"/>
      <c r="D2384" s="16"/>
      <c r="E2384" s="16"/>
      <c r="F2384" s="17"/>
      <c r="G2384" s="17"/>
      <c r="I2384" s="6"/>
      <c r="J2384" s="6"/>
    </row>
    <row r="2385">
      <c r="A2385" s="16"/>
      <c r="B2385" s="16"/>
      <c r="C2385" s="16"/>
      <c r="D2385" s="16"/>
      <c r="E2385" s="16"/>
      <c r="F2385" s="17"/>
      <c r="G2385" s="17"/>
      <c r="I2385" s="6"/>
      <c r="J2385" s="6"/>
    </row>
    <row r="2386">
      <c r="A2386" s="16"/>
      <c r="B2386" s="16"/>
      <c r="C2386" s="16"/>
      <c r="D2386" s="16"/>
      <c r="E2386" s="16"/>
      <c r="F2386" s="17"/>
      <c r="G2386" s="17"/>
      <c r="I2386" s="6"/>
      <c r="J2386" s="6"/>
    </row>
    <row r="2387">
      <c r="A2387" s="16"/>
      <c r="B2387" s="16"/>
      <c r="C2387" s="16"/>
      <c r="D2387" s="16"/>
      <c r="E2387" s="16"/>
      <c r="F2387" s="17"/>
      <c r="G2387" s="17"/>
      <c r="I2387" s="6"/>
      <c r="J2387" s="6"/>
    </row>
    <row r="2388">
      <c r="A2388" s="16"/>
      <c r="B2388" s="16"/>
      <c r="C2388" s="16"/>
      <c r="D2388" s="16"/>
      <c r="E2388" s="16"/>
      <c r="F2388" s="17"/>
      <c r="G2388" s="17"/>
      <c r="I2388" s="6"/>
      <c r="J2388" s="6"/>
    </row>
    <row r="2389">
      <c r="A2389" s="16"/>
      <c r="B2389" s="16"/>
      <c r="C2389" s="16"/>
      <c r="D2389" s="16"/>
      <c r="E2389" s="16"/>
      <c r="F2389" s="17"/>
      <c r="G2389" s="17"/>
      <c r="I2389" s="6"/>
      <c r="J2389" s="6"/>
    </row>
    <row r="2390">
      <c r="A2390" s="16"/>
      <c r="B2390" s="16"/>
      <c r="C2390" s="16"/>
      <c r="D2390" s="16"/>
      <c r="E2390" s="16"/>
      <c r="F2390" s="17"/>
      <c r="G2390" s="17"/>
      <c r="I2390" s="6"/>
      <c r="J2390" s="6"/>
    </row>
    <row r="2391">
      <c r="A2391" s="16"/>
      <c r="B2391" s="16"/>
      <c r="C2391" s="16"/>
      <c r="D2391" s="16"/>
      <c r="E2391" s="16"/>
      <c r="F2391" s="17"/>
      <c r="G2391" s="17"/>
      <c r="I2391" s="6"/>
      <c r="J2391" s="6"/>
    </row>
    <row r="2392">
      <c r="A2392" s="16"/>
      <c r="B2392" s="16"/>
      <c r="C2392" s="16"/>
      <c r="D2392" s="16"/>
      <c r="E2392" s="16"/>
      <c r="F2392" s="17"/>
      <c r="G2392" s="17"/>
      <c r="I2392" s="6"/>
      <c r="J2392" s="6"/>
    </row>
    <row r="2393">
      <c r="A2393" s="16"/>
      <c r="B2393" s="16"/>
      <c r="C2393" s="16"/>
      <c r="D2393" s="16"/>
      <c r="E2393" s="16"/>
      <c r="F2393" s="17"/>
      <c r="G2393" s="17"/>
      <c r="I2393" s="6"/>
      <c r="J2393" s="6"/>
    </row>
    <row r="2394">
      <c r="A2394" s="16"/>
      <c r="B2394" s="16"/>
      <c r="C2394" s="16"/>
      <c r="D2394" s="16"/>
      <c r="E2394" s="16"/>
      <c r="F2394" s="17"/>
      <c r="G2394" s="17"/>
      <c r="I2394" s="6"/>
      <c r="J2394" s="6"/>
    </row>
    <row r="2395">
      <c r="A2395" s="16"/>
      <c r="B2395" s="16"/>
      <c r="C2395" s="16"/>
      <c r="D2395" s="16"/>
      <c r="E2395" s="16"/>
      <c r="F2395" s="17"/>
      <c r="G2395" s="17"/>
      <c r="I2395" s="6"/>
      <c r="J2395" s="6"/>
    </row>
    <row r="2396">
      <c r="A2396" s="16"/>
      <c r="B2396" s="16"/>
      <c r="C2396" s="16"/>
      <c r="D2396" s="16"/>
      <c r="E2396" s="16"/>
      <c r="F2396" s="17"/>
      <c r="G2396" s="17"/>
      <c r="I2396" s="6"/>
      <c r="J2396" s="6"/>
    </row>
    <row r="2397">
      <c r="A2397" s="16"/>
      <c r="B2397" s="16"/>
      <c r="C2397" s="16"/>
      <c r="D2397" s="16"/>
      <c r="E2397" s="16"/>
      <c r="F2397" s="17"/>
      <c r="G2397" s="17"/>
      <c r="I2397" s="6"/>
      <c r="J2397" s="6"/>
    </row>
    <row r="2398">
      <c r="A2398" s="16"/>
      <c r="B2398" s="16"/>
      <c r="C2398" s="16"/>
      <c r="D2398" s="16"/>
      <c r="E2398" s="16"/>
      <c r="F2398" s="17"/>
      <c r="G2398" s="17"/>
      <c r="I2398" s="6"/>
      <c r="J2398" s="6"/>
    </row>
    <row r="2399">
      <c r="A2399" s="16"/>
      <c r="B2399" s="16"/>
      <c r="C2399" s="16"/>
      <c r="D2399" s="16"/>
      <c r="E2399" s="16"/>
      <c r="F2399" s="17"/>
      <c r="G2399" s="17"/>
      <c r="I2399" s="6"/>
      <c r="J2399" s="6"/>
    </row>
    <row r="2400">
      <c r="A2400" s="16"/>
      <c r="B2400" s="16"/>
      <c r="C2400" s="16"/>
      <c r="D2400" s="16"/>
      <c r="E2400" s="16"/>
      <c r="F2400" s="17"/>
      <c r="G2400" s="17"/>
      <c r="I2400" s="6"/>
      <c r="J2400" s="6"/>
    </row>
    <row r="2401">
      <c r="A2401" s="16"/>
      <c r="B2401" s="16"/>
      <c r="C2401" s="16"/>
      <c r="D2401" s="16"/>
      <c r="E2401" s="16"/>
      <c r="F2401" s="17"/>
      <c r="G2401" s="17"/>
      <c r="I2401" s="6"/>
      <c r="J2401" s="6"/>
    </row>
    <row r="2402">
      <c r="A2402" s="16"/>
      <c r="B2402" s="16"/>
      <c r="C2402" s="16"/>
      <c r="D2402" s="16"/>
      <c r="E2402" s="16"/>
      <c r="F2402" s="17"/>
      <c r="G2402" s="17"/>
      <c r="I2402" s="6"/>
      <c r="J2402" s="6"/>
    </row>
    <row r="2403">
      <c r="A2403" s="16"/>
      <c r="B2403" s="16"/>
      <c r="C2403" s="16"/>
      <c r="D2403" s="16"/>
      <c r="E2403" s="16"/>
      <c r="F2403" s="17"/>
      <c r="G2403" s="17"/>
      <c r="I2403" s="6"/>
      <c r="J2403" s="6"/>
    </row>
    <row r="2404">
      <c r="A2404" s="16"/>
      <c r="B2404" s="16"/>
      <c r="C2404" s="16"/>
      <c r="D2404" s="16"/>
      <c r="E2404" s="16"/>
      <c r="F2404" s="17"/>
      <c r="G2404" s="17"/>
      <c r="I2404" s="6"/>
      <c r="J2404" s="6"/>
    </row>
    <row r="2405">
      <c r="A2405" s="16"/>
      <c r="B2405" s="16"/>
      <c r="C2405" s="16"/>
      <c r="D2405" s="16"/>
      <c r="E2405" s="16"/>
      <c r="F2405" s="17"/>
      <c r="G2405" s="17"/>
      <c r="I2405" s="6"/>
      <c r="J2405" s="6"/>
    </row>
    <row r="2406">
      <c r="A2406" s="16"/>
      <c r="B2406" s="16"/>
      <c r="C2406" s="16"/>
      <c r="D2406" s="16"/>
      <c r="E2406" s="16"/>
      <c r="F2406" s="17"/>
      <c r="G2406" s="17"/>
      <c r="I2406" s="6"/>
      <c r="J2406" s="6"/>
    </row>
    <row r="2407">
      <c r="A2407" s="16"/>
      <c r="B2407" s="16"/>
      <c r="C2407" s="16"/>
      <c r="D2407" s="16"/>
      <c r="E2407" s="16"/>
      <c r="F2407" s="17"/>
      <c r="G2407" s="17"/>
      <c r="I2407" s="6"/>
      <c r="J2407" s="6"/>
    </row>
    <row r="2408">
      <c r="A2408" s="16"/>
      <c r="B2408" s="16"/>
      <c r="C2408" s="16"/>
      <c r="D2408" s="16"/>
      <c r="E2408" s="16"/>
      <c r="F2408" s="17"/>
      <c r="G2408" s="17"/>
      <c r="I2408" s="6"/>
      <c r="J2408" s="6"/>
    </row>
    <row r="2409">
      <c r="A2409" s="16"/>
      <c r="B2409" s="16"/>
      <c r="C2409" s="16"/>
      <c r="D2409" s="16"/>
      <c r="E2409" s="16"/>
      <c r="F2409" s="17"/>
      <c r="G2409" s="17"/>
      <c r="I2409" s="6"/>
      <c r="J2409" s="6"/>
    </row>
    <row r="2410">
      <c r="A2410" s="16"/>
      <c r="B2410" s="16"/>
      <c r="C2410" s="16"/>
      <c r="D2410" s="16"/>
      <c r="E2410" s="16"/>
      <c r="F2410" s="17"/>
      <c r="G2410" s="17"/>
      <c r="I2410" s="6"/>
      <c r="J2410" s="6"/>
    </row>
    <row r="2411">
      <c r="A2411" s="16"/>
      <c r="B2411" s="16"/>
      <c r="C2411" s="16"/>
      <c r="D2411" s="16"/>
      <c r="E2411" s="16"/>
      <c r="F2411" s="17"/>
      <c r="G2411" s="17"/>
      <c r="I2411" s="6"/>
      <c r="J2411" s="6"/>
    </row>
    <row r="2412">
      <c r="A2412" s="16"/>
      <c r="B2412" s="16"/>
      <c r="C2412" s="16"/>
      <c r="D2412" s="16"/>
      <c r="E2412" s="16"/>
      <c r="F2412" s="17"/>
      <c r="G2412" s="17"/>
      <c r="I2412" s="6"/>
      <c r="J2412" s="6"/>
    </row>
    <row r="2413">
      <c r="A2413" s="16"/>
      <c r="B2413" s="16"/>
      <c r="C2413" s="16"/>
      <c r="D2413" s="16"/>
      <c r="E2413" s="16"/>
      <c r="F2413" s="17"/>
      <c r="G2413" s="17"/>
      <c r="I2413" s="6"/>
      <c r="J2413" s="6"/>
    </row>
    <row r="2414">
      <c r="A2414" s="16"/>
      <c r="B2414" s="16"/>
      <c r="C2414" s="16"/>
      <c r="D2414" s="16"/>
      <c r="E2414" s="16"/>
      <c r="F2414" s="17"/>
      <c r="G2414" s="17"/>
      <c r="I2414" s="6"/>
      <c r="J2414" s="6"/>
    </row>
    <row r="2415">
      <c r="A2415" s="16"/>
      <c r="B2415" s="16"/>
      <c r="C2415" s="16"/>
      <c r="D2415" s="16"/>
      <c r="E2415" s="16"/>
      <c r="F2415" s="17"/>
      <c r="G2415" s="17"/>
      <c r="I2415" s="6"/>
      <c r="J2415" s="6"/>
    </row>
    <row r="2416">
      <c r="A2416" s="16"/>
      <c r="B2416" s="16"/>
      <c r="C2416" s="16"/>
      <c r="D2416" s="16"/>
      <c r="E2416" s="16"/>
      <c r="F2416" s="17"/>
      <c r="G2416" s="17"/>
      <c r="I2416" s="6"/>
      <c r="J2416" s="6"/>
    </row>
    <row r="2417">
      <c r="A2417" s="16"/>
      <c r="B2417" s="16"/>
      <c r="C2417" s="16"/>
      <c r="D2417" s="16"/>
      <c r="E2417" s="16"/>
      <c r="F2417" s="17"/>
      <c r="G2417" s="17"/>
      <c r="I2417" s="6"/>
      <c r="J2417" s="6"/>
    </row>
    <row r="2418">
      <c r="A2418" s="16"/>
      <c r="B2418" s="16"/>
      <c r="C2418" s="16"/>
      <c r="D2418" s="16"/>
      <c r="E2418" s="16"/>
      <c r="F2418" s="17"/>
      <c r="G2418" s="17"/>
      <c r="I2418" s="6"/>
      <c r="J2418" s="6"/>
    </row>
    <row r="2419">
      <c r="A2419" s="16"/>
      <c r="B2419" s="16"/>
      <c r="C2419" s="16"/>
      <c r="D2419" s="16"/>
      <c r="E2419" s="16"/>
      <c r="F2419" s="17"/>
      <c r="G2419" s="17"/>
      <c r="I2419" s="6"/>
      <c r="J2419" s="6"/>
    </row>
    <row r="2420">
      <c r="A2420" s="16"/>
      <c r="B2420" s="16"/>
      <c r="C2420" s="16"/>
      <c r="D2420" s="16"/>
      <c r="E2420" s="16"/>
      <c r="F2420" s="17"/>
      <c r="G2420" s="17"/>
      <c r="I2420" s="6"/>
      <c r="J2420" s="6"/>
    </row>
    <row r="2421">
      <c r="A2421" s="16"/>
      <c r="B2421" s="16"/>
      <c r="C2421" s="16"/>
      <c r="D2421" s="16"/>
      <c r="E2421" s="16"/>
      <c r="F2421" s="17"/>
      <c r="G2421" s="17"/>
      <c r="I2421" s="6"/>
      <c r="J2421" s="6"/>
    </row>
    <row r="2422">
      <c r="A2422" s="16"/>
      <c r="B2422" s="16"/>
      <c r="C2422" s="16"/>
      <c r="D2422" s="16"/>
      <c r="E2422" s="16"/>
      <c r="F2422" s="17"/>
      <c r="G2422" s="17"/>
      <c r="I2422" s="6"/>
      <c r="J2422" s="6"/>
    </row>
    <row r="2423">
      <c r="A2423" s="16"/>
      <c r="B2423" s="16"/>
      <c r="C2423" s="16"/>
      <c r="D2423" s="16"/>
      <c r="E2423" s="16"/>
      <c r="F2423" s="17"/>
      <c r="G2423" s="17"/>
      <c r="I2423" s="6"/>
      <c r="J2423" s="6"/>
    </row>
    <row r="2424">
      <c r="A2424" s="16"/>
      <c r="B2424" s="16"/>
      <c r="C2424" s="16"/>
      <c r="D2424" s="16"/>
      <c r="E2424" s="16"/>
      <c r="F2424" s="17"/>
      <c r="G2424" s="17"/>
      <c r="I2424" s="6"/>
      <c r="J2424" s="6"/>
    </row>
    <row r="2425">
      <c r="A2425" s="16"/>
      <c r="B2425" s="16"/>
      <c r="C2425" s="16"/>
      <c r="D2425" s="16"/>
      <c r="E2425" s="16"/>
      <c r="F2425" s="17"/>
      <c r="G2425" s="17"/>
      <c r="I2425" s="6"/>
      <c r="J2425" s="6"/>
    </row>
    <row r="2426">
      <c r="A2426" s="16"/>
      <c r="B2426" s="16"/>
      <c r="C2426" s="16"/>
      <c r="D2426" s="16"/>
      <c r="E2426" s="16"/>
      <c r="F2426" s="17"/>
      <c r="G2426" s="17"/>
      <c r="I2426" s="6"/>
      <c r="J2426" s="6"/>
    </row>
    <row r="2427">
      <c r="A2427" s="16"/>
      <c r="B2427" s="16"/>
      <c r="C2427" s="16"/>
      <c r="D2427" s="16"/>
      <c r="E2427" s="16"/>
      <c r="F2427" s="17"/>
      <c r="G2427" s="17"/>
      <c r="I2427" s="6"/>
      <c r="J2427" s="6"/>
    </row>
    <row r="2428">
      <c r="A2428" s="16"/>
      <c r="B2428" s="16"/>
      <c r="C2428" s="16"/>
      <c r="D2428" s="16"/>
      <c r="E2428" s="16"/>
      <c r="F2428" s="17"/>
      <c r="G2428" s="17"/>
      <c r="I2428" s="6"/>
      <c r="J2428" s="6"/>
    </row>
    <row r="2429">
      <c r="A2429" s="16"/>
      <c r="B2429" s="16"/>
      <c r="C2429" s="16"/>
      <c r="D2429" s="16"/>
      <c r="E2429" s="16"/>
      <c r="F2429" s="17"/>
      <c r="G2429" s="17"/>
      <c r="I2429" s="6"/>
      <c r="J2429" s="6"/>
    </row>
    <row r="2430">
      <c r="A2430" s="16"/>
      <c r="B2430" s="16"/>
      <c r="C2430" s="16"/>
      <c r="D2430" s="16"/>
      <c r="E2430" s="16"/>
      <c r="F2430" s="17"/>
      <c r="G2430" s="17"/>
      <c r="I2430" s="6"/>
      <c r="J2430" s="6"/>
    </row>
    <row r="2431">
      <c r="A2431" s="16"/>
      <c r="B2431" s="16"/>
      <c r="C2431" s="16"/>
      <c r="D2431" s="16"/>
      <c r="E2431" s="16"/>
      <c r="F2431" s="17"/>
      <c r="G2431" s="17"/>
      <c r="I2431" s="6"/>
      <c r="J2431" s="6"/>
    </row>
    <row r="2432">
      <c r="A2432" s="16"/>
      <c r="B2432" s="16"/>
      <c r="C2432" s="16"/>
      <c r="D2432" s="16"/>
      <c r="E2432" s="16"/>
      <c r="F2432" s="17"/>
      <c r="G2432" s="17"/>
      <c r="I2432" s="6"/>
      <c r="J2432" s="6"/>
    </row>
    <row r="2433">
      <c r="A2433" s="16"/>
      <c r="B2433" s="16"/>
      <c r="C2433" s="16"/>
      <c r="D2433" s="16"/>
      <c r="E2433" s="16"/>
      <c r="F2433" s="17"/>
      <c r="G2433" s="17"/>
      <c r="I2433" s="6"/>
      <c r="J2433" s="6"/>
    </row>
    <row r="2434">
      <c r="A2434" s="16"/>
      <c r="B2434" s="16"/>
      <c r="C2434" s="16"/>
      <c r="D2434" s="16"/>
      <c r="E2434" s="16"/>
      <c r="F2434" s="17"/>
      <c r="G2434" s="17"/>
      <c r="I2434" s="6"/>
      <c r="J2434" s="6"/>
    </row>
    <row r="2435">
      <c r="A2435" s="16"/>
      <c r="B2435" s="16"/>
      <c r="C2435" s="16"/>
      <c r="D2435" s="16"/>
      <c r="E2435" s="16"/>
      <c r="F2435" s="17"/>
      <c r="G2435" s="17"/>
      <c r="I2435" s="6"/>
      <c r="J2435" s="6"/>
    </row>
    <row r="2436">
      <c r="A2436" s="16"/>
      <c r="B2436" s="16"/>
      <c r="C2436" s="16"/>
      <c r="D2436" s="16"/>
      <c r="E2436" s="16"/>
      <c r="F2436" s="17"/>
      <c r="G2436" s="17"/>
      <c r="I2436" s="6"/>
      <c r="J2436" s="6"/>
    </row>
    <row r="2437">
      <c r="A2437" s="16"/>
      <c r="B2437" s="16"/>
      <c r="C2437" s="16"/>
      <c r="D2437" s="16"/>
      <c r="E2437" s="16"/>
      <c r="F2437" s="17"/>
      <c r="G2437" s="17"/>
      <c r="I2437" s="6"/>
      <c r="J2437" s="6"/>
    </row>
    <row r="2438">
      <c r="A2438" s="16"/>
      <c r="B2438" s="16"/>
      <c r="C2438" s="16"/>
      <c r="D2438" s="16"/>
      <c r="E2438" s="16"/>
      <c r="F2438" s="17"/>
      <c r="G2438" s="17"/>
      <c r="I2438" s="6"/>
      <c r="J2438" s="6"/>
    </row>
    <row r="2439">
      <c r="A2439" s="16"/>
      <c r="B2439" s="16"/>
      <c r="C2439" s="16"/>
      <c r="D2439" s="16"/>
      <c r="E2439" s="16"/>
      <c r="F2439" s="17"/>
      <c r="G2439" s="17"/>
      <c r="I2439" s="6"/>
      <c r="J2439" s="6"/>
    </row>
    <row r="2440">
      <c r="A2440" s="16"/>
      <c r="B2440" s="16"/>
      <c r="C2440" s="16"/>
      <c r="D2440" s="16"/>
      <c r="E2440" s="16"/>
      <c r="F2440" s="17"/>
      <c r="G2440" s="17"/>
      <c r="I2440" s="6"/>
      <c r="J2440" s="6"/>
    </row>
    <row r="2441">
      <c r="A2441" s="16"/>
      <c r="B2441" s="16"/>
      <c r="C2441" s="16"/>
      <c r="D2441" s="16"/>
      <c r="E2441" s="16"/>
      <c r="F2441" s="17"/>
      <c r="G2441" s="17"/>
      <c r="I2441" s="6"/>
      <c r="J2441" s="6"/>
    </row>
    <row r="2442">
      <c r="A2442" s="16"/>
      <c r="B2442" s="16"/>
      <c r="C2442" s="16"/>
      <c r="D2442" s="16"/>
      <c r="E2442" s="16"/>
      <c r="F2442" s="17"/>
      <c r="G2442" s="17"/>
      <c r="I2442" s="6"/>
      <c r="J2442" s="6"/>
    </row>
    <row r="2443">
      <c r="A2443" s="16"/>
      <c r="B2443" s="16"/>
      <c r="C2443" s="16"/>
      <c r="D2443" s="16"/>
      <c r="E2443" s="16"/>
      <c r="F2443" s="17"/>
      <c r="G2443" s="17"/>
      <c r="I2443" s="6"/>
      <c r="J2443" s="6"/>
    </row>
    <row r="2444">
      <c r="A2444" s="16"/>
      <c r="B2444" s="16"/>
      <c r="C2444" s="16"/>
      <c r="D2444" s="16"/>
      <c r="E2444" s="16"/>
      <c r="F2444" s="17"/>
      <c r="G2444" s="17"/>
      <c r="I2444" s="6"/>
      <c r="J2444" s="6"/>
    </row>
    <row r="2445">
      <c r="A2445" s="16"/>
      <c r="B2445" s="16"/>
      <c r="C2445" s="16"/>
      <c r="D2445" s="16"/>
      <c r="E2445" s="16"/>
      <c r="F2445" s="17"/>
      <c r="G2445" s="17"/>
      <c r="I2445" s="6"/>
      <c r="J2445" s="6"/>
    </row>
    <row r="2446">
      <c r="A2446" s="16"/>
      <c r="B2446" s="16"/>
      <c r="C2446" s="16"/>
      <c r="D2446" s="16"/>
      <c r="E2446" s="16"/>
      <c r="F2446" s="17"/>
      <c r="G2446" s="17"/>
      <c r="I2446" s="6"/>
      <c r="J2446" s="6"/>
    </row>
    <row r="2447">
      <c r="A2447" s="16"/>
      <c r="B2447" s="16"/>
      <c r="C2447" s="16"/>
      <c r="D2447" s="16"/>
      <c r="E2447" s="16"/>
      <c r="F2447" s="17"/>
      <c r="G2447" s="17"/>
      <c r="I2447" s="6"/>
      <c r="J2447" s="6"/>
    </row>
    <row r="2448">
      <c r="A2448" s="16"/>
      <c r="B2448" s="16"/>
      <c r="C2448" s="16"/>
      <c r="D2448" s="16"/>
      <c r="E2448" s="16"/>
      <c r="F2448" s="17"/>
      <c r="G2448" s="17"/>
      <c r="I2448" s="6"/>
      <c r="J2448" s="6"/>
    </row>
    <row r="2449">
      <c r="A2449" s="16"/>
      <c r="B2449" s="16"/>
      <c r="C2449" s="16"/>
      <c r="D2449" s="16"/>
      <c r="E2449" s="16"/>
      <c r="F2449" s="17"/>
      <c r="G2449" s="17"/>
      <c r="I2449" s="6"/>
      <c r="J2449" s="6"/>
    </row>
    <row r="2450">
      <c r="A2450" s="16"/>
      <c r="B2450" s="16"/>
      <c r="C2450" s="16"/>
      <c r="D2450" s="16"/>
      <c r="E2450" s="16"/>
      <c r="F2450" s="17"/>
      <c r="G2450" s="17"/>
      <c r="I2450" s="6"/>
      <c r="J2450" s="6"/>
    </row>
    <row r="2451">
      <c r="A2451" s="16"/>
      <c r="B2451" s="16"/>
      <c r="C2451" s="16"/>
      <c r="D2451" s="16"/>
      <c r="E2451" s="16"/>
      <c r="F2451" s="17"/>
      <c r="G2451" s="17"/>
      <c r="I2451" s="6"/>
      <c r="J2451" s="6"/>
    </row>
    <row r="2452">
      <c r="A2452" s="16"/>
      <c r="B2452" s="16"/>
      <c r="C2452" s="16"/>
      <c r="D2452" s="16"/>
      <c r="E2452" s="16"/>
      <c r="F2452" s="17"/>
      <c r="G2452" s="17"/>
      <c r="I2452" s="6"/>
      <c r="J2452" s="6"/>
    </row>
    <row r="2453">
      <c r="A2453" s="16"/>
      <c r="B2453" s="16"/>
      <c r="C2453" s="16"/>
      <c r="D2453" s="16"/>
      <c r="E2453" s="16"/>
      <c r="F2453" s="17"/>
      <c r="G2453" s="17"/>
      <c r="I2453" s="6"/>
      <c r="J2453" s="6"/>
    </row>
    <row r="2454">
      <c r="A2454" s="16"/>
      <c r="B2454" s="16"/>
      <c r="C2454" s="16"/>
      <c r="D2454" s="16"/>
      <c r="E2454" s="16"/>
      <c r="F2454" s="17"/>
      <c r="G2454" s="17"/>
      <c r="I2454" s="6"/>
      <c r="J2454" s="6"/>
    </row>
    <row r="2455">
      <c r="A2455" s="16"/>
      <c r="B2455" s="16"/>
      <c r="C2455" s="16"/>
      <c r="D2455" s="16"/>
      <c r="E2455" s="16"/>
      <c r="F2455" s="17"/>
      <c r="G2455" s="17"/>
      <c r="I2455" s="6"/>
      <c r="J2455" s="6"/>
    </row>
    <row r="2456">
      <c r="A2456" s="16"/>
      <c r="B2456" s="16"/>
      <c r="C2456" s="16"/>
      <c r="D2456" s="16"/>
      <c r="E2456" s="16"/>
      <c r="F2456" s="17"/>
      <c r="G2456" s="17"/>
      <c r="I2456" s="6"/>
      <c r="J2456" s="6"/>
    </row>
    <row r="2457">
      <c r="A2457" s="16"/>
      <c r="B2457" s="16"/>
      <c r="C2457" s="16"/>
      <c r="D2457" s="16"/>
      <c r="E2457" s="16"/>
      <c r="F2457" s="17"/>
      <c r="G2457" s="17"/>
      <c r="I2457" s="6"/>
      <c r="J2457" s="6"/>
    </row>
    <row r="2458">
      <c r="A2458" s="16"/>
      <c r="B2458" s="16"/>
      <c r="C2458" s="16"/>
      <c r="D2458" s="16"/>
      <c r="E2458" s="16"/>
      <c r="F2458" s="17"/>
      <c r="G2458" s="17"/>
      <c r="I2458" s="6"/>
      <c r="J2458" s="6"/>
    </row>
    <row r="2459">
      <c r="A2459" s="16"/>
      <c r="B2459" s="16"/>
      <c r="C2459" s="16"/>
      <c r="D2459" s="16"/>
      <c r="E2459" s="16"/>
      <c r="F2459" s="17"/>
      <c r="G2459" s="17"/>
      <c r="I2459" s="6"/>
      <c r="J2459" s="6"/>
    </row>
    <row r="2460">
      <c r="A2460" s="16"/>
      <c r="B2460" s="16"/>
      <c r="C2460" s="16"/>
      <c r="D2460" s="16"/>
      <c r="E2460" s="16"/>
      <c r="F2460" s="17"/>
      <c r="G2460" s="17"/>
      <c r="I2460" s="6"/>
      <c r="J2460" s="6"/>
    </row>
    <row r="2461">
      <c r="A2461" s="16"/>
      <c r="B2461" s="16"/>
      <c r="C2461" s="16"/>
      <c r="D2461" s="16"/>
      <c r="E2461" s="16"/>
      <c r="F2461" s="17"/>
      <c r="G2461" s="17"/>
      <c r="I2461" s="6"/>
      <c r="J2461" s="6"/>
    </row>
    <row r="2462">
      <c r="A2462" s="16"/>
      <c r="B2462" s="16"/>
      <c r="C2462" s="16"/>
      <c r="D2462" s="16"/>
      <c r="E2462" s="16"/>
      <c r="F2462" s="17"/>
      <c r="G2462" s="17"/>
      <c r="I2462" s="6"/>
      <c r="J2462" s="6"/>
    </row>
    <row r="2463">
      <c r="A2463" s="16"/>
      <c r="B2463" s="16"/>
      <c r="C2463" s="16"/>
      <c r="D2463" s="16"/>
      <c r="E2463" s="16"/>
      <c r="F2463" s="17"/>
      <c r="G2463" s="17"/>
      <c r="I2463" s="6"/>
      <c r="J2463" s="6"/>
    </row>
    <row r="2464">
      <c r="A2464" s="16"/>
      <c r="B2464" s="16"/>
      <c r="C2464" s="16"/>
      <c r="D2464" s="16"/>
      <c r="E2464" s="16"/>
      <c r="F2464" s="17"/>
      <c r="G2464" s="17"/>
      <c r="I2464" s="6"/>
      <c r="J2464" s="6"/>
    </row>
    <row r="2465">
      <c r="A2465" s="16"/>
      <c r="B2465" s="16"/>
      <c r="C2465" s="16"/>
      <c r="D2465" s="16"/>
      <c r="E2465" s="16"/>
      <c r="F2465" s="17"/>
      <c r="G2465" s="17"/>
      <c r="I2465" s="6"/>
      <c r="J2465" s="6"/>
    </row>
    <row r="2466">
      <c r="A2466" s="16"/>
      <c r="B2466" s="16"/>
      <c r="C2466" s="16"/>
      <c r="D2466" s="16"/>
      <c r="E2466" s="16"/>
      <c r="F2466" s="17"/>
      <c r="G2466" s="17"/>
      <c r="I2466" s="6"/>
      <c r="J2466" s="6"/>
    </row>
    <row r="2467">
      <c r="A2467" s="16"/>
      <c r="B2467" s="16"/>
      <c r="C2467" s="16"/>
      <c r="D2467" s="16"/>
      <c r="E2467" s="16"/>
      <c r="F2467" s="17"/>
      <c r="G2467" s="17"/>
      <c r="I2467" s="6"/>
      <c r="J2467" s="6"/>
    </row>
    <row r="2468">
      <c r="A2468" s="16"/>
      <c r="B2468" s="16"/>
      <c r="C2468" s="16"/>
      <c r="D2468" s="16"/>
      <c r="E2468" s="16"/>
      <c r="F2468" s="17"/>
      <c r="G2468" s="17"/>
      <c r="I2468" s="6"/>
      <c r="J2468" s="6"/>
    </row>
    <row r="2469">
      <c r="A2469" s="16"/>
      <c r="B2469" s="16"/>
      <c r="C2469" s="16"/>
      <c r="D2469" s="16"/>
      <c r="E2469" s="16"/>
      <c r="F2469" s="17"/>
      <c r="G2469" s="17"/>
      <c r="I2469" s="6"/>
      <c r="J2469" s="6"/>
    </row>
    <row r="2470">
      <c r="A2470" s="16"/>
      <c r="B2470" s="16"/>
      <c r="C2470" s="16"/>
      <c r="D2470" s="16"/>
      <c r="E2470" s="16"/>
      <c r="F2470" s="17"/>
      <c r="G2470" s="17"/>
      <c r="I2470" s="6"/>
      <c r="J2470" s="6"/>
    </row>
    <row r="2471">
      <c r="A2471" s="16"/>
      <c r="B2471" s="16"/>
      <c r="C2471" s="16"/>
      <c r="D2471" s="16"/>
      <c r="E2471" s="16"/>
      <c r="F2471" s="17"/>
      <c r="G2471" s="17"/>
      <c r="I2471" s="6"/>
      <c r="J2471" s="6"/>
    </row>
    <row r="2472">
      <c r="A2472" s="16"/>
      <c r="B2472" s="16"/>
      <c r="C2472" s="16"/>
      <c r="D2472" s="16"/>
      <c r="E2472" s="16"/>
      <c r="F2472" s="17"/>
      <c r="G2472" s="17"/>
      <c r="I2472" s="6"/>
      <c r="J2472" s="6"/>
    </row>
    <row r="2473">
      <c r="A2473" s="16"/>
      <c r="B2473" s="16"/>
      <c r="C2473" s="16"/>
      <c r="D2473" s="16"/>
      <c r="E2473" s="16"/>
      <c r="F2473" s="17"/>
      <c r="G2473" s="17"/>
      <c r="I2473" s="6"/>
      <c r="J2473" s="6"/>
    </row>
    <row r="2474">
      <c r="A2474" s="16"/>
      <c r="B2474" s="16"/>
      <c r="C2474" s="16"/>
      <c r="D2474" s="16"/>
      <c r="E2474" s="16"/>
      <c r="F2474" s="17"/>
      <c r="G2474" s="17"/>
      <c r="I2474" s="6"/>
      <c r="J2474" s="6"/>
    </row>
    <row r="2475">
      <c r="A2475" s="16"/>
      <c r="B2475" s="16"/>
      <c r="C2475" s="16"/>
      <c r="D2475" s="16"/>
      <c r="E2475" s="16"/>
      <c r="F2475" s="17"/>
      <c r="G2475" s="17"/>
      <c r="I2475" s="6"/>
      <c r="J2475" s="6"/>
    </row>
    <row r="2476">
      <c r="A2476" s="16"/>
      <c r="B2476" s="16"/>
      <c r="C2476" s="16"/>
      <c r="D2476" s="16"/>
      <c r="E2476" s="16"/>
      <c r="F2476" s="17"/>
      <c r="G2476" s="17"/>
      <c r="I2476" s="6"/>
      <c r="J2476" s="6"/>
    </row>
    <row r="2477">
      <c r="A2477" s="16"/>
      <c r="B2477" s="16"/>
      <c r="C2477" s="16"/>
      <c r="D2477" s="16"/>
      <c r="E2477" s="16"/>
      <c r="F2477" s="17"/>
      <c r="G2477" s="17"/>
      <c r="I2477" s="6"/>
      <c r="J2477" s="6"/>
    </row>
    <row r="2478">
      <c r="A2478" s="16"/>
      <c r="B2478" s="16"/>
      <c r="C2478" s="16"/>
      <c r="D2478" s="16"/>
      <c r="E2478" s="16"/>
      <c r="F2478" s="17"/>
      <c r="G2478" s="17"/>
      <c r="I2478" s="6"/>
      <c r="J2478" s="6"/>
    </row>
    <row r="2479">
      <c r="A2479" s="16"/>
      <c r="B2479" s="16"/>
      <c r="C2479" s="16"/>
      <c r="D2479" s="16"/>
      <c r="E2479" s="16"/>
      <c r="F2479" s="17"/>
      <c r="G2479" s="17"/>
      <c r="I2479" s="6"/>
      <c r="J2479" s="6"/>
    </row>
    <row r="2480">
      <c r="A2480" s="16"/>
      <c r="B2480" s="16"/>
      <c r="C2480" s="16"/>
      <c r="D2480" s="16"/>
      <c r="E2480" s="16"/>
      <c r="F2480" s="17"/>
      <c r="G2480" s="17"/>
      <c r="I2480" s="6"/>
      <c r="J2480" s="6"/>
    </row>
    <row r="2481">
      <c r="A2481" s="16"/>
      <c r="B2481" s="16"/>
      <c r="C2481" s="16"/>
      <c r="D2481" s="16"/>
      <c r="E2481" s="16"/>
      <c r="F2481" s="17"/>
      <c r="G2481" s="17"/>
      <c r="I2481" s="6"/>
      <c r="J2481" s="6"/>
    </row>
    <row r="2482">
      <c r="A2482" s="16"/>
      <c r="B2482" s="16"/>
      <c r="C2482" s="16"/>
      <c r="D2482" s="16"/>
      <c r="E2482" s="16"/>
      <c r="F2482" s="17"/>
      <c r="G2482" s="17"/>
      <c r="I2482" s="6"/>
      <c r="J2482" s="6"/>
    </row>
    <row r="2483">
      <c r="A2483" s="16"/>
      <c r="B2483" s="16"/>
      <c r="C2483" s="16"/>
      <c r="D2483" s="16"/>
      <c r="E2483" s="16"/>
      <c r="F2483" s="17"/>
      <c r="G2483" s="17"/>
      <c r="I2483" s="6"/>
      <c r="J2483" s="6"/>
    </row>
    <row r="2484">
      <c r="A2484" s="16"/>
      <c r="B2484" s="16"/>
      <c r="C2484" s="16"/>
      <c r="D2484" s="16"/>
      <c r="E2484" s="16"/>
      <c r="F2484" s="17"/>
      <c r="G2484" s="17"/>
      <c r="I2484" s="6"/>
      <c r="J2484" s="6"/>
    </row>
    <row r="2485">
      <c r="A2485" s="16"/>
      <c r="B2485" s="16"/>
      <c r="C2485" s="16"/>
      <c r="D2485" s="16"/>
      <c r="E2485" s="16"/>
      <c r="F2485" s="17"/>
      <c r="G2485" s="17"/>
      <c r="I2485" s="6"/>
      <c r="J2485" s="6"/>
    </row>
    <row r="2486">
      <c r="A2486" s="16"/>
      <c r="B2486" s="16"/>
      <c r="C2486" s="16"/>
      <c r="D2486" s="16"/>
      <c r="E2486" s="16"/>
      <c r="F2486" s="17"/>
      <c r="G2486" s="17"/>
      <c r="I2486" s="6"/>
      <c r="J2486" s="6"/>
    </row>
    <row r="2487">
      <c r="A2487" s="16"/>
      <c r="B2487" s="16"/>
      <c r="C2487" s="16"/>
      <c r="D2487" s="16"/>
      <c r="E2487" s="16"/>
      <c r="F2487" s="17"/>
      <c r="G2487" s="17"/>
      <c r="I2487" s="6"/>
      <c r="J2487" s="6"/>
    </row>
    <row r="2488">
      <c r="A2488" s="16"/>
      <c r="B2488" s="16"/>
      <c r="C2488" s="16"/>
      <c r="D2488" s="16"/>
      <c r="E2488" s="16"/>
      <c r="F2488" s="17"/>
      <c r="G2488" s="17"/>
      <c r="I2488" s="6"/>
      <c r="J2488" s="6"/>
    </row>
    <row r="2489">
      <c r="A2489" s="16"/>
      <c r="B2489" s="16"/>
      <c r="C2489" s="16"/>
      <c r="D2489" s="16"/>
      <c r="E2489" s="16"/>
      <c r="F2489" s="17"/>
      <c r="G2489" s="17"/>
      <c r="I2489" s="6"/>
      <c r="J2489" s="6"/>
    </row>
    <row r="2490">
      <c r="A2490" s="16"/>
      <c r="B2490" s="16"/>
      <c r="C2490" s="16"/>
      <c r="D2490" s="16"/>
      <c r="E2490" s="16"/>
      <c r="F2490" s="17"/>
      <c r="G2490" s="17"/>
      <c r="I2490" s="6"/>
      <c r="J2490" s="6"/>
    </row>
    <row r="2491">
      <c r="A2491" s="16"/>
      <c r="B2491" s="16"/>
      <c r="C2491" s="16"/>
      <c r="D2491" s="16"/>
      <c r="E2491" s="16"/>
      <c r="F2491" s="17"/>
      <c r="G2491" s="17"/>
      <c r="I2491" s="6"/>
      <c r="J2491" s="6"/>
    </row>
    <row r="2492">
      <c r="A2492" s="16"/>
      <c r="B2492" s="16"/>
      <c r="C2492" s="16"/>
      <c r="D2492" s="16"/>
      <c r="E2492" s="16"/>
      <c r="F2492" s="17"/>
      <c r="G2492" s="17"/>
      <c r="I2492" s="6"/>
      <c r="J2492" s="6"/>
    </row>
    <row r="2493">
      <c r="A2493" s="16"/>
      <c r="B2493" s="16"/>
      <c r="C2493" s="16"/>
      <c r="D2493" s="16"/>
      <c r="E2493" s="16"/>
      <c r="F2493" s="17"/>
      <c r="G2493" s="17"/>
      <c r="I2493" s="6"/>
      <c r="J2493" s="6"/>
    </row>
    <row r="2494">
      <c r="A2494" s="16"/>
      <c r="B2494" s="16"/>
      <c r="C2494" s="16"/>
      <c r="D2494" s="16"/>
      <c r="E2494" s="16"/>
      <c r="F2494" s="17"/>
      <c r="G2494" s="17"/>
      <c r="I2494" s="6"/>
      <c r="J2494" s="6"/>
    </row>
    <row r="2495">
      <c r="A2495" s="16"/>
      <c r="B2495" s="16"/>
      <c r="C2495" s="16"/>
      <c r="D2495" s="16"/>
      <c r="E2495" s="16"/>
      <c r="F2495" s="17"/>
      <c r="G2495" s="17"/>
      <c r="I2495" s="6"/>
      <c r="J2495" s="6"/>
    </row>
    <row r="2496">
      <c r="A2496" s="16"/>
      <c r="B2496" s="16"/>
      <c r="C2496" s="16"/>
      <c r="D2496" s="16"/>
      <c r="E2496" s="16"/>
      <c r="F2496" s="17"/>
      <c r="G2496" s="17"/>
      <c r="I2496" s="6"/>
      <c r="J2496" s="6"/>
    </row>
    <row r="2497">
      <c r="A2497" s="16"/>
      <c r="B2497" s="16"/>
      <c r="C2497" s="16"/>
      <c r="D2497" s="16"/>
      <c r="E2497" s="16"/>
      <c r="F2497" s="17"/>
      <c r="G2497" s="17"/>
      <c r="I2497" s="6"/>
      <c r="J2497" s="6"/>
    </row>
    <row r="2498">
      <c r="A2498" s="16"/>
      <c r="B2498" s="16"/>
      <c r="C2498" s="16"/>
      <c r="D2498" s="16"/>
      <c r="E2498" s="16"/>
      <c r="F2498" s="17"/>
      <c r="G2498" s="17"/>
      <c r="I2498" s="6"/>
      <c r="J2498" s="6"/>
    </row>
    <row r="2499">
      <c r="A2499" s="16"/>
      <c r="B2499" s="16"/>
      <c r="C2499" s="16"/>
      <c r="D2499" s="16"/>
      <c r="E2499" s="16"/>
      <c r="F2499" s="17"/>
      <c r="G2499" s="17"/>
      <c r="I2499" s="6"/>
      <c r="J2499" s="6"/>
    </row>
    <row r="2500">
      <c r="A2500" s="16"/>
      <c r="B2500" s="16"/>
      <c r="C2500" s="16"/>
      <c r="D2500" s="16"/>
      <c r="E2500" s="16"/>
      <c r="F2500" s="17"/>
      <c r="G2500" s="17"/>
      <c r="I2500" s="6"/>
      <c r="J2500" s="6"/>
    </row>
    <row r="2501">
      <c r="A2501" s="16"/>
      <c r="B2501" s="16"/>
      <c r="C2501" s="16"/>
      <c r="D2501" s="16"/>
      <c r="E2501" s="16"/>
      <c r="F2501" s="17"/>
      <c r="G2501" s="17"/>
      <c r="I2501" s="6"/>
      <c r="J2501" s="6"/>
    </row>
    <row r="2502">
      <c r="A2502" s="16"/>
      <c r="B2502" s="16"/>
      <c r="C2502" s="16"/>
      <c r="D2502" s="16"/>
      <c r="E2502" s="16"/>
      <c r="F2502" s="17"/>
      <c r="G2502" s="17"/>
      <c r="I2502" s="6"/>
      <c r="J2502" s="6"/>
    </row>
    <row r="2503">
      <c r="A2503" s="16"/>
      <c r="B2503" s="16"/>
      <c r="C2503" s="16"/>
      <c r="D2503" s="16"/>
      <c r="E2503" s="16"/>
      <c r="F2503" s="17"/>
      <c r="G2503" s="17"/>
      <c r="I2503" s="6"/>
      <c r="J2503" s="6"/>
    </row>
    <row r="2504">
      <c r="A2504" s="16"/>
      <c r="B2504" s="16"/>
      <c r="C2504" s="16"/>
      <c r="D2504" s="16"/>
      <c r="E2504" s="16"/>
      <c r="F2504" s="17"/>
      <c r="G2504" s="17"/>
      <c r="I2504" s="6"/>
      <c r="J2504" s="6"/>
    </row>
    <row r="2505">
      <c r="A2505" s="16"/>
      <c r="B2505" s="16"/>
      <c r="C2505" s="16"/>
      <c r="D2505" s="16"/>
      <c r="E2505" s="16"/>
      <c r="F2505" s="17"/>
      <c r="G2505" s="17"/>
      <c r="I2505" s="6"/>
      <c r="J2505" s="6"/>
    </row>
    <row r="2506">
      <c r="A2506" s="16"/>
      <c r="B2506" s="16"/>
      <c r="C2506" s="16"/>
      <c r="D2506" s="16"/>
      <c r="E2506" s="16"/>
      <c r="F2506" s="17"/>
      <c r="G2506" s="17"/>
      <c r="I2506" s="6"/>
      <c r="J2506" s="6"/>
    </row>
    <row r="2507">
      <c r="A2507" s="16"/>
      <c r="B2507" s="16"/>
      <c r="C2507" s="16"/>
      <c r="D2507" s="16"/>
      <c r="E2507" s="16"/>
      <c r="F2507" s="17"/>
      <c r="G2507" s="17"/>
      <c r="I2507" s="6"/>
      <c r="J2507" s="6"/>
    </row>
    <row r="2508">
      <c r="A2508" s="16"/>
      <c r="B2508" s="16"/>
      <c r="C2508" s="16"/>
      <c r="D2508" s="16"/>
      <c r="E2508" s="16"/>
      <c r="F2508" s="17"/>
      <c r="G2508" s="17"/>
      <c r="I2508" s="6"/>
      <c r="J2508" s="6"/>
    </row>
    <row r="2509">
      <c r="A2509" s="16"/>
      <c r="B2509" s="16"/>
      <c r="C2509" s="16"/>
      <c r="D2509" s="16"/>
      <c r="E2509" s="16"/>
      <c r="F2509" s="17"/>
      <c r="G2509" s="17"/>
      <c r="I2509" s="6"/>
      <c r="J2509" s="6"/>
    </row>
    <row r="2510">
      <c r="A2510" s="16"/>
      <c r="B2510" s="16"/>
      <c r="C2510" s="16"/>
      <c r="D2510" s="16"/>
      <c r="E2510" s="16"/>
      <c r="F2510" s="17"/>
      <c r="G2510" s="17"/>
      <c r="I2510" s="6"/>
      <c r="J2510" s="6"/>
    </row>
    <row r="2511">
      <c r="A2511" s="16"/>
      <c r="B2511" s="16"/>
      <c r="C2511" s="16"/>
      <c r="D2511" s="16"/>
      <c r="E2511" s="16"/>
      <c r="F2511" s="17"/>
      <c r="G2511" s="17"/>
      <c r="I2511" s="6"/>
      <c r="J2511" s="6"/>
    </row>
    <row r="2512">
      <c r="A2512" s="16"/>
      <c r="B2512" s="16"/>
      <c r="C2512" s="16"/>
      <c r="D2512" s="16"/>
      <c r="E2512" s="16"/>
      <c r="F2512" s="17"/>
      <c r="G2512" s="17"/>
      <c r="I2512" s="6"/>
      <c r="J2512" s="6"/>
    </row>
    <row r="2513">
      <c r="A2513" s="16"/>
      <c r="B2513" s="16"/>
      <c r="C2513" s="16"/>
      <c r="D2513" s="16"/>
      <c r="E2513" s="16"/>
      <c r="F2513" s="17"/>
      <c r="G2513" s="17"/>
      <c r="I2513" s="6"/>
      <c r="J2513" s="6"/>
    </row>
    <row r="2514">
      <c r="A2514" s="16"/>
      <c r="B2514" s="16"/>
      <c r="C2514" s="16"/>
      <c r="D2514" s="16"/>
      <c r="E2514" s="16"/>
      <c r="F2514" s="17"/>
      <c r="G2514" s="17"/>
      <c r="I2514" s="6"/>
      <c r="J2514" s="6"/>
    </row>
    <row r="2515">
      <c r="A2515" s="16"/>
      <c r="B2515" s="16"/>
      <c r="C2515" s="16"/>
      <c r="D2515" s="16"/>
      <c r="E2515" s="16"/>
      <c r="F2515" s="17"/>
      <c r="G2515" s="17"/>
      <c r="I2515" s="6"/>
      <c r="J2515" s="6"/>
    </row>
    <row r="2516">
      <c r="A2516" s="16"/>
      <c r="B2516" s="16"/>
      <c r="C2516" s="16"/>
      <c r="D2516" s="16"/>
      <c r="E2516" s="16"/>
      <c r="F2516" s="17"/>
      <c r="G2516" s="17"/>
      <c r="I2516" s="6"/>
      <c r="J2516" s="6"/>
    </row>
    <row r="2517">
      <c r="A2517" s="16"/>
      <c r="B2517" s="16"/>
      <c r="C2517" s="16"/>
      <c r="D2517" s="16"/>
      <c r="E2517" s="16"/>
      <c r="F2517" s="17"/>
      <c r="G2517" s="17"/>
      <c r="I2517" s="6"/>
      <c r="J2517" s="6"/>
    </row>
    <row r="2518">
      <c r="A2518" s="16"/>
      <c r="B2518" s="16"/>
      <c r="C2518" s="16"/>
      <c r="D2518" s="16"/>
      <c r="E2518" s="16"/>
      <c r="F2518" s="17"/>
      <c r="G2518" s="17"/>
      <c r="I2518" s="6"/>
      <c r="J2518" s="6"/>
    </row>
    <row r="2519">
      <c r="A2519" s="16"/>
      <c r="B2519" s="16"/>
      <c r="C2519" s="16"/>
      <c r="D2519" s="16"/>
      <c r="E2519" s="16"/>
      <c r="F2519" s="17"/>
      <c r="G2519" s="17"/>
      <c r="I2519" s="6"/>
      <c r="J2519" s="6"/>
    </row>
    <row r="2520">
      <c r="A2520" s="16"/>
      <c r="B2520" s="16"/>
      <c r="C2520" s="16"/>
      <c r="D2520" s="16"/>
      <c r="E2520" s="16"/>
      <c r="F2520" s="17"/>
      <c r="G2520" s="17"/>
      <c r="I2520" s="6"/>
      <c r="J2520" s="6"/>
    </row>
    <row r="2521">
      <c r="A2521" s="16"/>
      <c r="B2521" s="16"/>
      <c r="C2521" s="16"/>
      <c r="D2521" s="16"/>
      <c r="E2521" s="16"/>
      <c r="F2521" s="17"/>
      <c r="G2521" s="17"/>
      <c r="I2521" s="6"/>
      <c r="J2521" s="6"/>
    </row>
    <row r="2522">
      <c r="A2522" s="16"/>
      <c r="B2522" s="16"/>
      <c r="C2522" s="16"/>
      <c r="D2522" s="16"/>
      <c r="E2522" s="16"/>
      <c r="F2522" s="17"/>
      <c r="G2522" s="17"/>
      <c r="I2522" s="6"/>
      <c r="J2522" s="6"/>
    </row>
    <row r="2523">
      <c r="A2523" s="16"/>
      <c r="B2523" s="16"/>
      <c r="C2523" s="16"/>
      <c r="D2523" s="16"/>
      <c r="E2523" s="16"/>
      <c r="F2523" s="17"/>
      <c r="G2523" s="17"/>
      <c r="I2523" s="6"/>
      <c r="J2523" s="6"/>
    </row>
    <row r="2524">
      <c r="A2524" s="16"/>
      <c r="B2524" s="16"/>
      <c r="C2524" s="16"/>
      <c r="D2524" s="16"/>
      <c r="E2524" s="16"/>
      <c r="F2524" s="17"/>
      <c r="G2524" s="17"/>
      <c r="I2524" s="6"/>
      <c r="J2524" s="6"/>
    </row>
    <row r="2525">
      <c r="A2525" s="16"/>
      <c r="B2525" s="16"/>
      <c r="C2525" s="16"/>
      <c r="D2525" s="16"/>
      <c r="E2525" s="16"/>
      <c r="F2525" s="17"/>
      <c r="G2525" s="17"/>
      <c r="I2525" s="6"/>
      <c r="J2525" s="6"/>
    </row>
    <row r="2526">
      <c r="A2526" s="16"/>
      <c r="B2526" s="16"/>
      <c r="C2526" s="16"/>
      <c r="D2526" s="16"/>
      <c r="E2526" s="16"/>
      <c r="F2526" s="17"/>
      <c r="G2526" s="17"/>
      <c r="I2526" s="6"/>
      <c r="J2526" s="6"/>
    </row>
    <row r="2527">
      <c r="A2527" s="16"/>
      <c r="B2527" s="16"/>
      <c r="C2527" s="16"/>
      <c r="D2527" s="16"/>
      <c r="E2527" s="16"/>
      <c r="F2527" s="17"/>
      <c r="G2527" s="17"/>
      <c r="I2527" s="6"/>
      <c r="J2527" s="6"/>
    </row>
    <row r="2528">
      <c r="A2528" s="16"/>
      <c r="B2528" s="16"/>
      <c r="C2528" s="16"/>
      <c r="D2528" s="16"/>
      <c r="E2528" s="16"/>
      <c r="F2528" s="17"/>
      <c r="G2528" s="17"/>
      <c r="I2528" s="6"/>
      <c r="J2528" s="6"/>
    </row>
    <row r="2529">
      <c r="A2529" s="16"/>
      <c r="B2529" s="16"/>
      <c r="C2529" s="16"/>
      <c r="D2529" s="16"/>
      <c r="E2529" s="16"/>
      <c r="F2529" s="17"/>
      <c r="G2529" s="17"/>
      <c r="I2529" s="6"/>
      <c r="J2529" s="6"/>
    </row>
    <row r="2530">
      <c r="A2530" s="16"/>
      <c r="B2530" s="16"/>
      <c r="C2530" s="16"/>
      <c r="D2530" s="16"/>
      <c r="E2530" s="16"/>
      <c r="F2530" s="17"/>
      <c r="G2530" s="17"/>
      <c r="I2530" s="6"/>
      <c r="J2530" s="6"/>
    </row>
    <row r="2531">
      <c r="A2531" s="16"/>
      <c r="B2531" s="16"/>
      <c r="C2531" s="16"/>
      <c r="D2531" s="16"/>
      <c r="E2531" s="16"/>
      <c r="F2531" s="17"/>
      <c r="G2531" s="17"/>
      <c r="I2531" s="6"/>
      <c r="J2531" s="6"/>
    </row>
    <row r="2532">
      <c r="A2532" s="16"/>
      <c r="B2532" s="16"/>
      <c r="C2532" s="16"/>
      <c r="D2532" s="16"/>
      <c r="E2532" s="16"/>
      <c r="F2532" s="17"/>
      <c r="G2532" s="17"/>
      <c r="I2532" s="6"/>
      <c r="J2532" s="6"/>
    </row>
    <row r="2533">
      <c r="A2533" s="16"/>
      <c r="B2533" s="16"/>
      <c r="C2533" s="16"/>
      <c r="D2533" s="16"/>
      <c r="E2533" s="16"/>
      <c r="F2533" s="17"/>
      <c r="G2533" s="17"/>
      <c r="I2533" s="6"/>
      <c r="J2533" s="6"/>
    </row>
    <row r="2534">
      <c r="A2534" s="16"/>
      <c r="B2534" s="16"/>
      <c r="C2534" s="16"/>
      <c r="D2534" s="16"/>
      <c r="E2534" s="16"/>
      <c r="F2534" s="17"/>
      <c r="G2534" s="17"/>
      <c r="I2534" s="6"/>
      <c r="J2534" s="6"/>
    </row>
    <row r="2535">
      <c r="A2535" s="16"/>
      <c r="B2535" s="16"/>
      <c r="C2535" s="16"/>
      <c r="D2535" s="16"/>
      <c r="E2535" s="16"/>
      <c r="F2535" s="17"/>
      <c r="G2535" s="17"/>
      <c r="I2535" s="6"/>
      <c r="J2535" s="6"/>
    </row>
    <row r="2536">
      <c r="A2536" s="16"/>
      <c r="B2536" s="16"/>
      <c r="C2536" s="16"/>
      <c r="D2536" s="16"/>
      <c r="E2536" s="16"/>
      <c r="F2536" s="17"/>
      <c r="G2536" s="17"/>
      <c r="I2536" s="6"/>
      <c r="J2536" s="6"/>
    </row>
    <row r="2537">
      <c r="A2537" s="16"/>
      <c r="B2537" s="16"/>
      <c r="C2537" s="16"/>
      <c r="D2537" s="16"/>
      <c r="E2537" s="16"/>
      <c r="F2537" s="17"/>
      <c r="G2537" s="17"/>
      <c r="I2537" s="6"/>
      <c r="J2537" s="6"/>
    </row>
    <row r="2538">
      <c r="A2538" s="16"/>
      <c r="B2538" s="16"/>
      <c r="C2538" s="16"/>
      <c r="D2538" s="16"/>
      <c r="E2538" s="16"/>
      <c r="F2538" s="17"/>
      <c r="G2538" s="17"/>
      <c r="I2538" s="6"/>
      <c r="J2538" s="6"/>
    </row>
    <row r="2539">
      <c r="A2539" s="16"/>
      <c r="B2539" s="16"/>
      <c r="C2539" s="16"/>
      <c r="D2539" s="16"/>
      <c r="E2539" s="16"/>
      <c r="F2539" s="17"/>
      <c r="G2539" s="17"/>
      <c r="I2539" s="6"/>
      <c r="J2539" s="6"/>
    </row>
    <row r="2540">
      <c r="A2540" s="16"/>
      <c r="B2540" s="16"/>
      <c r="C2540" s="16"/>
      <c r="D2540" s="16"/>
      <c r="E2540" s="16"/>
      <c r="F2540" s="17"/>
      <c r="G2540" s="17"/>
      <c r="I2540" s="6"/>
      <c r="J2540" s="6"/>
    </row>
    <row r="2541">
      <c r="A2541" s="16"/>
      <c r="B2541" s="16"/>
      <c r="C2541" s="16"/>
      <c r="D2541" s="16"/>
      <c r="E2541" s="16"/>
      <c r="F2541" s="17"/>
      <c r="G2541" s="17"/>
      <c r="I2541" s="6"/>
      <c r="J2541" s="6"/>
    </row>
    <row r="2542">
      <c r="A2542" s="16"/>
      <c r="B2542" s="16"/>
      <c r="C2542" s="16"/>
      <c r="D2542" s="16"/>
      <c r="E2542" s="16"/>
      <c r="F2542" s="17"/>
      <c r="G2542" s="17"/>
      <c r="I2542" s="6"/>
      <c r="J2542" s="6"/>
    </row>
    <row r="2543">
      <c r="A2543" s="16"/>
      <c r="B2543" s="16"/>
      <c r="C2543" s="16"/>
      <c r="D2543" s="16"/>
      <c r="E2543" s="16"/>
      <c r="F2543" s="17"/>
      <c r="G2543" s="17"/>
      <c r="I2543" s="6"/>
      <c r="J2543" s="6"/>
    </row>
    <row r="2544">
      <c r="A2544" s="16"/>
      <c r="B2544" s="16"/>
      <c r="C2544" s="16"/>
      <c r="D2544" s="16"/>
      <c r="E2544" s="16"/>
      <c r="F2544" s="17"/>
      <c r="G2544" s="17"/>
      <c r="I2544" s="6"/>
      <c r="J2544" s="6"/>
    </row>
    <row r="2545">
      <c r="A2545" s="16"/>
      <c r="B2545" s="16"/>
      <c r="C2545" s="16"/>
      <c r="D2545" s="16"/>
      <c r="E2545" s="16"/>
      <c r="F2545" s="17"/>
      <c r="G2545" s="17"/>
      <c r="I2545" s="6"/>
      <c r="J2545" s="6"/>
    </row>
    <row r="2546">
      <c r="A2546" s="16"/>
      <c r="B2546" s="16"/>
      <c r="C2546" s="16"/>
      <c r="D2546" s="16"/>
      <c r="E2546" s="16"/>
      <c r="F2546" s="17"/>
      <c r="G2546" s="17"/>
      <c r="I2546" s="6"/>
      <c r="J2546" s="6"/>
    </row>
    <row r="2547">
      <c r="A2547" s="16"/>
      <c r="B2547" s="16"/>
      <c r="C2547" s="16"/>
      <c r="D2547" s="16"/>
      <c r="E2547" s="16"/>
      <c r="F2547" s="17"/>
      <c r="G2547" s="17"/>
      <c r="I2547" s="6"/>
      <c r="J2547" s="6"/>
    </row>
    <row r="2548">
      <c r="A2548" s="16"/>
      <c r="B2548" s="16"/>
      <c r="C2548" s="16"/>
      <c r="D2548" s="16"/>
      <c r="E2548" s="16"/>
      <c r="F2548" s="17"/>
      <c r="G2548" s="17"/>
      <c r="I2548" s="6"/>
      <c r="J2548" s="6"/>
    </row>
    <row r="2549">
      <c r="A2549" s="16"/>
      <c r="B2549" s="16"/>
      <c r="C2549" s="16"/>
      <c r="D2549" s="16"/>
      <c r="E2549" s="16"/>
      <c r="F2549" s="17"/>
      <c r="G2549" s="17"/>
      <c r="I2549" s="6"/>
      <c r="J2549" s="6"/>
    </row>
    <row r="2550">
      <c r="A2550" s="16"/>
      <c r="B2550" s="16"/>
      <c r="C2550" s="16"/>
      <c r="D2550" s="16"/>
      <c r="E2550" s="16"/>
      <c r="F2550" s="17"/>
      <c r="G2550" s="17"/>
      <c r="I2550" s="6"/>
      <c r="J2550" s="6"/>
    </row>
    <row r="2551">
      <c r="A2551" s="16"/>
      <c r="B2551" s="16"/>
      <c r="C2551" s="16"/>
      <c r="D2551" s="16"/>
      <c r="E2551" s="16"/>
      <c r="F2551" s="17"/>
      <c r="G2551" s="17"/>
      <c r="I2551" s="6"/>
      <c r="J2551" s="6"/>
    </row>
    <row r="2552">
      <c r="A2552" s="16"/>
      <c r="B2552" s="16"/>
      <c r="C2552" s="16"/>
      <c r="D2552" s="16"/>
      <c r="E2552" s="16"/>
      <c r="F2552" s="17"/>
      <c r="G2552" s="17"/>
      <c r="I2552" s="6"/>
      <c r="J2552" s="6"/>
    </row>
    <row r="2553">
      <c r="A2553" s="16"/>
      <c r="B2553" s="16"/>
      <c r="C2553" s="16"/>
      <c r="D2553" s="16"/>
      <c r="E2553" s="16"/>
      <c r="F2553" s="17"/>
      <c r="G2553" s="17"/>
      <c r="I2553" s="6"/>
      <c r="J2553" s="6"/>
    </row>
    <row r="2554">
      <c r="A2554" s="16"/>
      <c r="B2554" s="16"/>
      <c r="C2554" s="16"/>
      <c r="D2554" s="16"/>
      <c r="E2554" s="16"/>
      <c r="F2554" s="17"/>
      <c r="G2554" s="17"/>
      <c r="I2554" s="6"/>
      <c r="J2554" s="6"/>
    </row>
    <row r="2555">
      <c r="A2555" s="16"/>
      <c r="B2555" s="16"/>
      <c r="C2555" s="16"/>
      <c r="D2555" s="16"/>
      <c r="E2555" s="16"/>
      <c r="F2555" s="17"/>
      <c r="G2555" s="17"/>
      <c r="I2555" s="6"/>
      <c r="J2555" s="6"/>
    </row>
    <row r="2556">
      <c r="A2556" s="16"/>
      <c r="B2556" s="16"/>
      <c r="C2556" s="16"/>
      <c r="D2556" s="16"/>
      <c r="E2556" s="16"/>
      <c r="F2556" s="17"/>
      <c r="G2556" s="17"/>
      <c r="I2556" s="6"/>
      <c r="J2556" s="6"/>
    </row>
    <row r="2557">
      <c r="A2557" s="16"/>
      <c r="B2557" s="16"/>
      <c r="C2557" s="16"/>
      <c r="D2557" s="16"/>
      <c r="E2557" s="16"/>
      <c r="F2557" s="17"/>
      <c r="G2557" s="17"/>
      <c r="I2557" s="6"/>
      <c r="J2557" s="6"/>
    </row>
    <row r="2558">
      <c r="A2558" s="16"/>
      <c r="B2558" s="16"/>
      <c r="C2558" s="16"/>
      <c r="D2558" s="16"/>
      <c r="E2558" s="16"/>
      <c r="F2558" s="17"/>
      <c r="G2558" s="17"/>
      <c r="I2558" s="6"/>
      <c r="J2558" s="6"/>
    </row>
    <row r="2559">
      <c r="A2559" s="16"/>
      <c r="B2559" s="16"/>
      <c r="C2559" s="16"/>
      <c r="D2559" s="16"/>
      <c r="E2559" s="16"/>
      <c r="F2559" s="17"/>
      <c r="G2559" s="17"/>
      <c r="I2559" s="6"/>
      <c r="J2559" s="6"/>
    </row>
    <row r="2560">
      <c r="A2560" s="16"/>
      <c r="B2560" s="16"/>
      <c r="C2560" s="16"/>
      <c r="D2560" s="16"/>
      <c r="E2560" s="16"/>
      <c r="F2560" s="17"/>
      <c r="G2560" s="17"/>
      <c r="I2560" s="6"/>
      <c r="J2560" s="6"/>
    </row>
    <row r="2561">
      <c r="A2561" s="16"/>
      <c r="B2561" s="16"/>
      <c r="C2561" s="16"/>
      <c r="D2561" s="16"/>
      <c r="E2561" s="16"/>
      <c r="F2561" s="17"/>
      <c r="G2561" s="17"/>
      <c r="I2561" s="6"/>
      <c r="J2561" s="6"/>
    </row>
    <row r="2562">
      <c r="A2562" s="16"/>
      <c r="B2562" s="16"/>
      <c r="C2562" s="16"/>
      <c r="D2562" s="16"/>
      <c r="E2562" s="16"/>
      <c r="F2562" s="17"/>
      <c r="G2562" s="17"/>
      <c r="I2562" s="6"/>
      <c r="J2562" s="6"/>
    </row>
    <row r="2563">
      <c r="A2563" s="16"/>
      <c r="B2563" s="16"/>
      <c r="C2563" s="16"/>
      <c r="D2563" s="16"/>
      <c r="E2563" s="16"/>
      <c r="F2563" s="17"/>
      <c r="G2563" s="17"/>
      <c r="I2563" s="6"/>
      <c r="J2563" s="6"/>
    </row>
    <row r="2564">
      <c r="A2564" s="16"/>
      <c r="B2564" s="16"/>
      <c r="C2564" s="16"/>
      <c r="D2564" s="16"/>
      <c r="E2564" s="16"/>
      <c r="F2564" s="17"/>
      <c r="G2564" s="17"/>
      <c r="I2564" s="6"/>
      <c r="J2564" s="6"/>
    </row>
    <row r="2565">
      <c r="A2565" s="16"/>
      <c r="B2565" s="16"/>
      <c r="C2565" s="16"/>
      <c r="D2565" s="16"/>
      <c r="E2565" s="16"/>
      <c r="F2565" s="17"/>
      <c r="G2565" s="17"/>
      <c r="I2565" s="6"/>
      <c r="J2565" s="6"/>
    </row>
    <row r="2566">
      <c r="A2566" s="16"/>
      <c r="B2566" s="16"/>
      <c r="C2566" s="16"/>
      <c r="D2566" s="16"/>
      <c r="E2566" s="16"/>
      <c r="F2566" s="17"/>
      <c r="G2566" s="17"/>
      <c r="I2566" s="6"/>
      <c r="J2566" s="6"/>
    </row>
    <row r="2567">
      <c r="A2567" s="16"/>
      <c r="B2567" s="16"/>
      <c r="C2567" s="16"/>
      <c r="D2567" s="16"/>
      <c r="E2567" s="16"/>
      <c r="F2567" s="17"/>
      <c r="G2567" s="17"/>
      <c r="I2567" s="6"/>
      <c r="J2567" s="6"/>
    </row>
    <row r="2568">
      <c r="A2568" s="16"/>
      <c r="B2568" s="16"/>
      <c r="C2568" s="16"/>
      <c r="D2568" s="16"/>
      <c r="E2568" s="16"/>
      <c r="F2568" s="17"/>
      <c r="G2568" s="17"/>
      <c r="I2568" s="6"/>
      <c r="J2568" s="6"/>
    </row>
    <row r="2569">
      <c r="A2569" s="16"/>
      <c r="B2569" s="16"/>
      <c r="C2569" s="16"/>
      <c r="D2569" s="16"/>
      <c r="E2569" s="16"/>
      <c r="F2569" s="17"/>
      <c r="G2569" s="17"/>
      <c r="I2569" s="6"/>
      <c r="J2569" s="6"/>
    </row>
    <row r="2570">
      <c r="A2570" s="16"/>
      <c r="B2570" s="16"/>
      <c r="C2570" s="16"/>
      <c r="D2570" s="16"/>
      <c r="E2570" s="16"/>
      <c r="F2570" s="17"/>
      <c r="G2570" s="17"/>
      <c r="I2570" s="6"/>
      <c r="J2570" s="6"/>
    </row>
    <row r="2571">
      <c r="A2571" s="16"/>
      <c r="B2571" s="16"/>
      <c r="C2571" s="16"/>
      <c r="D2571" s="16"/>
      <c r="E2571" s="16"/>
      <c r="F2571" s="17"/>
      <c r="G2571" s="17"/>
      <c r="I2571" s="6"/>
      <c r="J2571" s="6"/>
    </row>
    <row r="2572">
      <c r="A2572" s="16"/>
      <c r="B2572" s="16"/>
      <c r="C2572" s="16"/>
      <c r="D2572" s="16"/>
      <c r="E2572" s="16"/>
      <c r="F2572" s="17"/>
      <c r="G2572" s="17"/>
      <c r="I2572" s="6"/>
      <c r="J2572" s="6"/>
    </row>
    <row r="2573">
      <c r="A2573" s="16"/>
      <c r="B2573" s="16"/>
      <c r="C2573" s="16"/>
      <c r="D2573" s="16"/>
      <c r="E2573" s="16"/>
      <c r="F2573" s="17"/>
      <c r="G2573" s="17"/>
      <c r="I2573" s="6"/>
      <c r="J2573" s="6"/>
    </row>
    <row r="2574">
      <c r="A2574" s="16"/>
      <c r="B2574" s="16"/>
      <c r="C2574" s="16"/>
      <c r="D2574" s="16"/>
      <c r="E2574" s="16"/>
      <c r="F2574" s="17"/>
      <c r="G2574" s="17"/>
      <c r="I2574" s="6"/>
      <c r="J2574" s="6"/>
    </row>
    <row r="2575">
      <c r="A2575" s="16"/>
      <c r="B2575" s="16"/>
      <c r="C2575" s="16"/>
      <c r="D2575" s="16"/>
      <c r="E2575" s="16"/>
      <c r="F2575" s="17"/>
      <c r="G2575" s="17"/>
      <c r="I2575" s="6"/>
      <c r="J2575" s="6"/>
    </row>
    <row r="2576">
      <c r="A2576" s="16"/>
      <c r="B2576" s="16"/>
      <c r="C2576" s="16"/>
      <c r="D2576" s="16"/>
      <c r="E2576" s="16"/>
      <c r="F2576" s="17"/>
      <c r="G2576" s="17"/>
      <c r="I2576" s="6"/>
      <c r="J2576" s="6"/>
    </row>
    <row r="2577">
      <c r="A2577" s="16"/>
      <c r="B2577" s="16"/>
      <c r="C2577" s="16"/>
      <c r="D2577" s="16"/>
      <c r="E2577" s="16"/>
      <c r="F2577" s="17"/>
      <c r="G2577" s="17"/>
      <c r="I2577" s="6"/>
      <c r="J2577" s="6"/>
    </row>
    <row r="2578">
      <c r="A2578" s="16"/>
      <c r="B2578" s="16"/>
      <c r="C2578" s="16"/>
      <c r="D2578" s="16"/>
      <c r="E2578" s="16"/>
      <c r="F2578" s="17"/>
      <c r="G2578" s="17"/>
      <c r="I2578" s="6"/>
      <c r="J2578" s="6"/>
    </row>
    <row r="2579">
      <c r="A2579" s="16"/>
      <c r="B2579" s="16"/>
      <c r="C2579" s="16"/>
      <c r="D2579" s="16"/>
      <c r="E2579" s="16"/>
      <c r="F2579" s="17"/>
      <c r="G2579" s="17"/>
      <c r="I2579" s="6"/>
      <c r="J2579" s="6"/>
    </row>
    <row r="2580">
      <c r="A2580" s="16"/>
      <c r="B2580" s="16"/>
      <c r="C2580" s="16"/>
      <c r="D2580" s="16"/>
      <c r="E2580" s="16"/>
      <c r="F2580" s="17"/>
      <c r="G2580" s="17"/>
      <c r="I2580" s="6"/>
      <c r="J2580" s="6"/>
    </row>
    <row r="2581">
      <c r="A2581" s="16"/>
      <c r="B2581" s="16"/>
      <c r="C2581" s="16"/>
      <c r="D2581" s="16"/>
      <c r="E2581" s="16"/>
      <c r="F2581" s="17"/>
      <c r="G2581" s="17"/>
      <c r="I2581" s="6"/>
      <c r="J2581" s="6"/>
    </row>
    <row r="2582">
      <c r="A2582" s="16"/>
      <c r="B2582" s="16"/>
      <c r="C2582" s="16"/>
      <c r="D2582" s="16"/>
      <c r="E2582" s="16"/>
      <c r="F2582" s="17"/>
      <c r="G2582" s="17"/>
      <c r="I2582" s="6"/>
      <c r="J2582" s="6"/>
    </row>
    <row r="2583">
      <c r="A2583" s="16"/>
      <c r="B2583" s="16"/>
      <c r="C2583" s="16"/>
      <c r="D2583" s="16"/>
      <c r="E2583" s="16"/>
      <c r="F2583" s="17"/>
      <c r="G2583" s="17"/>
      <c r="I2583" s="6"/>
      <c r="J2583" s="6"/>
    </row>
    <row r="2584">
      <c r="A2584" s="16"/>
      <c r="B2584" s="16"/>
      <c r="C2584" s="16"/>
      <c r="D2584" s="16"/>
      <c r="E2584" s="16"/>
      <c r="F2584" s="17"/>
      <c r="G2584" s="17"/>
      <c r="I2584" s="6"/>
      <c r="J2584" s="6"/>
    </row>
    <row r="2585">
      <c r="A2585" s="16"/>
      <c r="B2585" s="16"/>
      <c r="C2585" s="16"/>
      <c r="D2585" s="16"/>
      <c r="E2585" s="16"/>
      <c r="F2585" s="17"/>
      <c r="G2585" s="17"/>
      <c r="I2585" s="6"/>
      <c r="J2585" s="6"/>
    </row>
    <row r="2586">
      <c r="A2586" s="16"/>
      <c r="B2586" s="16"/>
      <c r="C2586" s="16"/>
      <c r="D2586" s="16"/>
      <c r="E2586" s="16"/>
      <c r="F2586" s="17"/>
      <c r="G2586" s="17"/>
      <c r="I2586" s="6"/>
      <c r="J2586" s="6"/>
    </row>
    <row r="2587">
      <c r="A2587" s="16"/>
      <c r="B2587" s="16"/>
      <c r="C2587" s="16"/>
      <c r="D2587" s="16"/>
      <c r="E2587" s="16"/>
      <c r="F2587" s="17"/>
      <c r="G2587" s="17"/>
      <c r="I2587" s="6"/>
      <c r="J2587" s="6"/>
    </row>
    <row r="2588">
      <c r="A2588" s="16"/>
      <c r="B2588" s="16"/>
      <c r="C2588" s="16"/>
      <c r="D2588" s="16"/>
      <c r="E2588" s="16"/>
      <c r="F2588" s="17"/>
      <c r="G2588" s="17"/>
      <c r="I2588" s="6"/>
      <c r="J2588" s="6"/>
    </row>
    <row r="2589">
      <c r="A2589" s="16"/>
      <c r="B2589" s="16"/>
      <c r="C2589" s="16"/>
      <c r="D2589" s="16"/>
      <c r="E2589" s="16"/>
      <c r="F2589" s="17"/>
      <c r="G2589" s="17"/>
      <c r="I2589" s="6"/>
      <c r="J2589" s="6"/>
    </row>
    <row r="2590">
      <c r="A2590" s="16"/>
      <c r="B2590" s="16"/>
      <c r="C2590" s="16"/>
      <c r="D2590" s="16"/>
      <c r="E2590" s="16"/>
      <c r="F2590" s="17"/>
      <c r="G2590" s="17"/>
      <c r="I2590" s="6"/>
      <c r="J2590" s="6"/>
    </row>
    <row r="2591">
      <c r="A2591" s="16"/>
      <c r="B2591" s="16"/>
      <c r="C2591" s="16"/>
      <c r="D2591" s="16"/>
      <c r="E2591" s="16"/>
      <c r="F2591" s="17"/>
      <c r="G2591" s="17"/>
      <c r="I2591" s="6"/>
      <c r="J2591" s="6"/>
    </row>
    <row r="2592">
      <c r="A2592" s="16"/>
      <c r="B2592" s="16"/>
      <c r="C2592" s="16"/>
      <c r="D2592" s="16"/>
      <c r="E2592" s="16"/>
      <c r="F2592" s="17"/>
      <c r="G2592" s="17"/>
      <c r="I2592" s="6"/>
      <c r="J2592" s="6"/>
    </row>
    <row r="2593">
      <c r="A2593" s="16"/>
      <c r="B2593" s="16"/>
      <c r="C2593" s="16"/>
      <c r="D2593" s="16"/>
      <c r="E2593" s="16"/>
      <c r="F2593" s="17"/>
      <c r="G2593" s="17"/>
      <c r="I2593" s="6"/>
      <c r="J2593" s="6"/>
    </row>
    <row r="2594">
      <c r="A2594" s="16"/>
      <c r="B2594" s="16"/>
      <c r="C2594" s="16"/>
      <c r="D2594" s="16"/>
      <c r="E2594" s="16"/>
      <c r="F2594" s="17"/>
      <c r="G2594" s="17"/>
      <c r="I2594" s="6"/>
      <c r="J2594" s="6"/>
    </row>
    <row r="2595">
      <c r="A2595" s="16"/>
      <c r="B2595" s="16"/>
      <c r="C2595" s="16"/>
      <c r="D2595" s="16"/>
      <c r="E2595" s="16"/>
      <c r="F2595" s="17"/>
      <c r="G2595" s="17"/>
      <c r="I2595" s="6"/>
      <c r="J2595" s="6"/>
    </row>
    <row r="2596">
      <c r="A2596" s="16"/>
      <c r="B2596" s="16"/>
      <c r="C2596" s="16"/>
      <c r="D2596" s="16"/>
      <c r="E2596" s="16"/>
      <c r="F2596" s="17"/>
      <c r="G2596" s="17"/>
      <c r="I2596" s="6"/>
      <c r="J2596" s="6"/>
    </row>
    <row r="2597">
      <c r="A2597" s="16"/>
      <c r="B2597" s="16"/>
      <c r="C2597" s="16"/>
      <c r="D2597" s="16"/>
      <c r="E2597" s="16"/>
      <c r="F2597" s="17"/>
      <c r="G2597" s="17"/>
      <c r="I2597" s="6"/>
      <c r="J2597" s="6"/>
    </row>
    <row r="2598">
      <c r="A2598" s="16"/>
      <c r="B2598" s="16"/>
      <c r="C2598" s="16"/>
      <c r="D2598" s="16"/>
      <c r="E2598" s="16"/>
      <c r="F2598" s="17"/>
      <c r="G2598" s="17"/>
      <c r="I2598" s="6"/>
      <c r="J2598" s="6"/>
    </row>
    <row r="2599">
      <c r="A2599" s="16"/>
      <c r="B2599" s="16"/>
      <c r="C2599" s="16"/>
      <c r="D2599" s="16"/>
      <c r="E2599" s="16"/>
      <c r="F2599" s="17"/>
      <c r="G2599" s="17"/>
      <c r="I2599" s="6"/>
      <c r="J2599" s="6"/>
    </row>
    <row r="2600">
      <c r="A2600" s="16"/>
      <c r="B2600" s="16"/>
      <c r="C2600" s="16"/>
      <c r="D2600" s="16"/>
      <c r="E2600" s="16"/>
      <c r="F2600" s="17"/>
      <c r="G2600" s="17"/>
      <c r="I2600" s="6"/>
      <c r="J2600" s="6"/>
    </row>
    <row r="2601">
      <c r="A2601" s="16"/>
      <c r="B2601" s="16"/>
      <c r="C2601" s="16"/>
      <c r="D2601" s="16"/>
      <c r="E2601" s="16"/>
      <c r="F2601" s="17"/>
      <c r="G2601" s="17"/>
      <c r="I2601" s="6"/>
      <c r="J2601" s="6"/>
    </row>
    <row r="2602">
      <c r="A2602" s="16"/>
      <c r="B2602" s="16"/>
      <c r="C2602" s="16"/>
      <c r="D2602" s="16"/>
      <c r="E2602" s="16"/>
      <c r="F2602" s="17"/>
      <c r="G2602" s="17"/>
      <c r="I2602" s="6"/>
      <c r="J2602" s="6"/>
    </row>
    <row r="2603">
      <c r="A2603" s="16"/>
      <c r="B2603" s="16"/>
      <c r="C2603" s="16"/>
      <c r="D2603" s="16"/>
      <c r="E2603" s="16"/>
      <c r="F2603" s="17"/>
      <c r="G2603" s="17"/>
      <c r="I2603" s="6"/>
      <c r="J2603" s="6"/>
    </row>
    <row r="2604">
      <c r="A2604" s="16"/>
      <c r="B2604" s="16"/>
      <c r="C2604" s="16"/>
      <c r="D2604" s="16"/>
      <c r="E2604" s="16"/>
      <c r="F2604" s="17"/>
      <c r="G2604" s="17"/>
      <c r="I2604" s="6"/>
      <c r="J2604" s="6"/>
    </row>
    <row r="2605">
      <c r="A2605" s="16"/>
      <c r="B2605" s="16"/>
      <c r="C2605" s="16"/>
      <c r="D2605" s="16"/>
      <c r="E2605" s="16"/>
      <c r="F2605" s="17"/>
      <c r="G2605" s="17"/>
      <c r="I2605" s="6"/>
      <c r="J2605" s="6"/>
    </row>
    <row r="2606">
      <c r="A2606" s="16"/>
      <c r="B2606" s="16"/>
      <c r="C2606" s="16"/>
      <c r="D2606" s="16"/>
      <c r="E2606" s="16"/>
      <c r="F2606" s="17"/>
      <c r="G2606" s="17"/>
      <c r="I2606" s="6"/>
      <c r="J2606" s="6"/>
    </row>
    <row r="2607">
      <c r="A2607" s="16"/>
      <c r="B2607" s="16"/>
      <c r="C2607" s="16"/>
      <c r="D2607" s="16"/>
      <c r="E2607" s="16"/>
      <c r="F2607" s="17"/>
      <c r="G2607" s="17"/>
      <c r="I2607" s="6"/>
      <c r="J2607" s="6"/>
    </row>
    <row r="2608">
      <c r="A2608" s="16"/>
      <c r="B2608" s="16"/>
      <c r="C2608" s="16"/>
      <c r="D2608" s="16"/>
      <c r="E2608" s="16"/>
      <c r="F2608" s="17"/>
      <c r="G2608" s="17"/>
      <c r="I2608" s="6"/>
      <c r="J2608" s="6"/>
    </row>
    <row r="2609">
      <c r="A2609" s="16"/>
      <c r="B2609" s="16"/>
      <c r="C2609" s="16"/>
      <c r="D2609" s="16"/>
      <c r="E2609" s="16"/>
      <c r="F2609" s="17"/>
      <c r="G2609" s="17"/>
      <c r="I2609" s="6"/>
      <c r="J2609" s="6"/>
    </row>
    <row r="2610">
      <c r="A2610" s="16"/>
      <c r="B2610" s="16"/>
      <c r="C2610" s="16"/>
      <c r="D2610" s="16"/>
      <c r="E2610" s="16"/>
      <c r="F2610" s="17"/>
      <c r="G2610" s="17"/>
      <c r="I2610" s="6"/>
      <c r="J2610" s="6"/>
    </row>
    <row r="2611">
      <c r="A2611" s="16"/>
      <c r="B2611" s="16"/>
      <c r="C2611" s="16"/>
      <c r="D2611" s="16"/>
      <c r="E2611" s="16"/>
      <c r="F2611" s="17"/>
      <c r="G2611" s="17"/>
      <c r="I2611" s="6"/>
      <c r="J2611" s="6"/>
    </row>
    <row r="2612">
      <c r="A2612" s="16"/>
      <c r="B2612" s="16"/>
      <c r="C2612" s="16"/>
      <c r="D2612" s="16"/>
      <c r="E2612" s="16"/>
      <c r="F2612" s="17"/>
      <c r="G2612" s="17"/>
      <c r="I2612" s="6"/>
      <c r="J2612" s="6"/>
    </row>
    <row r="2613">
      <c r="A2613" s="16"/>
      <c r="B2613" s="16"/>
      <c r="C2613" s="16"/>
      <c r="D2613" s="16"/>
      <c r="E2613" s="16"/>
      <c r="F2613" s="17"/>
      <c r="G2613" s="17"/>
      <c r="I2613" s="6"/>
      <c r="J2613" s="6"/>
    </row>
    <row r="2614">
      <c r="A2614" s="16"/>
      <c r="B2614" s="16"/>
      <c r="C2614" s="16"/>
      <c r="D2614" s="16"/>
      <c r="E2614" s="16"/>
      <c r="F2614" s="17"/>
      <c r="G2614" s="17"/>
      <c r="I2614" s="6"/>
      <c r="J2614" s="6"/>
    </row>
    <row r="2615">
      <c r="A2615" s="16"/>
      <c r="B2615" s="16"/>
      <c r="C2615" s="16"/>
      <c r="D2615" s="16"/>
      <c r="E2615" s="16"/>
      <c r="F2615" s="17"/>
      <c r="G2615" s="17"/>
      <c r="I2615" s="6"/>
      <c r="J2615" s="6"/>
    </row>
    <row r="2616">
      <c r="A2616" s="16"/>
      <c r="B2616" s="16"/>
      <c r="C2616" s="16"/>
      <c r="D2616" s="16"/>
      <c r="E2616" s="16"/>
      <c r="F2616" s="17"/>
      <c r="G2616" s="17"/>
      <c r="I2616" s="6"/>
      <c r="J2616" s="6"/>
    </row>
    <row r="2617">
      <c r="A2617" s="16"/>
      <c r="B2617" s="16"/>
      <c r="C2617" s="16"/>
      <c r="D2617" s="16"/>
      <c r="E2617" s="16"/>
      <c r="F2617" s="17"/>
      <c r="G2617" s="17"/>
      <c r="I2617" s="6"/>
      <c r="J2617" s="6"/>
    </row>
    <row r="2618">
      <c r="A2618" s="16"/>
      <c r="B2618" s="16"/>
      <c r="C2618" s="16"/>
      <c r="D2618" s="16"/>
      <c r="E2618" s="16"/>
      <c r="F2618" s="17"/>
      <c r="G2618" s="17"/>
      <c r="I2618" s="6"/>
      <c r="J2618" s="6"/>
    </row>
    <row r="2619">
      <c r="A2619" s="16"/>
      <c r="B2619" s="16"/>
      <c r="C2619" s="16"/>
      <c r="D2619" s="16"/>
      <c r="E2619" s="16"/>
      <c r="F2619" s="17"/>
      <c r="G2619" s="17"/>
      <c r="I2619" s="6"/>
      <c r="J2619" s="6"/>
    </row>
    <row r="2620">
      <c r="A2620" s="16"/>
      <c r="B2620" s="16"/>
      <c r="C2620" s="16"/>
      <c r="D2620" s="16"/>
      <c r="E2620" s="16"/>
      <c r="F2620" s="17"/>
      <c r="G2620" s="17"/>
      <c r="I2620" s="6"/>
      <c r="J2620" s="6"/>
    </row>
    <row r="2621">
      <c r="A2621" s="16"/>
      <c r="B2621" s="16"/>
      <c r="C2621" s="16"/>
      <c r="D2621" s="16"/>
      <c r="E2621" s="16"/>
      <c r="F2621" s="17"/>
      <c r="G2621" s="17"/>
      <c r="I2621" s="6"/>
      <c r="J2621" s="6"/>
    </row>
    <row r="2622">
      <c r="A2622" s="16"/>
      <c r="B2622" s="16"/>
      <c r="C2622" s="16"/>
      <c r="D2622" s="16"/>
      <c r="E2622" s="16"/>
      <c r="F2622" s="17"/>
      <c r="G2622" s="17"/>
      <c r="I2622" s="6"/>
      <c r="J2622" s="6"/>
    </row>
    <row r="2623">
      <c r="A2623" s="16"/>
      <c r="B2623" s="16"/>
      <c r="C2623" s="16"/>
      <c r="D2623" s="16"/>
      <c r="E2623" s="16"/>
      <c r="F2623" s="17"/>
      <c r="G2623" s="17"/>
      <c r="I2623" s="6"/>
      <c r="J2623" s="6"/>
    </row>
    <row r="2624">
      <c r="A2624" s="16"/>
      <c r="B2624" s="16"/>
      <c r="C2624" s="16"/>
      <c r="D2624" s="16"/>
      <c r="E2624" s="16"/>
      <c r="F2624" s="17"/>
      <c r="G2624" s="17"/>
      <c r="I2624" s="6"/>
      <c r="J2624" s="6"/>
    </row>
    <row r="2625">
      <c r="A2625" s="16"/>
      <c r="B2625" s="16"/>
      <c r="C2625" s="16"/>
      <c r="D2625" s="16"/>
      <c r="E2625" s="16"/>
      <c r="F2625" s="17"/>
      <c r="G2625" s="17"/>
      <c r="I2625" s="6"/>
      <c r="J2625" s="6"/>
    </row>
    <row r="2626">
      <c r="A2626" s="16"/>
      <c r="B2626" s="16"/>
      <c r="C2626" s="16"/>
      <c r="D2626" s="16"/>
      <c r="E2626" s="16"/>
      <c r="F2626" s="17"/>
      <c r="G2626" s="17"/>
      <c r="I2626" s="6"/>
      <c r="J2626" s="6"/>
    </row>
    <row r="2627">
      <c r="A2627" s="16"/>
      <c r="B2627" s="16"/>
      <c r="C2627" s="16"/>
      <c r="D2627" s="16"/>
      <c r="E2627" s="16"/>
      <c r="F2627" s="17"/>
      <c r="G2627" s="17"/>
      <c r="I2627" s="6"/>
      <c r="J2627" s="6"/>
    </row>
    <row r="2628">
      <c r="A2628" s="16"/>
      <c r="B2628" s="16"/>
      <c r="C2628" s="16"/>
      <c r="D2628" s="16"/>
      <c r="E2628" s="16"/>
      <c r="F2628" s="17"/>
      <c r="G2628" s="17"/>
      <c r="I2628" s="6"/>
      <c r="J2628" s="6"/>
    </row>
    <row r="2629">
      <c r="A2629" s="16"/>
      <c r="B2629" s="16"/>
      <c r="C2629" s="16"/>
      <c r="D2629" s="16"/>
      <c r="E2629" s="16"/>
      <c r="F2629" s="17"/>
      <c r="G2629" s="17"/>
      <c r="I2629" s="6"/>
      <c r="J2629" s="6"/>
    </row>
    <row r="2630">
      <c r="A2630" s="16"/>
      <c r="B2630" s="16"/>
      <c r="C2630" s="16"/>
      <c r="D2630" s="16"/>
      <c r="E2630" s="16"/>
      <c r="F2630" s="17"/>
      <c r="G2630" s="17"/>
      <c r="I2630" s="6"/>
      <c r="J2630" s="6"/>
    </row>
    <row r="2631">
      <c r="A2631" s="16"/>
      <c r="B2631" s="16"/>
      <c r="C2631" s="16"/>
      <c r="D2631" s="16"/>
      <c r="E2631" s="16"/>
      <c r="F2631" s="17"/>
      <c r="G2631" s="17"/>
      <c r="I2631" s="6"/>
      <c r="J2631" s="6"/>
    </row>
    <row r="2632">
      <c r="A2632" s="16"/>
      <c r="B2632" s="16"/>
      <c r="C2632" s="16"/>
      <c r="D2632" s="16"/>
      <c r="E2632" s="16"/>
      <c r="F2632" s="17"/>
      <c r="G2632" s="17"/>
      <c r="I2632" s="6"/>
      <c r="J2632" s="6"/>
    </row>
    <row r="2633">
      <c r="A2633" s="16"/>
      <c r="B2633" s="16"/>
      <c r="C2633" s="16"/>
      <c r="D2633" s="16"/>
      <c r="E2633" s="16"/>
      <c r="F2633" s="17"/>
      <c r="G2633" s="17"/>
      <c r="I2633" s="6"/>
      <c r="J2633" s="6"/>
    </row>
    <row r="2634">
      <c r="A2634" s="16"/>
      <c r="B2634" s="16"/>
      <c r="C2634" s="16"/>
      <c r="D2634" s="16"/>
      <c r="E2634" s="16"/>
      <c r="F2634" s="17"/>
      <c r="G2634" s="17"/>
      <c r="I2634" s="6"/>
      <c r="J2634" s="6"/>
    </row>
    <row r="2635">
      <c r="A2635" s="16"/>
      <c r="B2635" s="16"/>
      <c r="C2635" s="16"/>
      <c r="D2635" s="16"/>
      <c r="E2635" s="16"/>
      <c r="F2635" s="17"/>
      <c r="G2635" s="17"/>
      <c r="I2635" s="6"/>
      <c r="J2635" s="6"/>
    </row>
    <row r="2636">
      <c r="A2636" s="16"/>
      <c r="B2636" s="16"/>
      <c r="C2636" s="16"/>
      <c r="D2636" s="16"/>
      <c r="E2636" s="16"/>
      <c r="F2636" s="17"/>
      <c r="G2636" s="17"/>
      <c r="I2636" s="6"/>
      <c r="J2636" s="6"/>
    </row>
    <row r="2637">
      <c r="A2637" s="16"/>
      <c r="B2637" s="16"/>
      <c r="C2637" s="16"/>
      <c r="D2637" s="16"/>
      <c r="E2637" s="16"/>
      <c r="F2637" s="17"/>
      <c r="G2637" s="17"/>
      <c r="I2637" s="6"/>
      <c r="J2637" s="6"/>
    </row>
    <row r="2638">
      <c r="A2638" s="16"/>
      <c r="B2638" s="16"/>
      <c r="C2638" s="16"/>
      <c r="D2638" s="16"/>
      <c r="E2638" s="16"/>
      <c r="F2638" s="17"/>
      <c r="G2638" s="17"/>
      <c r="I2638" s="6"/>
      <c r="J2638" s="6"/>
    </row>
    <row r="2639">
      <c r="A2639" s="16"/>
      <c r="B2639" s="16"/>
      <c r="C2639" s="16"/>
      <c r="D2639" s="16"/>
      <c r="E2639" s="16"/>
      <c r="F2639" s="17"/>
      <c r="G2639" s="17"/>
      <c r="I2639" s="6"/>
      <c r="J2639" s="6"/>
    </row>
    <row r="2640">
      <c r="A2640" s="16"/>
      <c r="B2640" s="16"/>
      <c r="C2640" s="16"/>
      <c r="D2640" s="16"/>
      <c r="E2640" s="16"/>
      <c r="F2640" s="17"/>
      <c r="G2640" s="17"/>
      <c r="I2640" s="6"/>
      <c r="J2640" s="6"/>
    </row>
    <row r="2641">
      <c r="A2641" s="16"/>
      <c r="B2641" s="16"/>
      <c r="C2641" s="16"/>
      <c r="D2641" s="16"/>
      <c r="E2641" s="16"/>
      <c r="F2641" s="17"/>
      <c r="G2641" s="17"/>
      <c r="I2641" s="6"/>
      <c r="J2641" s="6"/>
    </row>
    <row r="2642">
      <c r="A2642" s="16"/>
      <c r="B2642" s="16"/>
      <c r="C2642" s="16"/>
      <c r="D2642" s="16"/>
      <c r="E2642" s="16"/>
      <c r="F2642" s="17"/>
      <c r="G2642" s="17"/>
      <c r="I2642" s="6"/>
      <c r="J2642" s="6"/>
    </row>
    <row r="2643">
      <c r="A2643" s="16"/>
      <c r="B2643" s="16"/>
      <c r="C2643" s="16"/>
      <c r="D2643" s="16"/>
      <c r="E2643" s="16"/>
      <c r="F2643" s="17"/>
      <c r="G2643" s="17"/>
      <c r="I2643" s="6"/>
      <c r="J2643" s="6"/>
    </row>
    <row r="2644">
      <c r="A2644" s="16"/>
      <c r="B2644" s="16"/>
      <c r="C2644" s="16"/>
      <c r="D2644" s="16"/>
      <c r="E2644" s="16"/>
      <c r="F2644" s="17"/>
      <c r="G2644" s="17"/>
      <c r="I2644" s="6"/>
      <c r="J2644" s="6"/>
    </row>
    <row r="2645">
      <c r="A2645" s="16"/>
      <c r="B2645" s="16"/>
      <c r="C2645" s="16"/>
      <c r="D2645" s="16"/>
      <c r="E2645" s="16"/>
      <c r="F2645" s="17"/>
      <c r="G2645" s="17"/>
      <c r="I2645" s="6"/>
      <c r="J2645" s="6"/>
    </row>
    <row r="2646">
      <c r="A2646" s="16"/>
      <c r="B2646" s="16"/>
      <c r="C2646" s="16"/>
      <c r="D2646" s="16"/>
      <c r="E2646" s="16"/>
      <c r="F2646" s="17"/>
      <c r="G2646" s="17"/>
      <c r="I2646" s="6"/>
      <c r="J2646" s="6"/>
    </row>
    <row r="2647">
      <c r="A2647" s="16"/>
      <c r="B2647" s="16"/>
      <c r="C2647" s="16"/>
      <c r="D2647" s="16"/>
      <c r="E2647" s="16"/>
      <c r="F2647" s="17"/>
      <c r="G2647" s="17"/>
      <c r="I2647" s="6"/>
      <c r="J2647" s="6"/>
    </row>
    <row r="2648">
      <c r="A2648" s="16"/>
      <c r="B2648" s="16"/>
      <c r="C2648" s="16"/>
      <c r="D2648" s="16"/>
      <c r="E2648" s="16"/>
      <c r="F2648" s="17"/>
      <c r="G2648" s="17"/>
      <c r="I2648" s="6"/>
      <c r="J2648" s="6"/>
    </row>
    <row r="2649">
      <c r="A2649" s="16"/>
      <c r="B2649" s="16"/>
      <c r="C2649" s="16"/>
      <c r="D2649" s="16"/>
      <c r="E2649" s="16"/>
      <c r="F2649" s="17"/>
      <c r="G2649" s="17"/>
      <c r="I2649" s="6"/>
      <c r="J2649" s="6"/>
    </row>
    <row r="2650">
      <c r="A2650" s="16"/>
      <c r="B2650" s="16"/>
      <c r="C2650" s="16"/>
      <c r="D2650" s="16"/>
      <c r="E2650" s="16"/>
      <c r="F2650" s="17"/>
      <c r="G2650" s="17"/>
      <c r="I2650" s="6"/>
      <c r="J2650" s="6"/>
    </row>
    <row r="2651">
      <c r="A2651" s="16"/>
      <c r="B2651" s="16"/>
      <c r="C2651" s="16"/>
      <c r="D2651" s="16"/>
      <c r="E2651" s="16"/>
      <c r="F2651" s="17"/>
      <c r="G2651" s="17"/>
      <c r="I2651" s="6"/>
      <c r="J2651" s="6"/>
    </row>
    <row r="2652">
      <c r="A2652" s="16"/>
      <c r="B2652" s="16"/>
      <c r="C2652" s="16"/>
      <c r="D2652" s="16"/>
      <c r="E2652" s="16"/>
      <c r="F2652" s="17"/>
      <c r="G2652" s="17"/>
      <c r="I2652" s="6"/>
      <c r="J2652" s="6"/>
    </row>
    <row r="2653">
      <c r="A2653" s="16"/>
      <c r="B2653" s="16"/>
      <c r="C2653" s="16"/>
      <c r="D2653" s="16"/>
      <c r="E2653" s="16"/>
      <c r="F2653" s="17"/>
      <c r="G2653" s="17"/>
      <c r="I2653" s="6"/>
      <c r="J2653" s="6"/>
    </row>
    <row r="2654">
      <c r="A2654" s="16"/>
      <c r="B2654" s="16"/>
      <c r="C2654" s="16"/>
      <c r="D2654" s="16"/>
      <c r="E2654" s="16"/>
      <c r="F2654" s="17"/>
      <c r="G2654" s="17"/>
      <c r="I2654" s="6"/>
      <c r="J2654" s="6"/>
    </row>
    <row r="2655">
      <c r="A2655" s="16"/>
      <c r="B2655" s="16"/>
      <c r="C2655" s="16"/>
      <c r="D2655" s="16"/>
      <c r="E2655" s="16"/>
      <c r="F2655" s="17"/>
      <c r="G2655" s="17"/>
      <c r="I2655" s="6"/>
      <c r="J2655" s="6"/>
    </row>
    <row r="2656">
      <c r="A2656" s="16"/>
      <c r="B2656" s="16"/>
      <c r="C2656" s="16"/>
      <c r="D2656" s="16"/>
      <c r="E2656" s="16"/>
      <c r="F2656" s="17"/>
      <c r="G2656" s="17"/>
      <c r="I2656" s="6"/>
      <c r="J2656" s="6"/>
    </row>
    <row r="2657">
      <c r="A2657" s="16"/>
      <c r="B2657" s="16"/>
      <c r="C2657" s="16"/>
      <c r="D2657" s="16"/>
      <c r="E2657" s="16"/>
      <c r="F2657" s="17"/>
      <c r="G2657" s="17"/>
      <c r="I2657" s="6"/>
      <c r="J2657" s="6"/>
    </row>
    <row r="2658">
      <c r="A2658" s="16"/>
      <c r="B2658" s="16"/>
      <c r="C2658" s="16"/>
      <c r="D2658" s="16"/>
      <c r="E2658" s="16"/>
      <c r="F2658" s="17"/>
      <c r="G2658" s="17"/>
      <c r="I2658" s="6"/>
      <c r="J2658" s="6"/>
    </row>
    <row r="2659">
      <c r="A2659" s="16"/>
      <c r="B2659" s="16"/>
      <c r="C2659" s="16"/>
      <c r="D2659" s="16"/>
      <c r="E2659" s="16"/>
      <c r="F2659" s="17"/>
      <c r="G2659" s="17"/>
      <c r="I2659" s="6"/>
      <c r="J2659" s="6"/>
    </row>
    <row r="2660">
      <c r="A2660" s="16"/>
      <c r="B2660" s="16"/>
      <c r="C2660" s="16"/>
      <c r="D2660" s="16"/>
      <c r="E2660" s="16"/>
      <c r="F2660" s="17"/>
      <c r="G2660" s="17"/>
      <c r="I2660" s="6"/>
      <c r="J2660" s="6"/>
    </row>
    <row r="2661">
      <c r="A2661" s="16"/>
      <c r="B2661" s="16"/>
      <c r="C2661" s="16"/>
      <c r="D2661" s="16"/>
      <c r="E2661" s="16"/>
      <c r="F2661" s="17"/>
      <c r="G2661" s="17"/>
      <c r="I2661" s="6"/>
      <c r="J2661" s="6"/>
    </row>
    <row r="2662">
      <c r="A2662" s="16"/>
      <c r="B2662" s="16"/>
      <c r="C2662" s="16"/>
      <c r="D2662" s="16"/>
      <c r="E2662" s="16"/>
      <c r="F2662" s="17"/>
      <c r="G2662" s="17"/>
      <c r="I2662" s="6"/>
      <c r="J2662" s="6"/>
    </row>
    <row r="2663">
      <c r="A2663" s="16"/>
      <c r="B2663" s="16"/>
      <c r="C2663" s="16"/>
      <c r="D2663" s="16"/>
      <c r="E2663" s="16"/>
      <c r="F2663" s="17"/>
      <c r="G2663" s="17"/>
      <c r="I2663" s="6"/>
      <c r="J2663" s="6"/>
    </row>
    <row r="2664">
      <c r="A2664" s="16"/>
      <c r="B2664" s="16"/>
      <c r="C2664" s="16"/>
      <c r="D2664" s="16"/>
      <c r="E2664" s="16"/>
      <c r="F2664" s="17"/>
      <c r="G2664" s="17"/>
      <c r="I2664" s="6"/>
      <c r="J2664" s="6"/>
    </row>
    <row r="2665">
      <c r="A2665" s="16"/>
      <c r="B2665" s="16"/>
      <c r="C2665" s="16"/>
      <c r="D2665" s="16"/>
      <c r="E2665" s="16"/>
      <c r="F2665" s="17"/>
      <c r="G2665" s="17"/>
      <c r="I2665" s="6"/>
      <c r="J2665" s="6"/>
    </row>
    <row r="2666">
      <c r="A2666" s="16"/>
      <c r="B2666" s="16"/>
      <c r="C2666" s="16"/>
      <c r="D2666" s="16"/>
      <c r="E2666" s="16"/>
      <c r="F2666" s="17"/>
      <c r="G2666" s="17"/>
      <c r="I2666" s="6"/>
      <c r="J2666" s="6"/>
    </row>
    <row r="2667">
      <c r="A2667" s="16"/>
      <c r="B2667" s="16"/>
      <c r="C2667" s="16"/>
      <c r="D2667" s="16"/>
      <c r="E2667" s="16"/>
      <c r="F2667" s="17"/>
      <c r="G2667" s="17"/>
      <c r="I2667" s="6"/>
      <c r="J2667" s="6"/>
    </row>
    <row r="2668">
      <c r="A2668" s="16"/>
      <c r="B2668" s="16"/>
      <c r="C2668" s="16"/>
      <c r="D2668" s="16"/>
      <c r="E2668" s="16"/>
      <c r="F2668" s="17"/>
      <c r="G2668" s="17"/>
      <c r="I2668" s="6"/>
      <c r="J2668" s="6"/>
    </row>
    <row r="2669">
      <c r="A2669" s="16"/>
      <c r="B2669" s="16"/>
      <c r="C2669" s="16"/>
      <c r="D2669" s="16"/>
      <c r="E2669" s="16"/>
      <c r="F2669" s="17"/>
      <c r="G2669" s="17"/>
      <c r="I2669" s="6"/>
      <c r="J2669" s="6"/>
    </row>
    <row r="2670">
      <c r="A2670" s="16"/>
      <c r="B2670" s="16"/>
      <c r="C2670" s="16"/>
      <c r="D2670" s="16"/>
      <c r="E2670" s="16"/>
      <c r="F2670" s="17"/>
      <c r="G2670" s="17"/>
      <c r="I2670" s="6"/>
      <c r="J2670" s="6"/>
    </row>
    <row r="2671">
      <c r="A2671" s="16"/>
      <c r="B2671" s="16"/>
      <c r="C2671" s="16"/>
      <c r="D2671" s="16"/>
      <c r="E2671" s="16"/>
      <c r="F2671" s="17"/>
      <c r="G2671" s="17"/>
      <c r="I2671" s="6"/>
      <c r="J2671" s="6"/>
    </row>
    <row r="2672">
      <c r="A2672" s="16"/>
      <c r="B2672" s="16"/>
      <c r="C2672" s="16"/>
      <c r="D2672" s="16"/>
      <c r="E2672" s="16"/>
      <c r="F2672" s="17"/>
      <c r="G2672" s="17"/>
      <c r="I2672" s="6"/>
      <c r="J2672" s="6"/>
    </row>
    <row r="2673">
      <c r="A2673" s="16"/>
      <c r="B2673" s="16"/>
      <c r="C2673" s="16"/>
      <c r="D2673" s="16"/>
      <c r="E2673" s="16"/>
      <c r="F2673" s="17"/>
      <c r="G2673" s="17"/>
      <c r="I2673" s="6"/>
      <c r="J2673" s="6"/>
    </row>
    <row r="2674">
      <c r="A2674" s="16"/>
      <c r="B2674" s="16"/>
      <c r="C2674" s="16"/>
      <c r="D2674" s="16"/>
      <c r="E2674" s="16"/>
      <c r="F2674" s="17"/>
      <c r="G2674" s="17"/>
      <c r="I2674" s="6"/>
      <c r="J2674" s="6"/>
    </row>
    <row r="2675">
      <c r="A2675" s="16"/>
      <c r="B2675" s="16"/>
      <c r="C2675" s="16"/>
      <c r="D2675" s="16"/>
      <c r="E2675" s="16"/>
      <c r="F2675" s="17"/>
      <c r="G2675" s="17"/>
      <c r="I2675" s="6"/>
      <c r="J2675" s="6"/>
    </row>
    <row r="2676">
      <c r="A2676" s="16"/>
      <c r="B2676" s="16"/>
      <c r="C2676" s="16"/>
      <c r="D2676" s="16"/>
      <c r="E2676" s="16"/>
      <c r="F2676" s="17"/>
      <c r="G2676" s="17"/>
      <c r="I2676" s="6"/>
      <c r="J2676" s="6"/>
    </row>
    <row r="2677">
      <c r="A2677" s="16"/>
      <c r="B2677" s="16"/>
      <c r="C2677" s="16"/>
      <c r="D2677" s="16"/>
      <c r="E2677" s="16"/>
      <c r="F2677" s="17"/>
      <c r="G2677" s="17"/>
      <c r="I2677" s="6"/>
      <c r="J2677" s="6"/>
    </row>
    <row r="2678">
      <c r="A2678" s="16"/>
      <c r="B2678" s="16"/>
      <c r="C2678" s="16"/>
      <c r="D2678" s="16"/>
      <c r="E2678" s="16"/>
      <c r="F2678" s="17"/>
      <c r="G2678" s="17"/>
      <c r="I2678" s="6"/>
      <c r="J2678" s="6"/>
    </row>
    <row r="2679">
      <c r="A2679" s="16"/>
      <c r="B2679" s="16"/>
      <c r="C2679" s="16"/>
      <c r="D2679" s="16"/>
      <c r="E2679" s="16"/>
      <c r="F2679" s="17"/>
      <c r="G2679" s="17"/>
      <c r="I2679" s="6"/>
      <c r="J2679" s="6"/>
    </row>
    <row r="2680">
      <c r="A2680" s="16"/>
      <c r="B2680" s="16"/>
      <c r="C2680" s="16"/>
      <c r="D2680" s="16"/>
      <c r="E2680" s="16"/>
      <c r="F2680" s="17"/>
      <c r="G2680" s="17"/>
      <c r="I2680" s="6"/>
      <c r="J2680" s="6"/>
    </row>
    <row r="2681">
      <c r="A2681" s="16"/>
      <c r="B2681" s="16"/>
      <c r="C2681" s="16"/>
      <c r="D2681" s="16"/>
      <c r="E2681" s="16"/>
      <c r="F2681" s="17"/>
      <c r="G2681" s="17"/>
      <c r="I2681" s="6"/>
      <c r="J2681" s="6"/>
    </row>
    <row r="2682">
      <c r="A2682" s="16"/>
      <c r="B2682" s="16"/>
      <c r="C2682" s="16"/>
      <c r="D2682" s="16"/>
      <c r="E2682" s="16"/>
      <c r="F2682" s="17"/>
      <c r="G2682" s="17"/>
      <c r="I2682" s="6"/>
      <c r="J2682" s="6"/>
    </row>
    <row r="2683">
      <c r="A2683" s="16"/>
      <c r="B2683" s="16"/>
      <c r="C2683" s="16"/>
      <c r="D2683" s="16"/>
      <c r="E2683" s="16"/>
      <c r="F2683" s="17"/>
      <c r="G2683" s="17"/>
      <c r="I2683" s="6"/>
      <c r="J2683" s="6"/>
    </row>
    <row r="2684">
      <c r="A2684" s="16"/>
      <c r="B2684" s="16"/>
      <c r="C2684" s="16"/>
      <c r="D2684" s="16"/>
      <c r="E2684" s="16"/>
      <c r="F2684" s="17"/>
      <c r="G2684" s="17"/>
      <c r="I2684" s="6"/>
      <c r="J2684" s="6"/>
    </row>
    <row r="2685">
      <c r="A2685" s="16"/>
      <c r="B2685" s="16"/>
      <c r="C2685" s="16"/>
      <c r="D2685" s="16"/>
      <c r="E2685" s="16"/>
      <c r="F2685" s="17"/>
      <c r="G2685" s="17"/>
      <c r="I2685" s="6"/>
      <c r="J2685" s="6"/>
    </row>
    <row r="2686">
      <c r="A2686" s="16"/>
      <c r="B2686" s="16"/>
      <c r="C2686" s="16"/>
      <c r="D2686" s="16"/>
      <c r="E2686" s="16"/>
      <c r="F2686" s="17"/>
      <c r="G2686" s="17"/>
      <c r="I2686" s="6"/>
      <c r="J2686" s="6"/>
    </row>
    <row r="2687">
      <c r="A2687" s="16"/>
      <c r="B2687" s="16"/>
      <c r="C2687" s="16"/>
      <c r="D2687" s="16"/>
      <c r="E2687" s="16"/>
      <c r="F2687" s="17"/>
      <c r="G2687" s="17"/>
      <c r="I2687" s="6"/>
      <c r="J2687" s="6"/>
    </row>
    <row r="2688">
      <c r="A2688" s="16"/>
      <c r="B2688" s="16"/>
      <c r="C2688" s="16"/>
      <c r="D2688" s="16"/>
      <c r="E2688" s="16"/>
      <c r="F2688" s="17"/>
      <c r="G2688" s="17"/>
      <c r="I2688" s="6"/>
      <c r="J2688" s="6"/>
    </row>
    <row r="2689">
      <c r="A2689" s="16"/>
      <c r="B2689" s="16"/>
      <c r="C2689" s="16"/>
      <c r="D2689" s="16"/>
      <c r="E2689" s="16"/>
      <c r="F2689" s="17"/>
      <c r="G2689" s="17"/>
      <c r="I2689" s="6"/>
      <c r="J2689" s="6"/>
    </row>
    <row r="2690">
      <c r="A2690" s="16"/>
      <c r="B2690" s="16"/>
      <c r="C2690" s="16"/>
      <c r="D2690" s="16"/>
      <c r="E2690" s="16"/>
      <c r="F2690" s="17"/>
      <c r="G2690" s="17"/>
      <c r="I2690" s="6"/>
      <c r="J2690" s="6"/>
    </row>
    <row r="2691">
      <c r="A2691" s="16"/>
      <c r="B2691" s="16"/>
      <c r="C2691" s="16"/>
      <c r="D2691" s="16"/>
      <c r="E2691" s="16"/>
      <c r="F2691" s="17"/>
      <c r="G2691" s="17"/>
      <c r="I2691" s="6"/>
      <c r="J2691" s="6"/>
    </row>
    <row r="2692">
      <c r="A2692" s="16"/>
      <c r="B2692" s="16"/>
      <c r="C2692" s="16"/>
      <c r="D2692" s="16"/>
      <c r="E2692" s="16"/>
      <c r="F2692" s="17"/>
      <c r="G2692" s="17"/>
      <c r="I2692" s="6"/>
      <c r="J2692" s="6"/>
    </row>
    <row r="2693">
      <c r="A2693" s="16"/>
      <c r="B2693" s="16"/>
      <c r="C2693" s="16"/>
      <c r="D2693" s="16"/>
      <c r="E2693" s="16"/>
      <c r="F2693" s="17"/>
      <c r="G2693" s="17"/>
      <c r="I2693" s="6"/>
      <c r="J2693" s="6"/>
    </row>
    <row r="2694">
      <c r="A2694" s="16"/>
      <c r="B2694" s="16"/>
      <c r="C2694" s="16"/>
      <c r="D2694" s="16"/>
      <c r="E2694" s="16"/>
      <c r="F2694" s="17"/>
      <c r="G2694" s="17"/>
      <c r="I2694" s="6"/>
      <c r="J2694" s="6"/>
    </row>
    <row r="2695">
      <c r="A2695" s="16"/>
      <c r="B2695" s="16"/>
      <c r="C2695" s="16"/>
      <c r="D2695" s="16"/>
      <c r="E2695" s="16"/>
      <c r="F2695" s="17"/>
      <c r="G2695" s="17"/>
      <c r="I2695" s="6"/>
      <c r="J2695" s="6"/>
    </row>
    <row r="2696">
      <c r="A2696" s="16"/>
      <c r="B2696" s="16"/>
      <c r="C2696" s="16"/>
      <c r="D2696" s="16"/>
      <c r="E2696" s="16"/>
      <c r="F2696" s="17"/>
      <c r="G2696" s="17"/>
      <c r="I2696" s="6"/>
      <c r="J2696" s="6"/>
    </row>
    <row r="2697">
      <c r="A2697" s="16"/>
      <c r="B2697" s="16"/>
      <c r="C2697" s="16"/>
      <c r="D2697" s="16"/>
      <c r="E2697" s="16"/>
      <c r="F2697" s="17"/>
      <c r="G2697" s="17"/>
      <c r="I2697" s="6"/>
      <c r="J2697" s="6"/>
    </row>
    <row r="2698">
      <c r="A2698" s="16"/>
      <c r="B2698" s="16"/>
      <c r="C2698" s="16"/>
      <c r="D2698" s="16"/>
      <c r="E2698" s="16"/>
      <c r="F2698" s="17"/>
      <c r="G2698" s="17"/>
      <c r="I2698" s="6"/>
      <c r="J2698" s="6"/>
    </row>
    <row r="2699">
      <c r="A2699" s="16"/>
      <c r="B2699" s="16"/>
      <c r="C2699" s="16"/>
      <c r="D2699" s="16"/>
      <c r="E2699" s="16"/>
      <c r="F2699" s="17"/>
      <c r="G2699" s="17"/>
      <c r="I2699" s="6"/>
      <c r="J2699" s="6"/>
    </row>
    <row r="2700">
      <c r="A2700" s="16"/>
      <c r="B2700" s="16"/>
      <c r="C2700" s="16"/>
      <c r="D2700" s="16"/>
      <c r="E2700" s="16"/>
      <c r="F2700" s="17"/>
      <c r="G2700" s="17"/>
      <c r="I2700" s="6"/>
      <c r="J2700" s="6"/>
    </row>
    <row r="2701">
      <c r="A2701" s="16"/>
      <c r="B2701" s="16"/>
      <c r="C2701" s="16"/>
      <c r="D2701" s="16"/>
      <c r="E2701" s="16"/>
      <c r="F2701" s="17"/>
      <c r="G2701" s="17"/>
      <c r="I2701" s="6"/>
      <c r="J2701" s="6"/>
    </row>
    <row r="2702">
      <c r="A2702" s="16"/>
      <c r="B2702" s="16"/>
      <c r="C2702" s="16"/>
      <c r="D2702" s="16"/>
      <c r="E2702" s="16"/>
      <c r="F2702" s="17"/>
      <c r="G2702" s="17"/>
      <c r="I2702" s="6"/>
      <c r="J2702" s="6"/>
    </row>
    <row r="2703">
      <c r="A2703" s="16"/>
      <c r="B2703" s="16"/>
      <c r="C2703" s="16"/>
      <c r="D2703" s="16"/>
      <c r="E2703" s="16"/>
      <c r="F2703" s="17"/>
      <c r="G2703" s="17"/>
      <c r="I2703" s="6"/>
      <c r="J2703" s="6"/>
    </row>
    <row r="2704">
      <c r="A2704" s="16"/>
      <c r="B2704" s="16"/>
      <c r="C2704" s="16"/>
      <c r="D2704" s="16"/>
      <c r="E2704" s="16"/>
      <c r="F2704" s="17"/>
      <c r="G2704" s="17"/>
      <c r="I2704" s="6"/>
      <c r="J2704" s="6"/>
    </row>
    <row r="2705">
      <c r="A2705" s="16"/>
      <c r="B2705" s="16"/>
      <c r="C2705" s="16"/>
      <c r="D2705" s="16"/>
      <c r="E2705" s="16"/>
      <c r="F2705" s="17"/>
      <c r="G2705" s="17"/>
      <c r="I2705" s="6"/>
      <c r="J2705" s="6"/>
    </row>
    <row r="2706">
      <c r="A2706" s="16"/>
      <c r="B2706" s="16"/>
      <c r="C2706" s="16"/>
      <c r="D2706" s="16"/>
      <c r="E2706" s="16"/>
      <c r="F2706" s="17"/>
      <c r="G2706" s="17"/>
      <c r="I2706" s="6"/>
      <c r="J2706" s="6"/>
    </row>
    <row r="2707">
      <c r="A2707" s="16"/>
      <c r="B2707" s="16"/>
      <c r="C2707" s="16"/>
      <c r="D2707" s="16"/>
      <c r="E2707" s="16"/>
      <c r="F2707" s="17"/>
      <c r="G2707" s="17"/>
      <c r="I2707" s="6"/>
      <c r="J2707" s="6"/>
    </row>
    <row r="2708">
      <c r="A2708" s="16"/>
      <c r="B2708" s="16"/>
      <c r="C2708" s="16"/>
      <c r="D2708" s="16"/>
      <c r="E2708" s="16"/>
      <c r="F2708" s="17"/>
      <c r="G2708" s="17"/>
      <c r="I2708" s="6"/>
      <c r="J2708" s="6"/>
    </row>
    <row r="2709">
      <c r="A2709" s="16"/>
      <c r="B2709" s="16"/>
      <c r="C2709" s="16"/>
      <c r="D2709" s="16"/>
      <c r="E2709" s="16"/>
      <c r="F2709" s="17"/>
      <c r="G2709" s="17"/>
      <c r="I2709" s="6"/>
      <c r="J2709" s="6"/>
    </row>
    <row r="2710">
      <c r="A2710" s="16"/>
      <c r="B2710" s="16"/>
      <c r="C2710" s="16"/>
      <c r="D2710" s="16"/>
      <c r="E2710" s="16"/>
      <c r="F2710" s="17"/>
      <c r="G2710" s="17"/>
      <c r="I2710" s="6"/>
      <c r="J2710" s="6"/>
    </row>
    <row r="2711">
      <c r="A2711" s="16"/>
      <c r="B2711" s="16"/>
      <c r="C2711" s="16"/>
      <c r="D2711" s="16"/>
      <c r="E2711" s="16"/>
      <c r="F2711" s="17"/>
      <c r="G2711" s="17"/>
      <c r="I2711" s="6"/>
      <c r="J2711" s="6"/>
    </row>
    <row r="2712">
      <c r="A2712" s="16"/>
      <c r="B2712" s="16"/>
      <c r="C2712" s="16"/>
      <c r="D2712" s="16"/>
      <c r="E2712" s="16"/>
      <c r="F2712" s="17"/>
      <c r="G2712" s="17"/>
      <c r="I2712" s="6"/>
      <c r="J2712" s="6"/>
    </row>
    <row r="2713">
      <c r="A2713" s="16"/>
      <c r="B2713" s="16"/>
      <c r="C2713" s="16"/>
      <c r="D2713" s="16"/>
      <c r="E2713" s="16"/>
      <c r="F2713" s="17"/>
      <c r="G2713" s="17"/>
      <c r="I2713" s="6"/>
      <c r="J2713" s="6"/>
    </row>
    <row r="2714">
      <c r="A2714" s="16"/>
      <c r="B2714" s="16"/>
      <c r="C2714" s="16"/>
      <c r="D2714" s="16"/>
      <c r="E2714" s="16"/>
      <c r="F2714" s="17"/>
      <c r="G2714" s="17"/>
      <c r="I2714" s="6"/>
      <c r="J2714" s="6"/>
    </row>
    <row r="2715">
      <c r="A2715" s="16"/>
      <c r="B2715" s="16"/>
      <c r="C2715" s="16"/>
      <c r="D2715" s="16"/>
      <c r="E2715" s="16"/>
      <c r="F2715" s="17"/>
      <c r="G2715" s="17"/>
      <c r="I2715" s="6"/>
      <c r="J2715" s="6"/>
    </row>
    <row r="2716">
      <c r="A2716" s="16"/>
      <c r="B2716" s="16"/>
      <c r="C2716" s="16"/>
      <c r="D2716" s="16"/>
      <c r="E2716" s="16"/>
      <c r="F2716" s="17"/>
      <c r="G2716" s="17"/>
      <c r="I2716" s="6"/>
      <c r="J2716" s="6"/>
    </row>
    <row r="2717">
      <c r="A2717" s="16"/>
      <c r="B2717" s="16"/>
      <c r="C2717" s="16"/>
      <c r="D2717" s="16"/>
      <c r="E2717" s="16"/>
      <c r="F2717" s="17"/>
      <c r="G2717" s="17"/>
      <c r="I2717" s="6"/>
      <c r="J2717" s="6"/>
    </row>
    <row r="2718">
      <c r="A2718" s="16"/>
      <c r="B2718" s="16"/>
      <c r="C2718" s="16"/>
      <c r="D2718" s="16"/>
      <c r="E2718" s="16"/>
      <c r="F2718" s="17"/>
      <c r="G2718" s="17"/>
      <c r="I2718" s="6"/>
      <c r="J2718" s="6"/>
    </row>
    <row r="2719">
      <c r="A2719" s="16"/>
      <c r="B2719" s="16"/>
      <c r="C2719" s="16"/>
      <c r="D2719" s="16"/>
      <c r="E2719" s="16"/>
      <c r="F2719" s="17"/>
      <c r="G2719" s="17"/>
      <c r="I2719" s="6"/>
      <c r="J2719" s="6"/>
    </row>
    <row r="2720">
      <c r="A2720" s="16"/>
      <c r="B2720" s="16"/>
      <c r="C2720" s="16"/>
      <c r="D2720" s="16"/>
      <c r="E2720" s="16"/>
      <c r="F2720" s="17"/>
      <c r="G2720" s="17"/>
      <c r="I2720" s="6"/>
      <c r="J2720" s="6"/>
    </row>
    <row r="2721">
      <c r="A2721" s="16"/>
      <c r="B2721" s="16"/>
      <c r="C2721" s="16"/>
      <c r="D2721" s="16"/>
      <c r="E2721" s="16"/>
      <c r="F2721" s="17"/>
      <c r="G2721" s="17"/>
      <c r="I2721" s="6"/>
      <c r="J2721" s="6"/>
    </row>
    <row r="2722">
      <c r="A2722" s="16"/>
      <c r="B2722" s="16"/>
      <c r="C2722" s="16"/>
      <c r="D2722" s="16"/>
      <c r="E2722" s="16"/>
      <c r="F2722" s="17"/>
      <c r="G2722" s="17"/>
      <c r="I2722" s="6"/>
      <c r="J2722" s="6"/>
    </row>
    <row r="2723">
      <c r="A2723" s="16"/>
      <c r="B2723" s="16"/>
      <c r="C2723" s="16"/>
      <c r="D2723" s="16"/>
      <c r="E2723" s="16"/>
      <c r="F2723" s="17"/>
      <c r="G2723" s="17"/>
      <c r="I2723" s="6"/>
      <c r="J2723" s="6"/>
    </row>
    <row r="2724">
      <c r="A2724" s="16"/>
      <c r="B2724" s="16"/>
      <c r="C2724" s="16"/>
      <c r="D2724" s="16"/>
      <c r="E2724" s="16"/>
      <c r="F2724" s="17"/>
      <c r="G2724" s="17"/>
      <c r="I2724" s="6"/>
      <c r="J2724" s="6"/>
    </row>
    <row r="2725">
      <c r="A2725" s="16"/>
      <c r="B2725" s="16"/>
      <c r="C2725" s="16"/>
      <c r="D2725" s="16"/>
      <c r="E2725" s="16"/>
      <c r="F2725" s="17"/>
      <c r="G2725" s="17"/>
      <c r="I2725" s="6"/>
      <c r="J2725" s="6"/>
    </row>
    <row r="2726">
      <c r="A2726" s="16"/>
      <c r="B2726" s="16"/>
      <c r="C2726" s="16"/>
      <c r="D2726" s="16"/>
      <c r="E2726" s="16"/>
      <c r="F2726" s="17"/>
      <c r="G2726" s="17"/>
      <c r="I2726" s="6"/>
      <c r="J2726" s="6"/>
    </row>
    <row r="2727">
      <c r="A2727" s="16"/>
      <c r="B2727" s="16"/>
      <c r="C2727" s="16"/>
      <c r="D2727" s="16"/>
      <c r="E2727" s="16"/>
      <c r="F2727" s="17"/>
      <c r="G2727" s="17"/>
      <c r="I2727" s="6"/>
      <c r="J2727" s="6"/>
    </row>
    <row r="2728">
      <c r="A2728" s="16"/>
      <c r="B2728" s="16"/>
      <c r="C2728" s="16"/>
      <c r="D2728" s="16"/>
      <c r="E2728" s="16"/>
      <c r="F2728" s="17"/>
      <c r="G2728" s="17"/>
      <c r="I2728" s="6"/>
      <c r="J2728" s="6"/>
    </row>
    <row r="2729">
      <c r="A2729" s="16"/>
      <c r="B2729" s="16"/>
      <c r="C2729" s="16"/>
      <c r="D2729" s="16"/>
      <c r="E2729" s="16"/>
      <c r="F2729" s="17"/>
      <c r="G2729" s="17"/>
      <c r="I2729" s="6"/>
      <c r="J2729" s="6"/>
    </row>
    <row r="2730">
      <c r="A2730" s="16"/>
      <c r="B2730" s="16"/>
      <c r="C2730" s="16"/>
      <c r="D2730" s="16"/>
      <c r="E2730" s="16"/>
      <c r="F2730" s="17"/>
      <c r="G2730" s="17"/>
      <c r="I2730" s="6"/>
      <c r="J2730" s="6"/>
    </row>
    <row r="2731">
      <c r="A2731" s="16"/>
      <c r="B2731" s="16"/>
      <c r="C2731" s="16"/>
      <c r="D2731" s="16"/>
      <c r="E2731" s="16"/>
      <c r="F2731" s="17"/>
      <c r="G2731" s="17"/>
      <c r="I2731" s="6"/>
      <c r="J2731" s="6"/>
    </row>
    <row r="2732">
      <c r="A2732" s="16"/>
      <c r="B2732" s="16"/>
      <c r="C2732" s="16"/>
      <c r="D2732" s="16"/>
      <c r="E2732" s="16"/>
      <c r="F2732" s="17"/>
      <c r="G2732" s="17"/>
      <c r="I2732" s="6"/>
      <c r="J2732" s="6"/>
    </row>
    <row r="2733">
      <c r="A2733" s="16"/>
      <c r="B2733" s="16"/>
      <c r="C2733" s="16"/>
      <c r="D2733" s="16"/>
      <c r="E2733" s="16"/>
      <c r="F2733" s="17"/>
      <c r="G2733" s="17"/>
      <c r="I2733" s="6"/>
      <c r="J2733" s="6"/>
    </row>
    <row r="2734">
      <c r="A2734" s="16"/>
      <c r="B2734" s="16"/>
      <c r="C2734" s="16"/>
      <c r="D2734" s="16"/>
      <c r="E2734" s="16"/>
      <c r="F2734" s="17"/>
      <c r="G2734" s="17"/>
      <c r="I2734" s="6"/>
      <c r="J2734" s="6"/>
    </row>
    <row r="2735">
      <c r="A2735" s="16"/>
      <c r="B2735" s="16"/>
      <c r="C2735" s="16"/>
      <c r="D2735" s="16"/>
      <c r="E2735" s="16"/>
      <c r="F2735" s="17"/>
      <c r="G2735" s="17"/>
      <c r="I2735" s="6"/>
      <c r="J2735" s="6"/>
    </row>
    <row r="2736">
      <c r="A2736" s="16"/>
      <c r="B2736" s="16"/>
      <c r="C2736" s="16"/>
      <c r="D2736" s="16"/>
      <c r="E2736" s="16"/>
      <c r="F2736" s="17"/>
      <c r="G2736" s="17"/>
      <c r="I2736" s="6"/>
      <c r="J2736" s="6"/>
    </row>
    <row r="2737">
      <c r="A2737" s="16"/>
      <c r="B2737" s="16"/>
      <c r="C2737" s="16"/>
      <c r="D2737" s="16"/>
      <c r="E2737" s="16"/>
      <c r="F2737" s="17"/>
      <c r="G2737" s="17"/>
      <c r="I2737" s="6"/>
      <c r="J2737" s="6"/>
    </row>
    <row r="2738">
      <c r="A2738" s="16"/>
      <c r="B2738" s="16"/>
      <c r="C2738" s="16"/>
      <c r="D2738" s="16"/>
      <c r="E2738" s="16"/>
      <c r="F2738" s="17"/>
      <c r="G2738" s="17"/>
      <c r="I2738" s="6"/>
      <c r="J2738" s="6"/>
    </row>
    <row r="2739">
      <c r="A2739" s="16"/>
      <c r="B2739" s="16"/>
      <c r="C2739" s="16"/>
      <c r="D2739" s="16"/>
      <c r="E2739" s="16"/>
      <c r="F2739" s="17"/>
      <c r="G2739" s="17"/>
      <c r="I2739" s="6"/>
      <c r="J2739" s="6"/>
    </row>
    <row r="2740">
      <c r="A2740" s="16"/>
      <c r="B2740" s="16"/>
      <c r="C2740" s="16"/>
      <c r="D2740" s="16"/>
      <c r="E2740" s="16"/>
      <c r="F2740" s="17"/>
      <c r="G2740" s="17"/>
      <c r="I2740" s="6"/>
      <c r="J2740" s="6"/>
    </row>
    <row r="2741">
      <c r="A2741" s="16"/>
      <c r="B2741" s="16"/>
      <c r="C2741" s="16"/>
      <c r="D2741" s="16"/>
      <c r="E2741" s="16"/>
      <c r="F2741" s="17"/>
      <c r="G2741" s="17"/>
      <c r="I2741" s="6"/>
      <c r="J2741" s="6"/>
    </row>
    <row r="2742">
      <c r="A2742" s="16"/>
      <c r="B2742" s="16"/>
      <c r="C2742" s="16"/>
      <c r="D2742" s="16"/>
      <c r="E2742" s="16"/>
      <c r="F2742" s="17"/>
      <c r="G2742" s="17"/>
      <c r="I2742" s="6"/>
      <c r="J2742" s="6"/>
    </row>
    <row r="2743">
      <c r="A2743" s="16"/>
      <c r="B2743" s="16"/>
      <c r="C2743" s="16"/>
      <c r="D2743" s="16"/>
      <c r="E2743" s="16"/>
      <c r="F2743" s="17"/>
      <c r="G2743" s="17"/>
      <c r="I2743" s="6"/>
      <c r="J2743" s="6"/>
    </row>
    <row r="2744">
      <c r="A2744" s="16"/>
      <c r="B2744" s="16"/>
      <c r="C2744" s="16"/>
      <c r="D2744" s="16"/>
      <c r="E2744" s="16"/>
      <c r="F2744" s="17"/>
      <c r="G2744" s="17"/>
      <c r="I2744" s="6"/>
      <c r="J2744" s="6"/>
    </row>
    <row r="2745">
      <c r="A2745" s="16"/>
      <c r="B2745" s="16"/>
      <c r="C2745" s="16"/>
      <c r="D2745" s="16"/>
      <c r="E2745" s="16"/>
      <c r="F2745" s="17"/>
      <c r="G2745" s="17"/>
      <c r="I2745" s="6"/>
      <c r="J2745" s="6"/>
    </row>
    <row r="2746">
      <c r="A2746" s="16"/>
      <c r="B2746" s="16"/>
      <c r="C2746" s="16"/>
      <c r="D2746" s="16"/>
      <c r="E2746" s="16"/>
      <c r="F2746" s="17"/>
      <c r="G2746" s="17"/>
      <c r="I2746" s="6"/>
      <c r="J2746" s="6"/>
    </row>
    <row r="2747">
      <c r="A2747" s="16"/>
      <c r="B2747" s="16"/>
      <c r="C2747" s="16"/>
      <c r="D2747" s="16"/>
      <c r="E2747" s="16"/>
      <c r="F2747" s="17"/>
      <c r="G2747" s="17"/>
      <c r="I2747" s="6"/>
      <c r="J2747" s="6"/>
    </row>
    <row r="2748">
      <c r="A2748" s="16"/>
      <c r="B2748" s="16"/>
      <c r="C2748" s="16"/>
      <c r="D2748" s="16"/>
      <c r="E2748" s="16"/>
      <c r="F2748" s="17"/>
      <c r="G2748" s="17"/>
      <c r="I2748" s="6"/>
      <c r="J2748" s="6"/>
    </row>
    <row r="2749">
      <c r="A2749" s="16"/>
      <c r="B2749" s="16"/>
      <c r="C2749" s="16"/>
      <c r="D2749" s="16"/>
      <c r="E2749" s="16"/>
      <c r="F2749" s="17"/>
      <c r="G2749" s="17"/>
      <c r="I2749" s="6"/>
      <c r="J2749" s="6"/>
    </row>
    <row r="2750">
      <c r="A2750" s="16"/>
      <c r="B2750" s="16"/>
      <c r="C2750" s="16"/>
      <c r="D2750" s="16"/>
      <c r="E2750" s="16"/>
      <c r="F2750" s="17"/>
      <c r="G2750" s="17"/>
      <c r="I2750" s="6"/>
      <c r="J2750" s="6"/>
    </row>
    <row r="2751">
      <c r="A2751" s="16"/>
      <c r="B2751" s="16"/>
      <c r="C2751" s="16"/>
      <c r="D2751" s="16"/>
      <c r="E2751" s="16"/>
      <c r="F2751" s="17"/>
      <c r="G2751" s="17"/>
      <c r="I2751" s="6"/>
      <c r="J2751" s="6"/>
    </row>
    <row r="2752">
      <c r="A2752" s="16"/>
      <c r="B2752" s="16"/>
      <c r="C2752" s="16"/>
      <c r="D2752" s="16"/>
      <c r="E2752" s="16"/>
      <c r="F2752" s="17"/>
      <c r="G2752" s="17"/>
      <c r="I2752" s="6"/>
      <c r="J2752" s="6"/>
    </row>
    <row r="2753">
      <c r="A2753" s="16"/>
      <c r="B2753" s="16"/>
      <c r="C2753" s="16"/>
      <c r="D2753" s="16"/>
      <c r="E2753" s="16"/>
      <c r="F2753" s="17"/>
      <c r="G2753" s="17"/>
      <c r="I2753" s="6"/>
      <c r="J2753" s="6"/>
    </row>
    <row r="2754">
      <c r="A2754" s="16"/>
      <c r="B2754" s="16"/>
      <c r="C2754" s="16"/>
      <c r="D2754" s="16"/>
      <c r="E2754" s="16"/>
      <c r="F2754" s="17"/>
      <c r="G2754" s="17"/>
      <c r="I2754" s="6"/>
      <c r="J2754" s="6"/>
    </row>
    <row r="2755">
      <c r="A2755" s="16"/>
      <c r="B2755" s="16"/>
      <c r="C2755" s="16"/>
      <c r="D2755" s="16"/>
      <c r="E2755" s="16"/>
      <c r="F2755" s="17"/>
      <c r="G2755" s="17"/>
      <c r="I2755" s="6"/>
      <c r="J2755" s="6"/>
    </row>
    <row r="2756">
      <c r="A2756" s="16"/>
      <c r="B2756" s="16"/>
      <c r="C2756" s="16"/>
      <c r="D2756" s="16"/>
      <c r="E2756" s="16"/>
      <c r="F2756" s="17"/>
      <c r="G2756" s="17"/>
      <c r="I2756" s="6"/>
      <c r="J2756" s="6"/>
    </row>
    <row r="2757">
      <c r="A2757" s="16"/>
      <c r="B2757" s="16"/>
      <c r="C2757" s="16"/>
      <c r="D2757" s="16"/>
      <c r="E2757" s="16"/>
      <c r="F2757" s="17"/>
      <c r="G2757" s="17"/>
      <c r="I2757" s="6"/>
      <c r="J2757" s="6"/>
    </row>
    <row r="2758">
      <c r="A2758" s="16"/>
      <c r="B2758" s="16"/>
      <c r="C2758" s="16"/>
      <c r="D2758" s="16"/>
      <c r="E2758" s="16"/>
      <c r="F2758" s="17"/>
      <c r="G2758" s="17"/>
      <c r="I2758" s="6"/>
      <c r="J2758" s="6"/>
    </row>
    <row r="2759">
      <c r="A2759" s="16"/>
      <c r="B2759" s="16"/>
      <c r="C2759" s="16"/>
      <c r="D2759" s="16"/>
      <c r="E2759" s="16"/>
      <c r="F2759" s="17"/>
      <c r="G2759" s="17"/>
      <c r="I2759" s="6"/>
      <c r="J2759" s="6"/>
    </row>
    <row r="2760">
      <c r="A2760" s="16"/>
      <c r="B2760" s="16"/>
      <c r="C2760" s="16"/>
      <c r="D2760" s="16"/>
      <c r="E2760" s="16"/>
      <c r="F2760" s="17"/>
      <c r="G2760" s="17"/>
      <c r="I2760" s="6"/>
      <c r="J2760" s="6"/>
    </row>
    <row r="2761">
      <c r="A2761" s="16"/>
      <c r="B2761" s="16"/>
      <c r="C2761" s="16"/>
      <c r="D2761" s="16"/>
      <c r="E2761" s="16"/>
      <c r="F2761" s="17"/>
      <c r="G2761" s="17"/>
      <c r="I2761" s="6"/>
      <c r="J2761" s="6"/>
    </row>
    <row r="2762">
      <c r="A2762" s="16"/>
      <c r="B2762" s="16"/>
      <c r="C2762" s="16"/>
      <c r="D2762" s="16"/>
      <c r="E2762" s="16"/>
      <c r="F2762" s="17"/>
      <c r="G2762" s="17"/>
      <c r="I2762" s="6"/>
      <c r="J2762" s="6"/>
    </row>
    <row r="2763">
      <c r="A2763" s="16"/>
      <c r="B2763" s="16"/>
      <c r="C2763" s="16"/>
      <c r="D2763" s="16"/>
      <c r="E2763" s="16"/>
      <c r="F2763" s="17"/>
      <c r="G2763" s="17"/>
      <c r="I2763" s="6"/>
      <c r="J2763" s="6"/>
    </row>
    <row r="2764">
      <c r="A2764" s="16"/>
      <c r="B2764" s="16"/>
      <c r="C2764" s="16"/>
      <c r="D2764" s="16"/>
      <c r="E2764" s="16"/>
      <c r="F2764" s="17"/>
      <c r="G2764" s="17"/>
      <c r="I2764" s="6"/>
      <c r="J2764" s="6"/>
    </row>
    <row r="2765">
      <c r="A2765" s="16"/>
      <c r="B2765" s="16"/>
      <c r="C2765" s="16"/>
      <c r="D2765" s="16"/>
      <c r="E2765" s="16"/>
      <c r="F2765" s="17"/>
      <c r="G2765" s="17"/>
      <c r="I2765" s="6"/>
      <c r="J2765" s="6"/>
    </row>
    <row r="2766">
      <c r="A2766" s="16"/>
      <c r="B2766" s="16"/>
      <c r="C2766" s="16"/>
      <c r="D2766" s="16"/>
      <c r="E2766" s="16"/>
      <c r="F2766" s="17"/>
      <c r="G2766" s="17"/>
      <c r="I2766" s="6"/>
      <c r="J2766" s="6"/>
    </row>
    <row r="2767">
      <c r="A2767" s="16"/>
      <c r="B2767" s="16"/>
      <c r="C2767" s="16"/>
      <c r="D2767" s="16"/>
      <c r="E2767" s="16"/>
      <c r="F2767" s="17"/>
      <c r="G2767" s="17"/>
      <c r="I2767" s="6"/>
      <c r="J2767" s="6"/>
    </row>
    <row r="2768">
      <c r="A2768" s="16"/>
      <c r="B2768" s="16"/>
      <c r="C2768" s="16"/>
      <c r="D2768" s="16"/>
      <c r="E2768" s="16"/>
      <c r="F2768" s="17"/>
      <c r="G2768" s="17"/>
      <c r="I2768" s="6"/>
      <c r="J2768" s="6"/>
    </row>
    <row r="2769">
      <c r="A2769" s="16"/>
      <c r="B2769" s="16"/>
      <c r="C2769" s="16"/>
      <c r="D2769" s="16"/>
      <c r="E2769" s="16"/>
      <c r="F2769" s="17"/>
      <c r="G2769" s="17"/>
      <c r="I2769" s="6"/>
      <c r="J2769" s="6"/>
    </row>
    <row r="2770">
      <c r="A2770" s="16"/>
      <c r="B2770" s="16"/>
      <c r="C2770" s="16"/>
      <c r="D2770" s="16"/>
      <c r="E2770" s="16"/>
      <c r="F2770" s="17"/>
      <c r="G2770" s="17"/>
      <c r="I2770" s="6"/>
      <c r="J2770" s="6"/>
    </row>
    <row r="2771">
      <c r="A2771" s="16"/>
      <c r="B2771" s="16"/>
      <c r="C2771" s="16"/>
      <c r="D2771" s="16"/>
      <c r="E2771" s="16"/>
      <c r="F2771" s="17"/>
      <c r="G2771" s="17"/>
      <c r="I2771" s="6"/>
      <c r="J2771" s="6"/>
    </row>
    <row r="2772">
      <c r="A2772" s="16"/>
      <c r="B2772" s="16"/>
      <c r="C2772" s="16"/>
      <c r="D2772" s="16"/>
      <c r="E2772" s="16"/>
      <c r="F2772" s="17"/>
      <c r="G2772" s="17"/>
      <c r="I2772" s="6"/>
      <c r="J2772" s="6"/>
    </row>
    <row r="2773">
      <c r="A2773" s="16"/>
      <c r="B2773" s="16"/>
      <c r="C2773" s="16"/>
      <c r="D2773" s="16"/>
      <c r="E2773" s="16"/>
      <c r="F2773" s="17"/>
      <c r="G2773" s="17"/>
      <c r="I2773" s="6"/>
      <c r="J2773" s="6"/>
    </row>
    <row r="2774">
      <c r="A2774" s="16"/>
      <c r="B2774" s="16"/>
      <c r="C2774" s="16"/>
      <c r="D2774" s="16"/>
      <c r="E2774" s="16"/>
      <c r="F2774" s="17"/>
      <c r="G2774" s="17"/>
      <c r="I2774" s="6"/>
      <c r="J2774" s="6"/>
    </row>
    <row r="2775">
      <c r="A2775" s="16"/>
      <c r="B2775" s="16"/>
      <c r="C2775" s="16"/>
      <c r="D2775" s="16"/>
      <c r="E2775" s="16"/>
      <c r="F2775" s="17"/>
      <c r="G2775" s="17"/>
      <c r="I2775" s="6"/>
      <c r="J2775" s="6"/>
    </row>
    <row r="2776">
      <c r="A2776" s="16"/>
      <c r="B2776" s="16"/>
      <c r="C2776" s="16"/>
      <c r="D2776" s="16"/>
      <c r="E2776" s="16"/>
      <c r="F2776" s="17"/>
      <c r="G2776" s="17"/>
      <c r="I2776" s="6"/>
      <c r="J2776" s="6"/>
    </row>
    <row r="2777">
      <c r="A2777" s="16"/>
      <c r="B2777" s="16"/>
      <c r="C2777" s="16"/>
      <c r="D2777" s="16"/>
      <c r="E2777" s="16"/>
      <c r="F2777" s="17"/>
      <c r="G2777" s="17"/>
      <c r="I2777" s="6"/>
      <c r="J2777" s="6"/>
    </row>
    <row r="2778">
      <c r="A2778" s="16"/>
      <c r="B2778" s="16"/>
      <c r="C2778" s="16"/>
      <c r="D2778" s="16"/>
      <c r="E2778" s="16"/>
      <c r="F2778" s="17"/>
      <c r="G2778" s="17"/>
      <c r="I2778" s="6"/>
      <c r="J2778" s="6"/>
    </row>
    <row r="2779">
      <c r="A2779" s="16"/>
      <c r="B2779" s="16"/>
      <c r="C2779" s="16"/>
      <c r="D2779" s="16"/>
      <c r="E2779" s="16"/>
      <c r="F2779" s="17"/>
      <c r="G2779" s="17"/>
      <c r="I2779" s="6"/>
      <c r="J2779" s="6"/>
    </row>
    <row r="2780">
      <c r="A2780" s="16"/>
      <c r="B2780" s="16"/>
      <c r="C2780" s="16"/>
      <c r="D2780" s="16"/>
      <c r="E2780" s="16"/>
      <c r="F2780" s="17"/>
      <c r="G2780" s="17"/>
      <c r="I2780" s="6"/>
      <c r="J2780" s="6"/>
    </row>
    <row r="2781">
      <c r="A2781" s="16"/>
      <c r="B2781" s="16"/>
      <c r="C2781" s="16"/>
      <c r="D2781" s="16"/>
      <c r="E2781" s="16"/>
      <c r="F2781" s="17"/>
      <c r="G2781" s="17"/>
      <c r="I2781" s="6"/>
      <c r="J2781" s="6"/>
    </row>
    <row r="2782">
      <c r="A2782" s="16"/>
      <c r="B2782" s="16"/>
      <c r="C2782" s="16"/>
      <c r="D2782" s="16"/>
      <c r="E2782" s="16"/>
      <c r="F2782" s="17"/>
      <c r="G2782" s="17"/>
      <c r="I2782" s="6"/>
      <c r="J2782" s="6"/>
    </row>
    <row r="2783">
      <c r="A2783" s="16"/>
      <c r="B2783" s="16"/>
      <c r="C2783" s="16"/>
      <c r="D2783" s="16"/>
      <c r="E2783" s="16"/>
      <c r="F2783" s="17"/>
      <c r="G2783" s="17"/>
      <c r="I2783" s="6"/>
      <c r="J2783" s="6"/>
    </row>
    <row r="2784">
      <c r="A2784" s="16"/>
      <c r="B2784" s="16"/>
      <c r="C2784" s="16"/>
      <c r="D2784" s="16"/>
      <c r="E2784" s="16"/>
      <c r="F2784" s="17"/>
      <c r="G2784" s="17"/>
      <c r="I2784" s="6"/>
      <c r="J2784" s="6"/>
    </row>
    <row r="2785">
      <c r="A2785" s="16"/>
      <c r="B2785" s="16"/>
      <c r="C2785" s="16"/>
      <c r="D2785" s="16"/>
      <c r="E2785" s="16"/>
      <c r="F2785" s="17"/>
      <c r="G2785" s="17"/>
      <c r="I2785" s="6"/>
      <c r="J2785" s="6"/>
    </row>
    <row r="2786">
      <c r="A2786" s="16"/>
      <c r="B2786" s="16"/>
      <c r="C2786" s="16"/>
      <c r="D2786" s="16"/>
      <c r="E2786" s="16"/>
      <c r="F2786" s="17"/>
      <c r="G2786" s="17"/>
      <c r="I2786" s="6"/>
      <c r="J2786" s="6"/>
    </row>
    <row r="2787">
      <c r="A2787" s="16"/>
      <c r="B2787" s="16"/>
      <c r="C2787" s="16"/>
      <c r="D2787" s="16"/>
      <c r="E2787" s="16"/>
      <c r="F2787" s="17"/>
      <c r="G2787" s="17"/>
      <c r="I2787" s="6"/>
      <c r="J2787" s="6"/>
    </row>
    <row r="2788">
      <c r="A2788" s="16"/>
      <c r="B2788" s="16"/>
      <c r="C2788" s="16"/>
      <c r="D2788" s="16"/>
      <c r="E2788" s="16"/>
      <c r="F2788" s="17"/>
      <c r="G2788" s="17"/>
      <c r="I2788" s="6"/>
      <c r="J2788" s="6"/>
    </row>
    <row r="2789">
      <c r="A2789" s="16"/>
      <c r="B2789" s="16"/>
      <c r="C2789" s="16"/>
      <c r="D2789" s="16"/>
      <c r="E2789" s="16"/>
      <c r="F2789" s="17"/>
      <c r="G2789" s="17"/>
      <c r="I2789" s="6"/>
      <c r="J2789" s="6"/>
    </row>
    <row r="2790">
      <c r="A2790" s="16"/>
      <c r="B2790" s="16"/>
      <c r="C2790" s="16"/>
      <c r="D2790" s="16"/>
      <c r="E2790" s="16"/>
      <c r="F2790" s="17"/>
      <c r="G2790" s="17"/>
      <c r="I2790" s="6"/>
      <c r="J2790" s="6"/>
    </row>
    <row r="2791">
      <c r="A2791" s="16"/>
      <c r="B2791" s="16"/>
      <c r="C2791" s="16"/>
      <c r="D2791" s="16"/>
      <c r="E2791" s="16"/>
      <c r="F2791" s="17"/>
      <c r="G2791" s="17"/>
      <c r="I2791" s="6"/>
      <c r="J2791" s="6"/>
    </row>
    <row r="2792">
      <c r="A2792" s="16"/>
      <c r="B2792" s="16"/>
      <c r="C2792" s="16"/>
      <c r="D2792" s="16"/>
      <c r="E2792" s="16"/>
      <c r="F2792" s="17"/>
      <c r="G2792" s="17"/>
      <c r="I2792" s="6"/>
      <c r="J2792" s="6"/>
    </row>
    <row r="2793">
      <c r="A2793" s="16"/>
      <c r="B2793" s="16"/>
      <c r="C2793" s="16"/>
      <c r="D2793" s="16"/>
      <c r="E2793" s="16"/>
      <c r="F2793" s="17"/>
      <c r="G2793" s="17"/>
      <c r="I2793" s="6"/>
      <c r="J2793" s="6"/>
    </row>
    <row r="2794">
      <c r="A2794" s="16"/>
      <c r="B2794" s="16"/>
      <c r="C2794" s="16"/>
      <c r="D2794" s="16"/>
      <c r="E2794" s="16"/>
      <c r="F2794" s="17"/>
      <c r="G2794" s="17"/>
      <c r="I2794" s="6"/>
      <c r="J2794" s="6"/>
    </row>
    <row r="2795">
      <c r="A2795" s="16"/>
      <c r="B2795" s="16"/>
      <c r="C2795" s="16"/>
      <c r="D2795" s="16"/>
      <c r="E2795" s="16"/>
      <c r="F2795" s="17"/>
      <c r="G2795" s="17"/>
      <c r="I2795" s="6"/>
      <c r="J2795" s="6"/>
    </row>
    <row r="2796">
      <c r="A2796" s="16"/>
      <c r="B2796" s="16"/>
      <c r="C2796" s="16"/>
      <c r="D2796" s="16"/>
      <c r="E2796" s="16"/>
      <c r="F2796" s="17"/>
      <c r="G2796" s="17"/>
      <c r="I2796" s="6"/>
      <c r="J2796" s="6"/>
    </row>
    <row r="2797">
      <c r="A2797" s="16"/>
      <c r="B2797" s="16"/>
      <c r="C2797" s="16"/>
      <c r="D2797" s="16"/>
      <c r="E2797" s="16"/>
      <c r="F2797" s="17"/>
      <c r="G2797" s="17"/>
      <c r="I2797" s="6"/>
      <c r="J2797" s="6"/>
    </row>
    <row r="2798">
      <c r="A2798" s="16"/>
      <c r="B2798" s="16"/>
      <c r="C2798" s="16"/>
      <c r="D2798" s="16"/>
      <c r="E2798" s="16"/>
      <c r="F2798" s="17"/>
      <c r="G2798" s="17"/>
      <c r="I2798" s="6"/>
      <c r="J2798" s="6"/>
    </row>
    <row r="2799">
      <c r="A2799" s="16"/>
      <c r="B2799" s="16"/>
      <c r="C2799" s="16"/>
      <c r="D2799" s="16"/>
      <c r="E2799" s="16"/>
      <c r="F2799" s="17"/>
      <c r="G2799" s="17"/>
      <c r="I2799" s="6"/>
      <c r="J2799" s="6"/>
    </row>
    <row r="2800">
      <c r="A2800" s="16"/>
      <c r="B2800" s="16"/>
      <c r="C2800" s="16"/>
      <c r="D2800" s="16"/>
      <c r="E2800" s="16"/>
      <c r="F2800" s="17"/>
      <c r="G2800" s="17"/>
      <c r="I2800" s="6"/>
      <c r="J2800" s="6"/>
    </row>
    <row r="2801">
      <c r="A2801" s="16"/>
      <c r="B2801" s="16"/>
      <c r="C2801" s="16"/>
      <c r="D2801" s="16"/>
      <c r="E2801" s="16"/>
      <c r="F2801" s="17"/>
      <c r="G2801" s="17"/>
      <c r="I2801" s="6"/>
      <c r="J2801" s="6"/>
    </row>
    <row r="2802">
      <c r="A2802" s="16"/>
      <c r="B2802" s="16"/>
      <c r="C2802" s="16"/>
      <c r="D2802" s="16"/>
      <c r="E2802" s="16"/>
      <c r="F2802" s="17"/>
      <c r="G2802" s="17"/>
      <c r="I2802" s="6"/>
      <c r="J2802" s="6"/>
    </row>
    <row r="2803">
      <c r="A2803" s="16"/>
      <c r="B2803" s="16"/>
      <c r="C2803" s="16"/>
      <c r="D2803" s="16"/>
      <c r="E2803" s="16"/>
      <c r="F2803" s="17"/>
      <c r="G2803" s="17"/>
      <c r="I2803" s="6"/>
      <c r="J2803" s="6"/>
    </row>
    <row r="2804">
      <c r="A2804" s="16"/>
      <c r="B2804" s="16"/>
      <c r="C2804" s="16"/>
      <c r="D2804" s="16"/>
      <c r="E2804" s="16"/>
      <c r="F2804" s="17"/>
      <c r="G2804" s="17"/>
      <c r="I2804" s="6"/>
      <c r="J2804" s="6"/>
    </row>
    <row r="2805">
      <c r="A2805" s="16"/>
      <c r="B2805" s="16"/>
      <c r="C2805" s="16"/>
      <c r="D2805" s="16"/>
      <c r="E2805" s="16"/>
      <c r="F2805" s="17"/>
      <c r="G2805" s="17"/>
      <c r="I2805" s="6"/>
      <c r="J2805" s="6"/>
    </row>
    <row r="2806">
      <c r="A2806" s="16"/>
      <c r="B2806" s="16"/>
      <c r="C2806" s="16"/>
      <c r="D2806" s="16"/>
      <c r="E2806" s="16"/>
      <c r="F2806" s="17"/>
      <c r="G2806" s="17"/>
      <c r="I2806" s="6"/>
      <c r="J2806" s="6"/>
    </row>
    <row r="2807">
      <c r="A2807" s="16"/>
      <c r="B2807" s="16"/>
      <c r="C2807" s="16"/>
      <c r="D2807" s="16"/>
      <c r="E2807" s="16"/>
      <c r="F2807" s="17"/>
      <c r="G2807" s="17"/>
      <c r="I2807" s="6"/>
      <c r="J2807" s="6"/>
    </row>
    <row r="2808">
      <c r="A2808" s="16"/>
      <c r="B2808" s="16"/>
      <c r="C2808" s="16"/>
      <c r="D2808" s="16"/>
      <c r="E2808" s="16"/>
      <c r="F2808" s="17"/>
      <c r="G2808" s="17"/>
      <c r="I2808" s="6"/>
      <c r="J2808" s="6"/>
    </row>
    <row r="2809">
      <c r="A2809" s="16"/>
      <c r="B2809" s="16"/>
      <c r="C2809" s="16"/>
      <c r="D2809" s="16"/>
      <c r="E2809" s="16"/>
      <c r="F2809" s="17"/>
      <c r="G2809" s="17"/>
      <c r="I2809" s="6"/>
      <c r="J2809" s="6"/>
    </row>
    <row r="2810">
      <c r="A2810" s="16"/>
      <c r="B2810" s="16"/>
      <c r="C2810" s="16"/>
      <c r="D2810" s="16"/>
      <c r="E2810" s="16"/>
      <c r="F2810" s="17"/>
      <c r="G2810" s="17"/>
      <c r="I2810" s="6"/>
      <c r="J2810" s="6"/>
    </row>
    <row r="2811">
      <c r="A2811" s="16"/>
      <c r="B2811" s="16"/>
      <c r="C2811" s="16"/>
      <c r="D2811" s="16"/>
      <c r="E2811" s="16"/>
      <c r="F2811" s="17"/>
      <c r="G2811" s="17"/>
      <c r="I2811" s="6"/>
      <c r="J2811" s="6"/>
    </row>
    <row r="2812">
      <c r="A2812" s="16"/>
      <c r="B2812" s="16"/>
      <c r="C2812" s="16"/>
      <c r="D2812" s="16"/>
      <c r="E2812" s="16"/>
      <c r="F2812" s="17"/>
      <c r="G2812" s="17"/>
      <c r="I2812" s="6"/>
      <c r="J2812" s="6"/>
    </row>
    <row r="2813">
      <c r="A2813" s="16"/>
      <c r="B2813" s="16"/>
      <c r="C2813" s="16"/>
      <c r="D2813" s="16"/>
      <c r="E2813" s="16"/>
      <c r="F2813" s="17"/>
      <c r="G2813" s="17"/>
      <c r="I2813" s="6"/>
      <c r="J2813" s="6"/>
    </row>
    <row r="2814">
      <c r="A2814" s="16"/>
      <c r="B2814" s="16"/>
      <c r="C2814" s="16"/>
      <c r="D2814" s="16"/>
      <c r="E2814" s="16"/>
      <c r="F2814" s="17"/>
      <c r="G2814" s="17"/>
      <c r="I2814" s="6"/>
      <c r="J2814" s="6"/>
    </row>
    <row r="2815">
      <c r="A2815" s="16"/>
      <c r="B2815" s="16"/>
      <c r="C2815" s="16"/>
      <c r="D2815" s="16"/>
      <c r="E2815" s="16"/>
      <c r="F2815" s="17"/>
      <c r="G2815" s="17"/>
      <c r="I2815" s="6"/>
      <c r="J2815" s="6"/>
    </row>
    <row r="2816">
      <c r="A2816" s="16"/>
      <c r="B2816" s="16"/>
      <c r="C2816" s="16"/>
      <c r="D2816" s="16"/>
      <c r="E2816" s="16"/>
      <c r="F2816" s="17"/>
      <c r="G2816" s="17"/>
      <c r="I2816" s="6"/>
      <c r="J2816" s="6"/>
    </row>
    <row r="2817">
      <c r="A2817" s="16"/>
      <c r="B2817" s="16"/>
      <c r="C2817" s="16"/>
      <c r="D2817" s="16"/>
      <c r="E2817" s="16"/>
      <c r="F2817" s="17"/>
      <c r="G2817" s="17"/>
      <c r="I2817" s="6"/>
      <c r="J2817" s="6"/>
    </row>
    <row r="2818">
      <c r="A2818" s="16"/>
      <c r="B2818" s="16"/>
      <c r="C2818" s="16"/>
      <c r="D2818" s="16"/>
      <c r="E2818" s="16"/>
      <c r="F2818" s="17"/>
      <c r="G2818" s="17"/>
      <c r="I2818" s="6"/>
      <c r="J2818" s="6"/>
    </row>
    <row r="2819">
      <c r="A2819" s="16"/>
      <c r="B2819" s="16"/>
      <c r="C2819" s="16"/>
      <c r="D2819" s="16"/>
      <c r="E2819" s="16"/>
      <c r="F2819" s="17"/>
      <c r="G2819" s="17"/>
      <c r="I2819" s="6"/>
      <c r="J2819" s="6"/>
    </row>
    <row r="2820">
      <c r="A2820" s="16"/>
      <c r="B2820" s="16"/>
      <c r="C2820" s="16"/>
      <c r="D2820" s="16"/>
      <c r="E2820" s="16"/>
      <c r="F2820" s="17"/>
      <c r="G2820" s="17"/>
      <c r="I2820" s="6"/>
      <c r="J2820" s="6"/>
    </row>
    <row r="2821">
      <c r="A2821" s="16"/>
      <c r="B2821" s="16"/>
      <c r="C2821" s="16"/>
      <c r="D2821" s="16"/>
      <c r="E2821" s="16"/>
      <c r="F2821" s="17"/>
      <c r="G2821" s="17"/>
      <c r="I2821" s="6"/>
      <c r="J2821" s="6"/>
    </row>
    <row r="2822">
      <c r="A2822" s="16"/>
      <c r="B2822" s="16"/>
      <c r="C2822" s="16"/>
      <c r="D2822" s="16"/>
      <c r="E2822" s="16"/>
      <c r="F2822" s="17"/>
      <c r="G2822" s="17"/>
      <c r="I2822" s="6"/>
      <c r="J2822" s="6"/>
    </row>
    <row r="2823">
      <c r="A2823" s="16"/>
      <c r="B2823" s="16"/>
      <c r="C2823" s="16"/>
      <c r="D2823" s="16"/>
      <c r="E2823" s="16"/>
      <c r="F2823" s="17"/>
      <c r="G2823" s="17"/>
      <c r="I2823" s="6"/>
      <c r="J2823" s="6"/>
    </row>
    <row r="2824">
      <c r="A2824" s="16"/>
      <c r="B2824" s="16"/>
      <c r="C2824" s="16"/>
      <c r="D2824" s="16"/>
      <c r="E2824" s="16"/>
      <c r="F2824" s="17"/>
      <c r="G2824" s="17"/>
      <c r="I2824" s="6"/>
      <c r="J2824" s="6"/>
    </row>
    <row r="2825">
      <c r="A2825" s="16"/>
      <c r="B2825" s="16"/>
      <c r="C2825" s="16"/>
      <c r="D2825" s="16"/>
      <c r="E2825" s="16"/>
      <c r="F2825" s="17"/>
      <c r="G2825" s="17"/>
      <c r="I2825" s="6"/>
      <c r="J2825" s="6"/>
    </row>
    <row r="2826">
      <c r="A2826" s="16"/>
      <c r="B2826" s="16"/>
      <c r="C2826" s="16"/>
      <c r="D2826" s="16"/>
      <c r="E2826" s="16"/>
      <c r="F2826" s="17"/>
      <c r="G2826" s="17"/>
      <c r="I2826" s="6"/>
      <c r="J2826" s="6"/>
    </row>
    <row r="2827">
      <c r="A2827" s="16"/>
      <c r="B2827" s="16"/>
      <c r="C2827" s="16"/>
      <c r="D2827" s="16"/>
      <c r="E2827" s="16"/>
      <c r="F2827" s="17"/>
      <c r="G2827" s="17"/>
      <c r="I2827" s="6"/>
      <c r="J2827" s="6"/>
    </row>
    <row r="2828">
      <c r="A2828" s="16"/>
      <c r="B2828" s="16"/>
      <c r="C2828" s="16"/>
      <c r="D2828" s="16"/>
      <c r="E2828" s="16"/>
      <c r="F2828" s="17"/>
      <c r="G2828" s="17"/>
      <c r="I2828" s="6"/>
      <c r="J2828" s="6"/>
    </row>
    <row r="2829">
      <c r="A2829" s="16"/>
      <c r="B2829" s="16"/>
      <c r="C2829" s="16"/>
      <c r="D2829" s="16"/>
      <c r="E2829" s="16"/>
      <c r="F2829" s="17"/>
      <c r="G2829" s="17"/>
      <c r="I2829" s="6"/>
      <c r="J2829" s="6"/>
    </row>
    <row r="2830">
      <c r="A2830" s="16"/>
      <c r="B2830" s="16"/>
      <c r="C2830" s="16"/>
      <c r="D2830" s="16"/>
      <c r="E2830" s="16"/>
      <c r="F2830" s="17"/>
      <c r="G2830" s="17"/>
      <c r="I2830" s="6"/>
      <c r="J2830" s="6"/>
    </row>
    <row r="2831">
      <c r="A2831" s="16"/>
      <c r="B2831" s="16"/>
      <c r="C2831" s="16"/>
      <c r="D2831" s="16"/>
      <c r="E2831" s="16"/>
      <c r="F2831" s="17"/>
      <c r="G2831" s="17"/>
      <c r="I2831" s="6"/>
      <c r="J2831" s="6"/>
    </row>
    <row r="2832">
      <c r="A2832" s="16"/>
      <c r="B2832" s="16"/>
      <c r="C2832" s="16"/>
      <c r="D2832" s="16"/>
      <c r="E2832" s="16"/>
      <c r="F2832" s="17"/>
      <c r="G2832" s="17"/>
      <c r="I2832" s="6"/>
      <c r="J2832" s="6"/>
    </row>
    <row r="2833">
      <c r="A2833" s="16"/>
      <c r="B2833" s="16"/>
      <c r="C2833" s="16"/>
      <c r="D2833" s="16"/>
      <c r="E2833" s="16"/>
      <c r="F2833" s="17"/>
      <c r="G2833" s="17"/>
      <c r="I2833" s="6"/>
      <c r="J2833" s="6"/>
    </row>
    <row r="2834">
      <c r="A2834" s="16"/>
      <c r="B2834" s="16"/>
      <c r="C2834" s="16"/>
      <c r="D2834" s="16"/>
      <c r="E2834" s="16"/>
      <c r="F2834" s="17"/>
      <c r="G2834" s="17"/>
      <c r="I2834" s="6"/>
      <c r="J2834" s="6"/>
    </row>
    <row r="2835">
      <c r="A2835" s="16"/>
      <c r="B2835" s="16"/>
      <c r="C2835" s="16"/>
      <c r="D2835" s="16"/>
      <c r="E2835" s="16"/>
      <c r="F2835" s="17"/>
      <c r="G2835" s="17"/>
      <c r="I2835" s="6"/>
      <c r="J2835" s="6"/>
    </row>
    <row r="2836">
      <c r="A2836" s="16"/>
      <c r="B2836" s="16"/>
      <c r="C2836" s="16"/>
      <c r="D2836" s="16"/>
      <c r="E2836" s="16"/>
      <c r="F2836" s="17"/>
      <c r="G2836" s="17"/>
      <c r="I2836" s="6"/>
      <c r="J2836" s="6"/>
    </row>
    <row r="2837">
      <c r="A2837" s="16"/>
      <c r="B2837" s="16"/>
      <c r="C2837" s="16"/>
      <c r="D2837" s="16"/>
      <c r="E2837" s="16"/>
      <c r="F2837" s="17"/>
      <c r="G2837" s="17"/>
      <c r="I2837" s="6"/>
      <c r="J2837" s="6"/>
    </row>
    <row r="2838">
      <c r="A2838" s="16"/>
      <c r="B2838" s="16"/>
      <c r="C2838" s="16"/>
      <c r="D2838" s="16"/>
      <c r="E2838" s="16"/>
      <c r="F2838" s="17"/>
      <c r="G2838" s="17"/>
      <c r="I2838" s="6"/>
      <c r="J2838" s="6"/>
    </row>
    <row r="2839">
      <c r="A2839" s="16"/>
      <c r="B2839" s="16"/>
      <c r="C2839" s="16"/>
      <c r="D2839" s="16"/>
      <c r="E2839" s="16"/>
      <c r="F2839" s="17"/>
      <c r="G2839" s="17"/>
      <c r="I2839" s="6"/>
      <c r="J2839" s="6"/>
    </row>
    <row r="2840">
      <c r="A2840" s="16"/>
      <c r="B2840" s="16"/>
      <c r="C2840" s="16"/>
      <c r="D2840" s="16"/>
      <c r="E2840" s="16"/>
      <c r="F2840" s="17"/>
      <c r="G2840" s="17"/>
      <c r="I2840" s="6"/>
      <c r="J2840" s="6"/>
    </row>
    <row r="2841">
      <c r="A2841" s="16"/>
      <c r="B2841" s="16"/>
      <c r="C2841" s="16"/>
      <c r="D2841" s="16"/>
      <c r="E2841" s="16"/>
      <c r="F2841" s="17"/>
      <c r="G2841" s="17"/>
      <c r="I2841" s="6"/>
      <c r="J2841" s="6"/>
    </row>
    <row r="2842">
      <c r="A2842" s="16"/>
      <c r="B2842" s="16"/>
      <c r="C2842" s="16"/>
      <c r="D2842" s="16"/>
      <c r="E2842" s="16"/>
      <c r="F2842" s="17"/>
      <c r="G2842" s="17"/>
      <c r="I2842" s="6"/>
      <c r="J2842" s="6"/>
    </row>
    <row r="2843">
      <c r="A2843" s="16"/>
      <c r="B2843" s="16"/>
      <c r="C2843" s="16"/>
      <c r="D2843" s="16"/>
      <c r="E2843" s="16"/>
      <c r="F2843" s="17"/>
      <c r="G2843" s="17"/>
      <c r="I2843" s="6"/>
      <c r="J2843" s="6"/>
    </row>
    <row r="2844">
      <c r="A2844" s="16"/>
      <c r="B2844" s="16"/>
      <c r="C2844" s="16"/>
      <c r="D2844" s="16"/>
      <c r="E2844" s="16"/>
      <c r="F2844" s="17"/>
      <c r="G2844" s="17"/>
      <c r="I2844" s="6"/>
      <c r="J2844" s="6"/>
    </row>
    <row r="2845">
      <c r="A2845" s="16"/>
      <c r="B2845" s="16"/>
      <c r="C2845" s="16"/>
      <c r="D2845" s="16"/>
      <c r="E2845" s="16"/>
      <c r="F2845" s="17"/>
      <c r="G2845" s="17"/>
      <c r="I2845" s="6"/>
      <c r="J2845" s="6"/>
    </row>
    <row r="2846">
      <c r="A2846" s="16"/>
      <c r="B2846" s="16"/>
      <c r="C2846" s="16"/>
      <c r="D2846" s="16"/>
      <c r="E2846" s="16"/>
      <c r="F2846" s="17"/>
      <c r="G2846" s="17"/>
      <c r="I2846" s="6"/>
      <c r="J2846" s="6"/>
    </row>
    <row r="2847">
      <c r="A2847" s="16"/>
      <c r="B2847" s="16"/>
      <c r="C2847" s="16"/>
      <c r="D2847" s="16"/>
      <c r="E2847" s="16"/>
      <c r="F2847" s="17"/>
      <c r="G2847" s="17"/>
      <c r="I2847" s="6"/>
      <c r="J2847" s="6"/>
    </row>
    <row r="2848">
      <c r="A2848" s="16"/>
      <c r="B2848" s="16"/>
      <c r="C2848" s="16"/>
      <c r="D2848" s="16"/>
      <c r="E2848" s="16"/>
      <c r="F2848" s="17"/>
      <c r="G2848" s="17"/>
      <c r="I2848" s="6"/>
      <c r="J2848" s="6"/>
    </row>
    <row r="2849">
      <c r="A2849" s="16"/>
      <c r="B2849" s="16"/>
      <c r="C2849" s="16"/>
      <c r="D2849" s="16"/>
      <c r="E2849" s="16"/>
      <c r="F2849" s="17"/>
      <c r="G2849" s="17"/>
      <c r="I2849" s="6"/>
      <c r="J2849" s="6"/>
    </row>
    <row r="2850">
      <c r="A2850" s="16"/>
      <c r="B2850" s="16"/>
      <c r="C2850" s="16"/>
      <c r="D2850" s="16"/>
      <c r="E2850" s="16"/>
      <c r="F2850" s="17"/>
      <c r="G2850" s="17"/>
      <c r="I2850" s="6"/>
      <c r="J2850" s="6"/>
    </row>
    <row r="2851">
      <c r="A2851" s="16"/>
      <c r="B2851" s="16"/>
      <c r="C2851" s="16"/>
      <c r="D2851" s="16"/>
      <c r="E2851" s="16"/>
      <c r="F2851" s="17"/>
      <c r="G2851" s="17"/>
      <c r="I2851" s="6"/>
      <c r="J2851" s="6"/>
    </row>
    <row r="2852">
      <c r="A2852" s="16"/>
      <c r="B2852" s="16"/>
      <c r="C2852" s="16"/>
      <c r="D2852" s="16"/>
      <c r="E2852" s="16"/>
      <c r="F2852" s="17"/>
      <c r="G2852" s="17"/>
      <c r="I2852" s="6"/>
      <c r="J2852" s="6"/>
    </row>
    <row r="2853">
      <c r="A2853" s="16"/>
      <c r="B2853" s="16"/>
      <c r="C2853" s="16"/>
      <c r="D2853" s="16"/>
      <c r="E2853" s="16"/>
      <c r="F2853" s="17"/>
      <c r="G2853" s="17"/>
      <c r="I2853" s="6"/>
      <c r="J2853" s="6"/>
    </row>
    <row r="2854">
      <c r="A2854" s="16"/>
      <c r="B2854" s="16"/>
      <c r="C2854" s="16"/>
      <c r="D2854" s="16"/>
      <c r="E2854" s="16"/>
      <c r="F2854" s="17"/>
      <c r="G2854" s="17"/>
      <c r="I2854" s="6"/>
      <c r="J2854" s="6"/>
    </row>
    <row r="2855">
      <c r="A2855" s="16"/>
      <c r="B2855" s="16"/>
      <c r="C2855" s="16"/>
      <c r="D2855" s="16"/>
      <c r="E2855" s="16"/>
      <c r="F2855" s="17"/>
      <c r="G2855" s="17"/>
      <c r="I2855" s="6"/>
      <c r="J2855" s="6"/>
    </row>
    <row r="2856">
      <c r="A2856" s="16"/>
      <c r="B2856" s="16"/>
      <c r="C2856" s="16"/>
      <c r="D2856" s="16"/>
      <c r="E2856" s="16"/>
      <c r="F2856" s="17"/>
      <c r="G2856" s="17"/>
      <c r="I2856" s="6"/>
      <c r="J2856" s="6"/>
    </row>
    <row r="2857">
      <c r="A2857" s="16"/>
      <c r="B2857" s="16"/>
      <c r="C2857" s="16"/>
      <c r="D2857" s="16"/>
      <c r="E2857" s="16"/>
      <c r="F2857" s="17"/>
      <c r="G2857" s="17"/>
      <c r="I2857" s="6"/>
      <c r="J2857" s="6"/>
    </row>
    <row r="2858">
      <c r="A2858" s="16"/>
      <c r="B2858" s="16"/>
      <c r="C2858" s="16"/>
      <c r="D2858" s="16"/>
      <c r="E2858" s="16"/>
      <c r="F2858" s="17"/>
      <c r="G2858" s="17"/>
      <c r="I2858" s="6"/>
      <c r="J2858" s="6"/>
    </row>
    <row r="2859">
      <c r="A2859" s="16"/>
      <c r="B2859" s="16"/>
      <c r="C2859" s="16"/>
      <c r="D2859" s="16"/>
      <c r="E2859" s="16"/>
      <c r="F2859" s="17"/>
      <c r="G2859" s="17"/>
      <c r="I2859" s="6"/>
      <c r="J2859" s="6"/>
    </row>
    <row r="2860">
      <c r="A2860" s="16"/>
      <c r="B2860" s="16"/>
      <c r="C2860" s="16"/>
      <c r="D2860" s="16"/>
      <c r="E2860" s="16"/>
      <c r="F2860" s="17"/>
      <c r="G2860" s="17"/>
      <c r="I2860" s="6"/>
      <c r="J2860" s="6"/>
    </row>
    <row r="2861">
      <c r="A2861" s="16"/>
      <c r="B2861" s="16"/>
      <c r="C2861" s="16"/>
      <c r="D2861" s="16"/>
      <c r="E2861" s="16"/>
      <c r="F2861" s="17"/>
      <c r="G2861" s="17"/>
      <c r="I2861" s="6"/>
      <c r="J2861" s="6"/>
    </row>
    <row r="2862">
      <c r="A2862" s="16"/>
      <c r="B2862" s="16"/>
      <c r="C2862" s="16"/>
      <c r="D2862" s="16"/>
      <c r="E2862" s="16"/>
      <c r="F2862" s="17"/>
      <c r="G2862" s="17"/>
      <c r="I2862" s="6"/>
      <c r="J2862" s="6"/>
    </row>
    <row r="2863">
      <c r="A2863" s="16"/>
      <c r="B2863" s="16"/>
      <c r="C2863" s="16"/>
      <c r="D2863" s="16"/>
      <c r="E2863" s="16"/>
      <c r="F2863" s="17"/>
      <c r="G2863" s="17"/>
      <c r="I2863" s="6"/>
      <c r="J2863" s="6"/>
    </row>
    <row r="2864">
      <c r="A2864" s="16"/>
      <c r="B2864" s="16"/>
      <c r="C2864" s="16"/>
      <c r="D2864" s="16"/>
      <c r="E2864" s="16"/>
      <c r="F2864" s="17"/>
      <c r="G2864" s="17"/>
      <c r="I2864" s="6"/>
      <c r="J2864" s="6"/>
    </row>
    <row r="2865">
      <c r="A2865" s="16"/>
      <c r="B2865" s="16"/>
      <c r="C2865" s="16"/>
      <c r="D2865" s="16"/>
      <c r="E2865" s="16"/>
      <c r="F2865" s="17"/>
      <c r="G2865" s="17"/>
      <c r="I2865" s="6"/>
      <c r="J2865" s="6"/>
    </row>
    <row r="2866">
      <c r="A2866" s="16"/>
      <c r="B2866" s="16"/>
      <c r="C2866" s="16"/>
      <c r="D2866" s="16"/>
      <c r="E2866" s="16"/>
      <c r="F2866" s="17"/>
      <c r="G2866" s="17"/>
      <c r="I2866" s="6"/>
      <c r="J2866" s="6"/>
    </row>
    <row r="2867">
      <c r="A2867" s="16"/>
      <c r="B2867" s="16"/>
      <c r="C2867" s="16"/>
      <c r="D2867" s="16"/>
      <c r="E2867" s="16"/>
      <c r="F2867" s="17"/>
      <c r="G2867" s="17"/>
      <c r="I2867" s="6"/>
      <c r="J2867" s="6"/>
    </row>
    <row r="2868">
      <c r="A2868" s="16"/>
      <c r="B2868" s="16"/>
      <c r="C2868" s="16"/>
      <c r="D2868" s="16"/>
      <c r="E2868" s="16"/>
      <c r="F2868" s="17"/>
      <c r="G2868" s="17"/>
      <c r="I2868" s="6"/>
      <c r="J2868" s="6"/>
    </row>
    <row r="2869">
      <c r="A2869" s="16"/>
      <c r="B2869" s="16"/>
      <c r="C2869" s="16"/>
      <c r="D2869" s="16"/>
      <c r="E2869" s="16"/>
      <c r="F2869" s="17"/>
      <c r="G2869" s="17"/>
      <c r="I2869" s="6"/>
      <c r="J2869" s="6"/>
    </row>
    <row r="2870">
      <c r="A2870" s="16"/>
      <c r="B2870" s="16"/>
      <c r="C2870" s="16"/>
      <c r="D2870" s="16"/>
      <c r="E2870" s="16"/>
      <c r="F2870" s="17"/>
      <c r="G2870" s="17"/>
      <c r="I2870" s="6"/>
      <c r="J2870" s="6"/>
    </row>
    <row r="2871">
      <c r="A2871" s="16"/>
      <c r="B2871" s="16"/>
      <c r="C2871" s="16"/>
      <c r="D2871" s="16"/>
      <c r="E2871" s="16"/>
      <c r="F2871" s="17"/>
      <c r="G2871" s="17"/>
      <c r="I2871" s="6"/>
      <c r="J2871" s="6"/>
    </row>
    <row r="2872">
      <c r="A2872" s="16"/>
      <c r="B2872" s="16"/>
      <c r="C2872" s="16"/>
      <c r="D2872" s="16"/>
      <c r="E2872" s="16"/>
      <c r="F2872" s="17"/>
      <c r="G2872" s="17"/>
      <c r="I2872" s="6"/>
      <c r="J2872" s="6"/>
    </row>
    <row r="2873">
      <c r="A2873" s="16"/>
      <c r="B2873" s="16"/>
      <c r="C2873" s="16"/>
      <c r="D2873" s="16"/>
      <c r="E2873" s="16"/>
      <c r="F2873" s="17"/>
      <c r="G2873" s="17"/>
      <c r="I2873" s="6"/>
      <c r="J2873" s="6"/>
    </row>
    <row r="2874">
      <c r="A2874" s="16"/>
      <c r="B2874" s="16"/>
      <c r="C2874" s="16"/>
      <c r="D2874" s="16"/>
      <c r="E2874" s="16"/>
      <c r="F2874" s="17"/>
      <c r="G2874" s="17"/>
      <c r="I2874" s="6"/>
      <c r="J2874" s="6"/>
    </row>
    <row r="2875">
      <c r="A2875" s="16"/>
      <c r="B2875" s="16"/>
      <c r="C2875" s="16"/>
      <c r="D2875" s="16"/>
      <c r="E2875" s="16"/>
      <c r="F2875" s="17"/>
      <c r="G2875" s="17"/>
      <c r="I2875" s="6"/>
      <c r="J2875" s="6"/>
    </row>
    <row r="2876">
      <c r="A2876" s="16"/>
      <c r="B2876" s="16"/>
      <c r="C2876" s="16"/>
      <c r="D2876" s="16"/>
      <c r="E2876" s="16"/>
      <c r="F2876" s="17"/>
      <c r="G2876" s="17"/>
      <c r="I2876" s="6"/>
      <c r="J2876" s="6"/>
    </row>
    <row r="2877">
      <c r="A2877" s="16"/>
      <c r="B2877" s="16"/>
      <c r="C2877" s="16"/>
      <c r="D2877" s="16"/>
      <c r="E2877" s="16"/>
      <c r="F2877" s="17"/>
      <c r="G2877" s="17"/>
      <c r="I2877" s="6"/>
      <c r="J2877" s="6"/>
    </row>
    <row r="2878">
      <c r="A2878" s="16"/>
      <c r="B2878" s="16"/>
      <c r="C2878" s="16"/>
      <c r="D2878" s="16"/>
      <c r="E2878" s="16"/>
      <c r="F2878" s="17"/>
      <c r="G2878" s="17"/>
      <c r="I2878" s="6"/>
      <c r="J2878" s="6"/>
    </row>
    <row r="2879">
      <c r="A2879" s="16"/>
      <c r="B2879" s="16"/>
      <c r="C2879" s="16"/>
      <c r="D2879" s="16"/>
      <c r="E2879" s="16"/>
      <c r="F2879" s="17"/>
      <c r="G2879" s="17"/>
      <c r="I2879" s="6"/>
      <c r="J2879" s="6"/>
    </row>
    <row r="2880">
      <c r="A2880" s="16"/>
      <c r="B2880" s="16"/>
      <c r="C2880" s="16"/>
      <c r="D2880" s="16"/>
      <c r="E2880" s="16"/>
      <c r="F2880" s="17"/>
      <c r="G2880" s="17"/>
      <c r="I2880" s="6"/>
      <c r="J2880" s="6"/>
    </row>
    <row r="2881">
      <c r="A2881" s="16"/>
      <c r="B2881" s="16"/>
      <c r="C2881" s="16"/>
      <c r="D2881" s="16"/>
      <c r="E2881" s="16"/>
      <c r="F2881" s="17"/>
      <c r="G2881" s="17"/>
      <c r="I2881" s="6"/>
      <c r="J2881" s="6"/>
    </row>
    <row r="2882">
      <c r="A2882" s="16"/>
      <c r="B2882" s="16"/>
      <c r="C2882" s="16"/>
      <c r="D2882" s="16"/>
      <c r="E2882" s="16"/>
      <c r="F2882" s="17"/>
      <c r="G2882" s="17"/>
      <c r="I2882" s="6"/>
      <c r="J2882" s="6"/>
    </row>
    <row r="2883">
      <c r="A2883" s="16"/>
      <c r="B2883" s="16"/>
      <c r="C2883" s="16"/>
      <c r="D2883" s="16"/>
      <c r="E2883" s="16"/>
      <c r="F2883" s="17"/>
      <c r="G2883" s="17"/>
      <c r="I2883" s="6"/>
      <c r="J2883" s="6"/>
    </row>
    <row r="2884">
      <c r="A2884" s="16"/>
      <c r="B2884" s="16"/>
      <c r="C2884" s="16"/>
      <c r="D2884" s="16"/>
      <c r="E2884" s="16"/>
      <c r="F2884" s="17"/>
      <c r="G2884" s="17"/>
      <c r="I2884" s="6"/>
      <c r="J2884" s="6"/>
    </row>
    <row r="2885">
      <c r="A2885" s="16"/>
      <c r="B2885" s="16"/>
      <c r="C2885" s="16"/>
      <c r="D2885" s="16"/>
      <c r="E2885" s="16"/>
      <c r="F2885" s="17"/>
      <c r="G2885" s="17"/>
      <c r="I2885" s="6"/>
      <c r="J2885" s="6"/>
    </row>
  </sheetData>
  <drawing r:id="rId1"/>
</worksheet>
</file>