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ine\Documents\Documents\"/>
    </mc:Choice>
  </mc:AlternateContent>
  <xr:revisionPtr revIDLastSave="0" documentId="8_{D2081C08-675B-4CB3-ADC2-05E99420A8EA}" xr6:coauthVersionLast="47" xr6:coauthVersionMax="47" xr10:uidLastSave="{00000000-0000-0000-0000-000000000000}"/>
  <bookViews>
    <workbookView xWindow="2340" yWindow="2340" windowWidth="21555" windowHeight="12030" xr2:uid="{8EBE724C-94F2-41AD-90EF-527E38950C3C}"/>
  </bookViews>
  <sheets>
    <sheet name="Список сводный д.сад"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1" l="1"/>
  <c r="G2" i="1"/>
  <c r="F3" i="1"/>
  <c r="G3" i="1"/>
  <c r="F4" i="1"/>
  <c r="G4" i="1"/>
  <c r="F5" i="1"/>
  <c r="G5"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F67" i="1"/>
  <c r="G67" i="1"/>
  <c r="F68" i="1"/>
  <c r="G68" i="1"/>
  <c r="F69" i="1"/>
  <c r="G69" i="1"/>
  <c r="F70" i="1"/>
  <c r="G70" i="1"/>
  <c r="F71" i="1"/>
  <c r="G71" i="1"/>
  <c r="F72" i="1"/>
  <c r="G72" i="1"/>
  <c r="F73" i="1"/>
  <c r="G73" i="1"/>
  <c r="F74" i="1"/>
  <c r="G74" i="1"/>
  <c r="F75" i="1"/>
  <c r="G75" i="1"/>
  <c r="F76" i="1"/>
  <c r="G76" i="1"/>
  <c r="F77" i="1"/>
  <c r="G77" i="1"/>
  <c r="F78" i="1"/>
  <c r="G78" i="1"/>
  <c r="F79" i="1"/>
  <c r="G79" i="1"/>
  <c r="F80" i="1"/>
  <c r="G80" i="1"/>
  <c r="F81" i="1"/>
  <c r="G81" i="1"/>
  <c r="F82" i="1"/>
  <c r="G82" i="1"/>
  <c r="F83" i="1"/>
  <c r="G83" i="1"/>
  <c r="F84" i="1"/>
  <c r="G84" i="1"/>
  <c r="F85" i="1"/>
  <c r="G85" i="1"/>
  <c r="F86" i="1"/>
  <c r="G86" i="1"/>
  <c r="F87" i="1"/>
  <c r="G87" i="1"/>
  <c r="F88" i="1"/>
  <c r="G88" i="1"/>
  <c r="F89" i="1"/>
  <c r="G89" i="1"/>
  <c r="F90" i="1"/>
  <c r="G90" i="1"/>
  <c r="F91" i="1"/>
  <c r="G91" i="1"/>
  <c r="F92" i="1"/>
  <c r="G92" i="1"/>
  <c r="F93" i="1"/>
  <c r="G93" i="1"/>
  <c r="F94" i="1"/>
  <c r="G94" i="1"/>
  <c r="F95" i="1"/>
  <c r="G95" i="1"/>
  <c r="F96" i="1"/>
  <c r="G96" i="1"/>
  <c r="F97" i="1"/>
  <c r="G97" i="1"/>
  <c r="F98" i="1"/>
  <c r="G98" i="1"/>
  <c r="F99" i="1"/>
  <c r="G99" i="1"/>
  <c r="F100" i="1"/>
  <c r="G100" i="1"/>
  <c r="F101" i="1"/>
  <c r="G101" i="1"/>
  <c r="F102" i="1"/>
  <c r="G102" i="1"/>
  <c r="F103" i="1"/>
  <c r="G103" i="1"/>
  <c r="F104" i="1"/>
  <c r="G104" i="1"/>
  <c r="F105" i="1"/>
  <c r="G105" i="1"/>
  <c r="F106" i="1"/>
  <c r="G106" i="1"/>
  <c r="F107" i="1"/>
  <c r="G107" i="1"/>
  <c r="F108" i="1"/>
  <c r="G108" i="1"/>
  <c r="F109" i="1"/>
  <c r="G109" i="1"/>
  <c r="F110" i="1"/>
  <c r="G110" i="1"/>
  <c r="F111" i="1"/>
  <c r="G111" i="1"/>
  <c r="F112" i="1"/>
  <c r="G112" i="1"/>
  <c r="F113" i="1"/>
  <c r="G113" i="1"/>
  <c r="F114" i="1"/>
  <c r="G114" i="1"/>
  <c r="F115" i="1"/>
  <c r="G115" i="1"/>
  <c r="F116" i="1"/>
  <c r="G116" i="1"/>
  <c r="F117" i="1"/>
  <c r="G117" i="1"/>
  <c r="F118" i="1"/>
  <c r="G118" i="1"/>
  <c r="F119" i="1"/>
  <c r="G119" i="1"/>
  <c r="F120" i="1"/>
  <c r="G120" i="1"/>
  <c r="F121" i="1"/>
  <c r="G121" i="1"/>
  <c r="F122" i="1"/>
  <c r="G122" i="1"/>
  <c r="F123" i="1"/>
  <c r="G123" i="1"/>
  <c r="F124" i="1"/>
  <c r="G124" i="1"/>
  <c r="F125" i="1"/>
  <c r="G125" i="1"/>
  <c r="F126" i="1"/>
  <c r="G126" i="1"/>
  <c r="F127" i="1"/>
  <c r="G127" i="1"/>
  <c r="F128" i="1"/>
  <c r="G128" i="1"/>
  <c r="F129" i="1"/>
  <c r="G129" i="1"/>
  <c r="F130" i="1"/>
  <c r="G130" i="1"/>
  <c r="F131" i="1"/>
  <c r="G131" i="1"/>
  <c r="F132" i="1"/>
  <c r="G132" i="1"/>
  <c r="F133" i="1"/>
  <c r="G133" i="1"/>
  <c r="F134" i="1"/>
  <c r="G134" i="1"/>
  <c r="F135" i="1"/>
  <c r="G135" i="1"/>
  <c r="F136" i="1"/>
  <c r="G136" i="1"/>
  <c r="F137" i="1"/>
  <c r="G137" i="1"/>
  <c r="F138" i="1"/>
  <c r="G138" i="1"/>
  <c r="F139" i="1"/>
  <c r="G139" i="1"/>
  <c r="F140" i="1"/>
  <c r="G140" i="1"/>
  <c r="F141" i="1"/>
  <c r="G141" i="1"/>
  <c r="F142" i="1"/>
  <c r="G142" i="1"/>
  <c r="F143" i="1"/>
  <c r="G143" i="1"/>
  <c r="F144" i="1"/>
  <c r="G144" i="1"/>
  <c r="F145" i="1"/>
  <c r="G145" i="1"/>
  <c r="F146" i="1"/>
  <c r="G146" i="1"/>
  <c r="F147" i="1"/>
  <c r="G147" i="1"/>
  <c r="F148" i="1"/>
  <c r="G148" i="1"/>
  <c r="F149" i="1"/>
  <c r="G149" i="1"/>
  <c r="F150" i="1"/>
  <c r="G150" i="1"/>
  <c r="F151" i="1"/>
  <c r="G151" i="1"/>
  <c r="F152" i="1"/>
  <c r="G152" i="1"/>
  <c r="F153" i="1"/>
  <c r="G153" i="1"/>
  <c r="F154" i="1"/>
  <c r="G154" i="1"/>
  <c r="F155" i="1"/>
  <c r="G155" i="1"/>
  <c r="F156" i="1"/>
  <c r="G156" i="1"/>
  <c r="F157" i="1"/>
  <c r="G157" i="1"/>
  <c r="F158" i="1"/>
  <c r="G158" i="1"/>
  <c r="F159" i="1"/>
  <c r="G159" i="1"/>
  <c r="F160" i="1"/>
  <c r="G160" i="1"/>
  <c r="F161" i="1"/>
  <c r="G161" i="1"/>
  <c r="F162" i="1"/>
  <c r="G162" i="1"/>
  <c r="F163" i="1"/>
  <c r="G163" i="1"/>
  <c r="F164" i="1"/>
  <c r="G164"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F190" i="1"/>
  <c r="G190" i="1"/>
  <c r="F191" i="1"/>
  <c r="G191" i="1"/>
  <c r="F192" i="1"/>
  <c r="G192" i="1"/>
  <c r="F193" i="1"/>
  <c r="G193" i="1"/>
  <c r="F194" i="1"/>
  <c r="G194" i="1"/>
  <c r="F195" i="1"/>
  <c r="G195" i="1"/>
  <c r="F196" i="1"/>
  <c r="G196" i="1"/>
  <c r="F197" i="1"/>
  <c r="G197" i="1"/>
  <c r="F198" i="1"/>
  <c r="G198" i="1"/>
  <c r="F199" i="1"/>
  <c r="G199" i="1"/>
  <c r="F200" i="1"/>
  <c r="G200" i="1"/>
  <c r="F201" i="1"/>
  <c r="G201" i="1"/>
  <c r="F202" i="1"/>
  <c r="G202" i="1"/>
  <c r="F203" i="1"/>
  <c r="G203" i="1"/>
  <c r="F204" i="1"/>
  <c r="G204" i="1"/>
  <c r="F205" i="1"/>
  <c r="G205" i="1"/>
  <c r="F206" i="1"/>
  <c r="G206" i="1"/>
  <c r="F207" i="1"/>
  <c r="G207" i="1"/>
  <c r="F208" i="1"/>
  <c r="G208" i="1"/>
  <c r="F209" i="1"/>
  <c r="G209" i="1"/>
  <c r="F210" i="1"/>
  <c r="G210" i="1"/>
  <c r="F211" i="1"/>
  <c r="G211" i="1"/>
  <c r="F212" i="1"/>
  <c r="G212" i="1"/>
  <c r="F213" i="1"/>
  <c r="G213" i="1"/>
  <c r="F214" i="1"/>
  <c r="G214" i="1"/>
  <c r="F215" i="1"/>
  <c r="G215" i="1"/>
  <c r="F216" i="1"/>
  <c r="G216" i="1"/>
  <c r="F217" i="1"/>
  <c r="G217" i="1"/>
  <c r="F218" i="1"/>
  <c r="G218" i="1"/>
  <c r="F219" i="1"/>
  <c r="G219" i="1"/>
  <c r="F220" i="1"/>
  <c r="G220" i="1"/>
  <c r="F221" i="1"/>
  <c r="G221" i="1"/>
  <c r="F222" i="1"/>
  <c r="G222" i="1"/>
  <c r="F223" i="1"/>
  <c r="G223" i="1"/>
  <c r="F224" i="1"/>
  <c r="G224" i="1"/>
  <c r="F225" i="1"/>
  <c r="G225" i="1"/>
  <c r="F226" i="1"/>
  <c r="G226" i="1"/>
  <c r="F227" i="1"/>
  <c r="G227" i="1"/>
  <c r="F228" i="1"/>
  <c r="G228" i="1"/>
  <c r="F229" i="1"/>
  <c r="G229" i="1"/>
  <c r="F230" i="1"/>
  <c r="G230" i="1"/>
  <c r="F231" i="1"/>
  <c r="G231" i="1"/>
  <c r="F232" i="1"/>
  <c r="G232" i="1"/>
  <c r="F233" i="1"/>
  <c r="G233" i="1"/>
  <c r="F234" i="1"/>
  <c r="G234" i="1"/>
  <c r="F235" i="1"/>
  <c r="G235" i="1"/>
  <c r="F236" i="1"/>
  <c r="G236" i="1"/>
  <c r="F237" i="1"/>
  <c r="G237" i="1"/>
  <c r="F238" i="1"/>
  <c r="G238" i="1"/>
  <c r="F239" i="1"/>
  <c r="G239" i="1"/>
  <c r="F240" i="1"/>
  <c r="G240" i="1"/>
  <c r="F241" i="1"/>
  <c r="G241" i="1"/>
  <c r="F242" i="1"/>
  <c r="G242" i="1"/>
  <c r="F243" i="1"/>
  <c r="G243" i="1"/>
  <c r="F244" i="1"/>
  <c r="G244" i="1"/>
  <c r="F245" i="1"/>
  <c r="G245" i="1"/>
  <c r="F246" i="1"/>
  <c r="G246" i="1"/>
  <c r="F247" i="1"/>
  <c r="G247" i="1"/>
  <c r="F248" i="1"/>
  <c r="G248" i="1"/>
  <c r="F249" i="1"/>
  <c r="G249" i="1"/>
  <c r="F250" i="1"/>
  <c r="G250" i="1"/>
  <c r="F251" i="1"/>
  <c r="G251" i="1"/>
  <c r="F252" i="1"/>
  <c r="G252" i="1"/>
  <c r="F253" i="1"/>
  <c r="G253" i="1"/>
  <c r="F254" i="1"/>
  <c r="G254" i="1"/>
  <c r="F255" i="1"/>
  <c r="G255" i="1"/>
  <c r="F256" i="1"/>
  <c r="G256" i="1"/>
  <c r="F257" i="1"/>
  <c r="G257" i="1"/>
  <c r="F258" i="1"/>
  <c r="G258" i="1"/>
  <c r="F259" i="1"/>
  <c r="G259" i="1"/>
  <c r="F260" i="1"/>
  <c r="G260" i="1"/>
  <c r="F261" i="1"/>
  <c r="G261" i="1"/>
  <c r="F262" i="1"/>
  <c r="G262" i="1"/>
  <c r="F263" i="1"/>
  <c r="G263" i="1"/>
  <c r="F264" i="1"/>
  <c r="G264" i="1"/>
  <c r="F265" i="1"/>
  <c r="G265" i="1"/>
  <c r="F266" i="1"/>
  <c r="G266" i="1"/>
  <c r="F267" i="1"/>
  <c r="G267" i="1"/>
  <c r="F268" i="1"/>
  <c r="G268" i="1"/>
  <c r="F269" i="1"/>
  <c r="G269" i="1"/>
  <c r="F270" i="1"/>
  <c r="G270" i="1"/>
  <c r="F271" i="1"/>
  <c r="G271" i="1"/>
  <c r="F272" i="1"/>
  <c r="G272" i="1"/>
  <c r="F273" i="1"/>
  <c r="G273" i="1"/>
  <c r="F274" i="1"/>
  <c r="G274" i="1"/>
  <c r="F275" i="1"/>
  <c r="G275" i="1"/>
  <c r="F276" i="1"/>
  <c r="G276" i="1"/>
  <c r="F277" i="1"/>
  <c r="G277" i="1"/>
  <c r="F278" i="1"/>
  <c r="G278" i="1"/>
  <c r="F279" i="1"/>
  <c r="G279" i="1"/>
  <c r="F280" i="1"/>
  <c r="G280" i="1"/>
  <c r="F281" i="1"/>
  <c r="G281" i="1"/>
  <c r="F282" i="1"/>
  <c r="G282" i="1"/>
  <c r="F283" i="1"/>
  <c r="G283" i="1"/>
  <c r="F284" i="1"/>
  <c r="G284" i="1"/>
  <c r="F285" i="1"/>
  <c r="G285" i="1"/>
  <c r="F286" i="1"/>
  <c r="G286" i="1"/>
  <c r="F287" i="1"/>
  <c r="G287" i="1"/>
  <c r="F288" i="1"/>
  <c r="G288" i="1"/>
  <c r="F289" i="1"/>
  <c r="G289" i="1"/>
  <c r="F290" i="1"/>
  <c r="G290" i="1"/>
  <c r="F291" i="1"/>
  <c r="G291" i="1"/>
  <c r="F292" i="1"/>
  <c r="G292" i="1"/>
  <c r="F293" i="1"/>
  <c r="G293" i="1"/>
  <c r="F294" i="1"/>
  <c r="G294" i="1"/>
  <c r="F295" i="1"/>
  <c r="G295" i="1"/>
  <c r="F296" i="1"/>
  <c r="G296" i="1"/>
  <c r="F297" i="1"/>
  <c r="G297" i="1"/>
  <c r="F298" i="1"/>
  <c r="G298" i="1"/>
  <c r="F299" i="1"/>
  <c r="G299" i="1"/>
  <c r="F300" i="1"/>
  <c r="G300" i="1"/>
  <c r="F301" i="1"/>
  <c r="G301" i="1"/>
  <c r="F302" i="1"/>
  <c r="G302" i="1"/>
  <c r="F303" i="1"/>
  <c r="G303" i="1"/>
  <c r="F304" i="1"/>
  <c r="G304" i="1"/>
  <c r="F305" i="1"/>
  <c r="G305" i="1"/>
  <c r="F306" i="1"/>
  <c r="G306" i="1"/>
  <c r="F307" i="1"/>
  <c r="G307" i="1"/>
  <c r="F308" i="1"/>
  <c r="G308" i="1"/>
  <c r="F309" i="1"/>
  <c r="G309" i="1"/>
  <c r="F310" i="1"/>
  <c r="G310" i="1"/>
  <c r="F311" i="1"/>
  <c r="G311" i="1"/>
  <c r="F312" i="1"/>
  <c r="G312" i="1"/>
  <c r="F313" i="1"/>
  <c r="G313" i="1"/>
  <c r="F314" i="1"/>
  <c r="G314" i="1"/>
  <c r="F315" i="1"/>
  <c r="G315" i="1"/>
  <c r="F316" i="1"/>
  <c r="G316" i="1"/>
  <c r="F317" i="1"/>
  <c r="G317" i="1"/>
  <c r="F318" i="1"/>
  <c r="G318" i="1"/>
  <c r="F319" i="1"/>
  <c r="G319" i="1"/>
  <c r="F320" i="1"/>
  <c r="G320" i="1"/>
  <c r="F321" i="1"/>
  <c r="G321" i="1"/>
  <c r="F322" i="1"/>
  <c r="G322" i="1"/>
  <c r="F323" i="1"/>
  <c r="G323" i="1"/>
  <c r="F324" i="1"/>
  <c r="G324" i="1"/>
  <c r="F325" i="1"/>
  <c r="G325" i="1"/>
  <c r="F326" i="1"/>
  <c r="G326" i="1"/>
  <c r="F327" i="1"/>
  <c r="G327" i="1"/>
  <c r="F328" i="1"/>
  <c r="G328" i="1"/>
  <c r="F329" i="1"/>
  <c r="G329" i="1"/>
  <c r="F330" i="1"/>
  <c r="G330" i="1"/>
  <c r="F331" i="1"/>
  <c r="G331" i="1"/>
  <c r="F332" i="1"/>
  <c r="G332" i="1"/>
  <c r="F333" i="1"/>
  <c r="G333" i="1"/>
  <c r="F334" i="1"/>
  <c r="G334" i="1"/>
  <c r="F335" i="1"/>
  <c r="G335" i="1"/>
  <c r="F336" i="1"/>
  <c r="G336" i="1"/>
  <c r="F337" i="1"/>
  <c r="G337" i="1"/>
  <c r="F338" i="1"/>
  <c r="G338" i="1"/>
  <c r="F339" i="1"/>
  <c r="G339" i="1"/>
  <c r="F340" i="1"/>
  <c r="G340" i="1"/>
  <c r="F341" i="1"/>
  <c r="G341" i="1"/>
  <c r="F342" i="1"/>
  <c r="G342" i="1"/>
  <c r="F343" i="1"/>
  <c r="G343" i="1"/>
  <c r="F344" i="1"/>
  <c r="G344" i="1"/>
  <c r="F345" i="1"/>
  <c r="G345" i="1"/>
  <c r="F346" i="1"/>
  <c r="G346" i="1"/>
  <c r="F347" i="1"/>
  <c r="G347" i="1"/>
  <c r="F348" i="1"/>
  <c r="G348" i="1"/>
  <c r="F349" i="1"/>
  <c r="G349" i="1"/>
  <c r="F350" i="1"/>
  <c r="G350" i="1"/>
  <c r="F351" i="1"/>
  <c r="G351" i="1"/>
  <c r="F352" i="1"/>
  <c r="G352" i="1"/>
  <c r="F353" i="1"/>
  <c r="G353" i="1"/>
  <c r="F354" i="1"/>
  <c r="G354" i="1"/>
  <c r="F355" i="1"/>
  <c r="G355" i="1"/>
  <c r="F356" i="1"/>
  <c r="G356" i="1"/>
  <c r="F357" i="1"/>
  <c r="G357" i="1"/>
  <c r="F358" i="1"/>
  <c r="G358" i="1"/>
  <c r="F359" i="1"/>
  <c r="G359" i="1"/>
  <c r="F360" i="1"/>
  <c r="G360" i="1"/>
  <c r="F361" i="1"/>
  <c r="G361" i="1"/>
  <c r="F362" i="1"/>
  <c r="G362" i="1"/>
  <c r="F363" i="1"/>
  <c r="G363" i="1"/>
  <c r="F364" i="1"/>
  <c r="G364" i="1"/>
  <c r="F365" i="1"/>
  <c r="G365" i="1"/>
  <c r="F366" i="1"/>
  <c r="G366" i="1"/>
  <c r="F367" i="1"/>
  <c r="G367" i="1"/>
  <c r="F368" i="1"/>
  <c r="G368" i="1"/>
  <c r="F369" i="1"/>
  <c r="G369" i="1"/>
  <c r="F370" i="1"/>
  <c r="G370" i="1"/>
  <c r="F371" i="1"/>
  <c r="G371" i="1"/>
  <c r="F372" i="1"/>
  <c r="G372" i="1"/>
  <c r="F373" i="1"/>
  <c r="G373" i="1"/>
  <c r="F374" i="1"/>
  <c r="G374" i="1"/>
  <c r="F375" i="1"/>
  <c r="G375" i="1"/>
  <c r="F376" i="1"/>
  <c r="G376" i="1"/>
  <c r="F377" i="1"/>
  <c r="G377" i="1"/>
  <c r="F378" i="1"/>
  <c r="G378" i="1"/>
  <c r="F379" i="1"/>
  <c r="G379" i="1"/>
  <c r="F380" i="1"/>
  <c r="G380" i="1"/>
  <c r="F381" i="1"/>
  <c r="G381" i="1"/>
  <c r="F382" i="1"/>
  <c r="G382" i="1"/>
  <c r="F383" i="1"/>
  <c r="G383" i="1"/>
  <c r="F384" i="1"/>
  <c r="G384" i="1"/>
  <c r="F385" i="1"/>
  <c r="G385" i="1"/>
  <c r="F386" i="1"/>
  <c r="G386" i="1"/>
  <c r="F387" i="1"/>
  <c r="G387" i="1"/>
  <c r="F388" i="1"/>
  <c r="G388" i="1"/>
  <c r="F389" i="1"/>
  <c r="G389" i="1"/>
  <c r="F390" i="1"/>
  <c r="G390" i="1"/>
  <c r="F391" i="1"/>
  <c r="G391" i="1"/>
  <c r="F392" i="1"/>
  <c r="G392" i="1"/>
  <c r="F393" i="1"/>
  <c r="G393" i="1"/>
  <c r="F394" i="1"/>
  <c r="G394" i="1"/>
  <c r="F395" i="1"/>
  <c r="G395" i="1"/>
  <c r="F396" i="1"/>
  <c r="G396" i="1"/>
  <c r="F397" i="1"/>
  <c r="G397" i="1"/>
  <c r="F398" i="1"/>
  <c r="G398" i="1"/>
  <c r="F399" i="1"/>
  <c r="G399" i="1"/>
  <c r="F400" i="1"/>
  <c r="G400" i="1"/>
  <c r="F401" i="1"/>
  <c r="G401" i="1"/>
  <c r="F402" i="1"/>
  <c r="G402" i="1"/>
  <c r="F403" i="1"/>
  <c r="G403" i="1"/>
  <c r="F404" i="1"/>
  <c r="G404" i="1"/>
  <c r="F405" i="1"/>
  <c r="G405" i="1"/>
  <c r="F406" i="1"/>
  <c r="G406" i="1"/>
  <c r="F407" i="1"/>
  <c r="G407" i="1"/>
  <c r="F408" i="1"/>
  <c r="G408" i="1"/>
  <c r="F409" i="1"/>
  <c r="G409" i="1"/>
  <c r="F410" i="1"/>
  <c r="G410" i="1"/>
  <c r="F411" i="1"/>
  <c r="G411" i="1"/>
  <c r="F412" i="1"/>
  <c r="G412" i="1"/>
  <c r="F413" i="1"/>
  <c r="G413" i="1"/>
  <c r="F414" i="1"/>
  <c r="G414" i="1"/>
  <c r="F415" i="1"/>
  <c r="G415" i="1"/>
  <c r="F416" i="1"/>
  <c r="G416" i="1"/>
  <c r="F417" i="1"/>
  <c r="G417" i="1"/>
  <c r="F418" i="1"/>
  <c r="G418" i="1"/>
  <c r="F419" i="1"/>
  <c r="G419" i="1"/>
  <c r="F420" i="1"/>
  <c r="G420" i="1"/>
  <c r="F421" i="1"/>
  <c r="G421" i="1"/>
  <c r="F422" i="1"/>
  <c r="G422" i="1"/>
  <c r="F423" i="1"/>
  <c r="G423" i="1"/>
  <c r="F424" i="1"/>
  <c r="G424" i="1"/>
  <c r="F425" i="1"/>
  <c r="G425" i="1"/>
  <c r="F426" i="1"/>
  <c r="G426" i="1"/>
  <c r="F427" i="1"/>
  <c r="G427" i="1"/>
  <c r="F428" i="1"/>
  <c r="G428" i="1"/>
  <c r="F429" i="1"/>
  <c r="G429" i="1"/>
  <c r="F430" i="1"/>
  <c r="G430" i="1"/>
  <c r="F431" i="1"/>
  <c r="G431" i="1"/>
  <c r="F432" i="1"/>
  <c r="G432" i="1"/>
  <c r="F433" i="1"/>
  <c r="G433" i="1"/>
  <c r="F434" i="1"/>
  <c r="G434" i="1"/>
  <c r="F435" i="1"/>
  <c r="G435" i="1"/>
  <c r="F436" i="1"/>
  <c r="G436" i="1"/>
  <c r="F437" i="1"/>
  <c r="G437" i="1"/>
  <c r="F438" i="1"/>
  <c r="G438" i="1"/>
  <c r="F439" i="1"/>
  <c r="G439" i="1"/>
  <c r="F440" i="1"/>
  <c r="G440" i="1"/>
  <c r="F441" i="1"/>
  <c r="G441" i="1"/>
  <c r="F442" i="1"/>
  <c r="G442" i="1"/>
  <c r="F443" i="1"/>
  <c r="G443" i="1"/>
  <c r="F444" i="1"/>
  <c r="G444" i="1"/>
  <c r="F445" i="1"/>
  <c r="G445" i="1"/>
  <c r="F446" i="1"/>
  <c r="G446" i="1"/>
  <c r="F447" i="1"/>
  <c r="G447" i="1"/>
  <c r="F448" i="1"/>
  <c r="G448" i="1"/>
  <c r="F449" i="1"/>
  <c r="G449" i="1"/>
  <c r="F450" i="1"/>
  <c r="G450" i="1"/>
  <c r="F451" i="1"/>
  <c r="G451" i="1"/>
  <c r="F452" i="1"/>
  <c r="G452" i="1"/>
  <c r="F453" i="1"/>
  <c r="G453" i="1"/>
  <c r="F454" i="1"/>
  <c r="G454" i="1"/>
  <c r="F455" i="1"/>
  <c r="G455" i="1"/>
  <c r="F456" i="1"/>
  <c r="G456" i="1"/>
  <c r="F457" i="1"/>
  <c r="G457" i="1"/>
  <c r="F458" i="1"/>
  <c r="G458" i="1"/>
  <c r="F459" i="1"/>
  <c r="G459" i="1"/>
  <c r="F460" i="1"/>
  <c r="G460" i="1"/>
  <c r="F461" i="1"/>
  <c r="G461" i="1"/>
  <c r="F462" i="1"/>
  <c r="G462" i="1"/>
  <c r="F463" i="1"/>
  <c r="G463" i="1"/>
  <c r="F464" i="1"/>
  <c r="G464" i="1"/>
  <c r="F465" i="1"/>
  <c r="G465" i="1"/>
  <c r="F466" i="1"/>
  <c r="G466" i="1"/>
  <c r="F467" i="1"/>
  <c r="G467" i="1"/>
  <c r="F468" i="1"/>
  <c r="G468" i="1"/>
  <c r="F469" i="1"/>
  <c r="G469" i="1"/>
  <c r="F470" i="1"/>
  <c r="G470" i="1"/>
  <c r="F471" i="1"/>
  <c r="G471" i="1"/>
  <c r="F472" i="1"/>
  <c r="G472" i="1"/>
  <c r="F473" i="1"/>
  <c r="G473" i="1"/>
  <c r="F474" i="1"/>
  <c r="G474" i="1"/>
  <c r="F475" i="1"/>
  <c r="G475" i="1"/>
  <c r="F476" i="1"/>
  <c r="G476" i="1"/>
  <c r="F477" i="1"/>
  <c r="G477" i="1"/>
  <c r="F478" i="1"/>
  <c r="G478" i="1"/>
  <c r="F479" i="1"/>
  <c r="G479" i="1"/>
  <c r="F480" i="1"/>
  <c r="G480" i="1"/>
  <c r="F481" i="1"/>
  <c r="G481" i="1"/>
  <c r="F482" i="1"/>
  <c r="G482" i="1"/>
  <c r="F483" i="1"/>
  <c r="G483" i="1"/>
  <c r="F484" i="1"/>
  <c r="G484" i="1"/>
  <c r="F485" i="1"/>
  <c r="G485" i="1"/>
  <c r="F486" i="1"/>
  <c r="G486" i="1"/>
  <c r="F487" i="1"/>
  <c r="G487" i="1"/>
  <c r="F488" i="1"/>
  <c r="G488" i="1"/>
  <c r="F489" i="1"/>
  <c r="G489" i="1"/>
  <c r="F490" i="1"/>
  <c r="G490" i="1"/>
  <c r="F491" i="1"/>
  <c r="G491" i="1"/>
  <c r="F492" i="1"/>
  <c r="G492" i="1"/>
  <c r="F493" i="1"/>
  <c r="G493" i="1"/>
  <c r="F494" i="1"/>
  <c r="G494" i="1"/>
  <c r="F495" i="1"/>
  <c r="G495" i="1"/>
  <c r="F496" i="1"/>
  <c r="G496" i="1"/>
  <c r="F497" i="1"/>
  <c r="G497" i="1"/>
  <c r="F498" i="1"/>
  <c r="G498" i="1"/>
  <c r="F499" i="1"/>
  <c r="G499" i="1"/>
  <c r="F500" i="1"/>
  <c r="G500" i="1"/>
  <c r="F501" i="1"/>
  <c r="G501" i="1"/>
  <c r="F502" i="1"/>
  <c r="G502" i="1"/>
  <c r="F503" i="1"/>
  <c r="G503" i="1"/>
  <c r="F504" i="1"/>
  <c r="G504" i="1"/>
  <c r="F505" i="1"/>
  <c r="G505" i="1"/>
  <c r="F506" i="1"/>
  <c r="G506" i="1"/>
  <c r="F507" i="1"/>
  <c r="G507" i="1"/>
  <c r="F508" i="1"/>
  <c r="G508" i="1"/>
  <c r="F509" i="1"/>
  <c r="G509" i="1"/>
  <c r="F510" i="1"/>
  <c r="G510" i="1"/>
  <c r="F511" i="1"/>
  <c r="G511" i="1"/>
  <c r="F512" i="1"/>
  <c r="G512" i="1"/>
  <c r="F513" i="1"/>
  <c r="G513" i="1"/>
  <c r="F514" i="1"/>
  <c r="G514" i="1"/>
  <c r="F515" i="1"/>
  <c r="G515" i="1"/>
  <c r="F516" i="1"/>
  <c r="G516" i="1"/>
  <c r="F517" i="1"/>
  <c r="G517" i="1"/>
  <c r="F518" i="1"/>
  <c r="G518" i="1"/>
  <c r="F519" i="1"/>
  <c r="G519" i="1"/>
  <c r="F520" i="1"/>
  <c r="G520" i="1"/>
  <c r="F521" i="1"/>
  <c r="G521" i="1"/>
  <c r="F522" i="1"/>
  <c r="G522" i="1"/>
  <c r="F523" i="1"/>
  <c r="G523" i="1"/>
  <c r="F524" i="1"/>
  <c r="G524" i="1"/>
  <c r="F525" i="1"/>
  <c r="G525" i="1"/>
  <c r="F526" i="1"/>
  <c r="G526" i="1"/>
  <c r="F527" i="1"/>
  <c r="G527" i="1"/>
  <c r="F528" i="1"/>
  <c r="G528" i="1"/>
  <c r="F529" i="1"/>
  <c r="G529" i="1"/>
  <c r="F530" i="1"/>
  <c r="G530" i="1"/>
  <c r="F531" i="1"/>
  <c r="G531" i="1"/>
  <c r="F532" i="1"/>
  <c r="G532" i="1"/>
  <c r="F533" i="1"/>
  <c r="G533" i="1"/>
  <c r="F534" i="1"/>
  <c r="G534" i="1"/>
  <c r="F535" i="1"/>
  <c r="G535" i="1"/>
  <c r="F536" i="1"/>
  <c r="G536" i="1"/>
  <c r="F537" i="1"/>
  <c r="G537" i="1"/>
  <c r="F538" i="1"/>
  <c r="G538" i="1"/>
  <c r="F539" i="1"/>
  <c r="G539" i="1"/>
  <c r="F540" i="1"/>
  <c r="G540" i="1"/>
  <c r="F541" i="1"/>
  <c r="G541" i="1"/>
  <c r="F542" i="1"/>
  <c r="G542" i="1"/>
  <c r="F543" i="1"/>
  <c r="G543" i="1"/>
  <c r="F544" i="1"/>
  <c r="G544" i="1"/>
  <c r="F545" i="1"/>
  <c r="G545" i="1"/>
  <c r="F546" i="1"/>
  <c r="G546" i="1"/>
  <c r="F547" i="1"/>
  <c r="G547" i="1"/>
  <c r="F548" i="1"/>
  <c r="G548" i="1"/>
  <c r="F549" i="1"/>
  <c r="G549" i="1"/>
  <c r="F550" i="1"/>
  <c r="G550" i="1"/>
  <c r="F551" i="1"/>
  <c r="G551" i="1"/>
  <c r="F552" i="1"/>
  <c r="G552" i="1"/>
  <c r="F553" i="1"/>
  <c r="G553" i="1"/>
  <c r="F554" i="1"/>
  <c r="G554" i="1"/>
  <c r="F555" i="1"/>
  <c r="G555" i="1"/>
  <c r="F556" i="1"/>
  <c r="G556" i="1"/>
  <c r="F557" i="1"/>
  <c r="G557" i="1"/>
  <c r="F558" i="1"/>
  <c r="G558" i="1"/>
  <c r="F559" i="1"/>
  <c r="G559" i="1"/>
  <c r="F560" i="1"/>
  <c r="G560" i="1"/>
  <c r="F561" i="1"/>
  <c r="G561" i="1"/>
  <c r="F562" i="1"/>
  <c r="G562" i="1"/>
  <c r="F563" i="1"/>
  <c r="G563" i="1"/>
  <c r="F564" i="1"/>
  <c r="G564" i="1"/>
  <c r="F565" i="1"/>
  <c r="G565" i="1"/>
  <c r="F566" i="1"/>
  <c r="G566" i="1"/>
  <c r="F567" i="1"/>
  <c r="G567" i="1"/>
  <c r="F568" i="1"/>
  <c r="G568" i="1"/>
  <c r="F569" i="1"/>
  <c r="G569" i="1"/>
  <c r="F570" i="1"/>
  <c r="G570" i="1"/>
  <c r="F571" i="1"/>
  <c r="G571" i="1"/>
  <c r="F572" i="1"/>
  <c r="G572" i="1"/>
  <c r="F573" i="1"/>
  <c r="G573" i="1"/>
  <c r="F574" i="1"/>
  <c r="G574" i="1"/>
  <c r="F575" i="1"/>
  <c r="G575" i="1"/>
  <c r="F576" i="1"/>
  <c r="G576" i="1"/>
  <c r="F577" i="1"/>
  <c r="G577" i="1"/>
  <c r="F578" i="1"/>
  <c r="G578" i="1"/>
  <c r="F579" i="1"/>
  <c r="G579" i="1"/>
  <c r="F580" i="1"/>
  <c r="G580" i="1"/>
  <c r="F581" i="1"/>
  <c r="G581" i="1"/>
  <c r="F582" i="1"/>
  <c r="G582" i="1"/>
  <c r="F583" i="1"/>
  <c r="G583" i="1"/>
  <c r="F584" i="1"/>
  <c r="G584" i="1"/>
  <c r="F585" i="1"/>
  <c r="G585" i="1"/>
  <c r="F586" i="1"/>
  <c r="G586" i="1"/>
  <c r="F587" i="1"/>
  <c r="G587" i="1"/>
  <c r="F588" i="1"/>
  <c r="G588" i="1"/>
  <c r="F589" i="1"/>
  <c r="G589" i="1"/>
  <c r="F590" i="1"/>
  <c r="G590" i="1"/>
  <c r="F591" i="1"/>
  <c r="G591" i="1"/>
  <c r="F592" i="1"/>
  <c r="G592" i="1"/>
  <c r="F593" i="1"/>
  <c r="G593" i="1"/>
  <c r="F594" i="1"/>
  <c r="G594" i="1"/>
  <c r="F595" i="1"/>
  <c r="G595" i="1"/>
  <c r="F596" i="1"/>
  <c r="G596" i="1"/>
  <c r="F597" i="1"/>
  <c r="G597" i="1"/>
  <c r="F598" i="1"/>
  <c r="G598" i="1"/>
  <c r="F599" i="1"/>
  <c r="G599" i="1"/>
  <c r="F600" i="1"/>
  <c r="G600" i="1"/>
  <c r="F601" i="1"/>
  <c r="G601" i="1"/>
  <c r="F602" i="1"/>
  <c r="G602" i="1"/>
  <c r="F603" i="1"/>
  <c r="G603" i="1"/>
  <c r="F604" i="1"/>
  <c r="G604" i="1"/>
  <c r="F605" i="1"/>
  <c r="G605" i="1"/>
  <c r="F606" i="1"/>
  <c r="G606" i="1"/>
  <c r="F607" i="1"/>
  <c r="G607" i="1"/>
  <c r="F608" i="1"/>
  <c r="G608" i="1"/>
  <c r="F609" i="1"/>
  <c r="G609" i="1"/>
  <c r="F610" i="1"/>
  <c r="G610" i="1"/>
  <c r="F611" i="1"/>
  <c r="G611" i="1"/>
  <c r="F612" i="1"/>
  <c r="G612" i="1"/>
  <c r="F613" i="1"/>
  <c r="G613" i="1"/>
  <c r="F614" i="1"/>
  <c r="G614" i="1"/>
  <c r="F615" i="1"/>
  <c r="G615" i="1"/>
  <c r="F616" i="1"/>
  <c r="G616" i="1"/>
  <c r="F617" i="1"/>
  <c r="G617" i="1"/>
  <c r="F618" i="1"/>
  <c r="G618" i="1"/>
  <c r="F619" i="1"/>
  <c r="G619" i="1"/>
  <c r="F620" i="1"/>
  <c r="G620" i="1"/>
  <c r="F621" i="1"/>
  <c r="G621" i="1"/>
  <c r="F622" i="1"/>
  <c r="G622" i="1"/>
  <c r="F623" i="1"/>
  <c r="G623" i="1"/>
  <c r="F624" i="1"/>
  <c r="G624" i="1"/>
  <c r="F625" i="1"/>
  <c r="G625" i="1"/>
  <c r="F626" i="1"/>
  <c r="G626" i="1"/>
  <c r="F627" i="1"/>
  <c r="G627" i="1"/>
  <c r="F628" i="1"/>
  <c r="G628" i="1"/>
  <c r="F629" i="1"/>
  <c r="G629" i="1"/>
  <c r="F630" i="1"/>
  <c r="G630" i="1"/>
  <c r="F631" i="1"/>
  <c r="G631" i="1"/>
  <c r="F632" i="1"/>
  <c r="G632" i="1"/>
  <c r="F633" i="1"/>
  <c r="G633" i="1"/>
  <c r="F634" i="1"/>
  <c r="G634" i="1"/>
  <c r="F635" i="1"/>
  <c r="G635" i="1"/>
  <c r="F636" i="1"/>
  <c r="G636" i="1"/>
  <c r="F637" i="1"/>
  <c r="G637" i="1"/>
  <c r="F638" i="1"/>
  <c r="G638" i="1"/>
  <c r="F639" i="1"/>
  <c r="G639" i="1"/>
  <c r="F640" i="1"/>
  <c r="G640" i="1"/>
  <c r="F641" i="1"/>
  <c r="G641" i="1"/>
  <c r="F642" i="1"/>
  <c r="G642" i="1"/>
  <c r="F643" i="1"/>
  <c r="G643" i="1"/>
  <c r="F644" i="1"/>
  <c r="G644" i="1"/>
  <c r="F645" i="1"/>
  <c r="G645" i="1"/>
  <c r="F646" i="1"/>
  <c r="G646" i="1"/>
  <c r="F647" i="1"/>
  <c r="G647" i="1"/>
  <c r="F648" i="1"/>
  <c r="G648" i="1"/>
  <c r="F649" i="1"/>
  <c r="G649" i="1"/>
  <c r="F650" i="1"/>
  <c r="G650" i="1"/>
  <c r="F651" i="1"/>
  <c r="G651" i="1"/>
  <c r="F652" i="1"/>
  <c r="G652" i="1"/>
  <c r="F653" i="1"/>
  <c r="G653" i="1"/>
  <c r="F654" i="1"/>
  <c r="G654" i="1"/>
  <c r="F655" i="1"/>
  <c r="G655" i="1"/>
  <c r="F656" i="1"/>
  <c r="G656" i="1"/>
  <c r="F657" i="1"/>
  <c r="G657" i="1"/>
  <c r="F658" i="1"/>
  <c r="G658" i="1"/>
  <c r="F659" i="1"/>
  <c r="G659" i="1"/>
  <c r="F660" i="1"/>
  <c r="G660" i="1"/>
  <c r="F661" i="1"/>
  <c r="G661" i="1"/>
  <c r="F662" i="1"/>
  <c r="G662" i="1"/>
  <c r="F663" i="1"/>
  <c r="G663" i="1"/>
  <c r="F664" i="1"/>
  <c r="G664" i="1"/>
  <c r="F665" i="1"/>
  <c r="G665" i="1"/>
  <c r="F666" i="1"/>
  <c r="G666" i="1"/>
  <c r="F667" i="1"/>
  <c r="G667" i="1"/>
  <c r="F668" i="1"/>
  <c r="G668" i="1"/>
  <c r="F669" i="1"/>
  <c r="G669" i="1"/>
  <c r="F670" i="1"/>
  <c r="G670" i="1"/>
  <c r="F671" i="1"/>
  <c r="G671" i="1"/>
  <c r="F672" i="1"/>
  <c r="G672" i="1"/>
  <c r="F673" i="1"/>
  <c r="G673" i="1"/>
  <c r="F674" i="1"/>
  <c r="G674" i="1"/>
  <c r="F675" i="1"/>
  <c r="G675" i="1"/>
  <c r="F676" i="1"/>
  <c r="G676" i="1"/>
  <c r="F677" i="1"/>
  <c r="G677" i="1"/>
  <c r="F678" i="1"/>
  <c r="G678" i="1"/>
  <c r="F679" i="1"/>
  <c r="G679" i="1"/>
  <c r="F680" i="1"/>
  <c r="G680" i="1"/>
  <c r="F681" i="1"/>
  <c r="G681" i="1"/>
  <c r="F682" i="1"/>
  <c r="G682" i="1"/>
  <c r="F683" i="1"/>
  <c r="G683" i="1"/>
  <c r="F684" i="1"/>
  <c r="G684" i="1"/>
  <c r="F685" i="1"/>
  <c r="G685" i="1"/>
  <c r="F686" i="1"/>
  <c r="G686" i="1"/>
  <c r="F687" i="1"/>
  <c r="G687" i="1"/>
  <c r="F688" i="1"/>
  <c r="G688" i="1"/>
  <c r="F689" i="1"/>
  <c r="G689" i="1"/>
  <c r="F690" i="1"/>
  <c r="G690" i="1"/>
  <c r="F691" i="1"/>
  <c r="G691" i="1"/>
  <c r="F692" i="1"/>
  <c r="G692" i="1"/>
  <c r="F693" i="1"/>
  <c r="G693" i="1"/>
  <c r="F694" i="1"/>
  <c r="G694" i="1"/>
  <c r="F695" i="1"/>
  <c r="G695" i="1"/>
  <c r="F696" i="1"/>
  <c r="G696" i="1"/>
  <c r="F697" i="1"/>
  <c r="G697" i="1"/>
  <c r="F698" i="1"/>
  <c r="G698" i="1"/>
  <c r="F699" i="1"/>
  <c r="G699" i="1"/>
  <c r="F700" i="1"/>
  <c r="G700" i="1"/>
  <c r="F701" i="1"/>
  <c r="G701" i="1"/>
  <c r="F702" i="1"/>
  <c r="G702" i="1"/>
  <c r="F703" i="1"/>
  <c r="G703" i="1"/>
  <c r="F704" i="1"/>
  <c r="G704" i="1"/>
  <c r="F705" i="1"/>
  <c r="G705" i="1"/>
  <c r="F706" i="1"/>
  <c r="G706" i="1"/>
  <c r="F707" i="1"/>
  <c r="G707" i="1"/>
  <c r="F708" i="1"/>
  <c r="G708" i="1"/>
  <c r="F709" i="1"/>
  <c r="G709" i="1"/>
  <c r="F710" i="1"/>
  <c r="G710" i="1"/>
  <c r="F711" i="1"/>
  <c r="G711" i="1"/>
  <c r="F712" i="1"/>
  <c r="G712" i="1"/>
  <c r="F713" i="1"/>
  <c r="G713" i="1"/>
  <c r="F714" i="1"/>
  <c r="G714" i="1"/>
  <c r="F715" i="1"/>
  <c r="G715" i="1"/>
  <c r="F716" i="1"/>
  <c r="G716" i="1"/>
  <c r="F717" i="1"/>
  <c r="G717" i="1"/>
  <c r="F718" i="1"/>
  <c r="G718" i="1"/>
  <c r="F719" i="1"/>
  <c r="G719" i="1"/>
  <c r="F720" i="1"/>
  <c r="G720" i="1"/>
  <c r="F721" i="1"/>
  <c r="G721" i="1"/>
  <c r="F722" i="1"/>
  <c r="G722" i="1"/>
  <c r="F723" i="1"/>
  <c r="G723" i="1"/>
  <c r="F724" i="1"/>
  <c r="G724" i="1"/>
  <c r="F725" i="1"/>
  <c r="G725" i="1"/>
  <c r="F726" i="1"/>
  <c r="G726" i="1"/>
  <c r="F727" i="1"/>
  <c r="G727" i="1"/>
  <c r="F728" i="1"/>
  <c r="G728" i="1"/>
  <c r="F729" i="1"/>
  <c r="G729" i="1"/>
  <c r="F730" i="1"/>
  <c r="G730" i="1"/>
  <c r="F731" i="1"/>
  <c r="G731" i="1"/>
  <c r="F732" i="1"/>
  <c r="G732" i="1"/>
  <c r="F733" i="1"/>
  <c r="G733" i="1"/>
  <c r="F734" i="1"/>
  <c r="G734" i="1"/>
  <c r="F735" i="1"/>
  <c r="G735" i="1"/>
  <c r="F736" i="1"/>
  <c r="G736" i="1"/>
  <c r="F737" i="1"/>
  <c r="G737" i="1"/>
  <c r="F738" i="1"/>
  <c r="G738" i="1"/>
  <c r="F739" i="1"/>
  <c r="G739" i="1"/>
  <c r="F740" i="1"/>
  <c r="G740" i="1"/>
  <c r="F741" i="1"/>
  <c r="G741" i="1"/>
  <c r="F742" i="1"/>
  <c r="G742" i="1"/>
  <c r="F743" i="1"/>
  <c r="G743" i="1"/>
  <c r="F744" i="1"/>
  <c r="G744" i="1"/>
  <c r="F745" i="1"/>
  <c r="G745" i="1"/>
  <c r="F746" i="1"/>
  <c r="G746" i="1"/>
  <c r="F747" i="1"/>
  <c r="G747" i="1"/>
  <c r="F748" i="1"/>
  <c r="G748" i="1"/>
  <c r="F749" i="1"/>
  <c r="G749" i="1"/>
  <c r="F750" i="1"/>
  <c r="G750" i="1"/>
  <c r="F751" i="1"/>
  <c r="G751" i="1"/>
  <c r="F752" i="1"/>
  <c r="G752" i="1"/>
  <c r="F753" i="1"/>
  <c r="G753" i="1"/>
  <c r="F754" i="1"/>
  <c r="G754" i="1"/>
  <c r="F755" i="1"/>
  <c r="G755" i="1"/>
  <c r="F756" i="1"/>
  <c r="G756" i="1"/>
  <c r="F757" i="1"/>
  <c r="G757" i="1"/>
  <c r="F758" i="1"/>
  <c r="G758" i="1"/>
  <c r="F759" i="1"/>
  <c r="G759" i="1"/>
  <c r="F760" i="1"/>
  <c r="G760" i="1"/>
  <c r="F761" i="1"/>
  <c r="G761" i="1"/>
  <c r="F762" i="1"/>
  <c r="G762" i="1"/>
  <c r="F763" i="1"/>
  <c r="G763" i="1"/>
  <c r="F764" i="1"/>
  <c r="G764" i="1"/>
  <c r="F765" i="1"/>
  <c r="G765" i="1"/>
  <c r="F766" i="1"/>
  <c r="G766" i="1"/>
  <c r="F767" i="1"/>
  <c r="G767" i="1"/>
  <c r="F768" i="1"/>
  <c r="G768" i="1"/>
  <c r="F769" i="1"/>
  <c r="G769" i="1"/>
  <c r="F770" i="1"/>
  <c r="G770" i="1"/>
  <c r="F771" i="1"/>
  <c r="G771" i="1"/>
  <c r="F772" i="1"/>
  <c r="G772" i="1"/>
  <c r="F773" i="1"/>
  <c r="G773" i="1"/>
  <c r="F774" i="1"/>
  <c r="G774" i="1"/>
  <c r="F775" i="1"/>
  <c r="G775" i="1"/>
  <c r="F776" i="1"/>
  <c r="G776" i="1"/>
  <c r="F777" i="1"/>
  <c r="G777" i="1"/>
  <c r="F778" i="1"/>
  <c r="G778" i="1"/>
  <c r="F779" i="1"/>
  <c r="G779" i="1"/>
  <c r="F780" i="1"/>
  <c r="G780" i="1"/>
  <c r="F781" i="1"/>
  <c r="G781" i="1"/>
  <c r="F782" i="1"/>
  <c r="G782" i="1"/>
  <c r="F783" i="1"/>
  <c r="G783" i="1"/>
  <c r="F784" i="1"/>
  <c r="G784" i="1"/>
  <c r="F785" i="1"/>
  <c r="G785" i="1"/>
  <c r="F786" i="1"/>
  <c r="G786" i="1"/>
  <c r="F787" i="1"/>
  <c r="G787" i="1"/>
  <c r="F788" i="1"/>
  <c r="G788" i="1"/>
  <c r="F789" i="1"/>
  <c r="G789" i="1"/>
  <c r="F790" i="1"/>
  <c r="G790" i="1"/>
  <c r="F791" i="1"/>
  <c r="G791" i="1"/>
  <c r="F792" i="1"/>
  <c r="G792" i="1"/>
  <c r="F793" i="1"/>
  <c r="G793" i="1"/>
  <c r="F794" i="1"/>
  <c r="G794" i="1"/>
  <c r="F795" i="1"/>
  <c r="G795" i="1"/>
  <c r="F796" i="1"/>
  <c r="G796" i="1"/>
  <c r="F797" i="1"/>
  <c r="G797" i="1"/>
  <c r="F798" i="1"/>
  <c r="G798" i="1"/>
  <c r="F799" i="1"/>
  <c r="G799" i="1"/>
  <c r="F800" i="1"/>
  <c r="G800" i="1"/>
  <c r="F801" i="1"/>
  <c r="G801" i="1"/>
  <c r="F802" i="1"/>
  <c r="G802" i="1"/>
  <c r="F803" i="1"/>
  <c r="G803" i="1"/>
  <c r="F804" i="1"/>
  <c r="G804" i="1"/>
  <c r="F805" i="1"/>
  <c r="G805" i="1"/>
  <c r="F806" i="1"/>
  <c r="G806" i="1"/>
  <c r="F807" i="1"/>
  <c r="G807" i="1"/>
  <c r="F808" i="1"/>
  <c r="G808" i="1"/>
  <c r="F809" i="1"/>
  <c r="G809" i="1"/>
  <c r="F810" i="1"/>
  <c r="G810" i="1"/>
  <c r="F811" i="1"/>
  <c r="G811" i="1"/>
  <c r="F812" i="1"/>
  <c r="G812" i="1"/>
  <c r="F813" i="1"/>
  <c r="G813" i="1"/>
  <c r="F814" i="1"/>
  <c r="G814" i="1"/>
  <c r="F815" i="1"/>
  <c r="G815" i="1"/>
  <c r="F816" i="1"/>
  <c r="G816" i="1"/>
  <c r="F817" i="1"/>
  <c r="G817" i="1"/>
  <c r="F818" i="1"/>
  <c r="G818" i="1"/>
  <c r="F819" i="1"/>
  <c r="G819" i="1"/>
  <c r="F820" i="1"/>
  <c r="G820" i="1"/>
  <c r="F821" i="1"/>
  <c r="G821" i="1"/>
  <c r="F822" i="1"/>
  <c r="G822" i="1"/>
  <c r="F823" i="1"/>
  <c r="G823" i="1"/>
  <c r="F824" i="1"/>
  <c r="G824" i="1"/>
  <c r="F825" i="1"/>
  <c r="G825" i="1"/>
  <c r="F826" i="1"/>
  <c r="G826" i="1"/>
  <c r="F827" i="1"/>
  <c r="G827" i="1"/>
  <c r="F828" i="1"/>
  <c r="G828" i="1"/>
  <c r="F829" i="1"/>
  <c r="G829" i="1"/>
  <c r="F830" i="1"/>
  <c r="G830" i="1"/>
  <c r="F831" i="1"/>
  <c r="G831" i="1"/>
  <c r="F832" i="1"/>
  <c r="G832" i="1"/>
  <c r="F833" i="1"/>
  <c r="G833" i="1"/>
  <c r="F834" i="1"/>
  <c r="G834" i="1"/>
  <c r="F835" i="1"/>
  <c r="G835" i="1"/>
  <c r="F836" i="1"/>
  <c r="G836" i="1"/>
  <c r="F837" i="1"/>
  <c r="G837" i="1"/>
  <c r="F838" i="1"/>
  <c r="G838" i="1"/>
  <c r="F839" i="1"/>
  <c r="G839" i="1"/>
  <c r="F840" i="1"/>
  <c r="G840" i="1"/>
  <c r="F841" i="1"/>
  <c r="G841" i="1"/>
  <c r="F842" i="1"/>
  <c r="G842" i="1"/>
  <c r="F843" i="1"/>
  <c r="G843" i="1"/>
  <c r="F844" i="1"/>
  <c r="G844" i="1"/>
  <c r="F845" i="1"/>
  <c r="G845" i="1"/>
  <c r="F846" i="1"/>
  <c r="G846" i="1"/>
  <c r="F847" i="1"/>
  <c r="G847" i="1"/>
  <c r="F848" i="1"/>
  <c r="G848" i="1"/>
  <c r="F849" i="1"/>
  <c r="G849" i="1"/>
  <c r="F850" i="1"/>
  <c r="G850" i="1"/>
  <c r="F851" i="1"/>
  <c r="G851" i="1"/>
  <c r="F852" i="1"/>
  <c r="G852" i="1"/>
  <c r="F853" i="1"/>
  <c r="G853" i="1"/>
  <c r="F854" i="1"/>
  <c r="G854" i="1"/>
  <c r="F855" i="1"/>
  <c r="G855" i="1"/>
  <c r="F856" i="1"/>
  <c r="G856" i="1"/>
  <c r="F857" i="1"/>
  <c r="G857" i="1"/>
  <c r="F858" i="1"/>
  <c r="G858" i="1"/>
  <c r="F859" i="1"/>
  <c r="G859" i="1"/>
  <c r="F860" i="1"/>
  <c r="G860" i="1"/>
  <c r="F861" i="1"/>
  <c r="G861" i="1"/>
  <c r="F862" i="1"/>
  <c r="G862" i="1"/>
  <c r="F863" i="1"/>
  <c r="G863" i="1"/>
  <c r="F864" i="1"/>
  <c r="G864" i="1"/>
  <c r="F865" i="1"/>
  <c r="G865" i="1"/>
  <c r="F866" i="1"/>
  <c r="G866" i="1"/>
  <c r="F867" i="1"/>
  <c r="G867" i="1"/>
  <c r="F868" i="1"/>
  <c r="G868" i="1"/>
  <c r="F869" i="1"/>
  <c r="G869" i="1"/>
  <c r="F870" i="1"/>
  <c r="G870" i="1"/>
  <c r="F871" i="1"/>
  <c r="G871" i="1"/>
  <c r="F872" i="1"/>
  <c r="G872" i="1"/>
  <c r="F873" i="1"/>
  <c r="G873" i="1"/>
  <c r="F874" i="1"/>
  <c r="G874" i="1"/>
  <c r="F875" i="1"/>
  <c r="G875" i="1"/>
  <c r="F876" i="1"/>
  <c r="G876" i="1"/>
  <c r="F877" i="1"/>
  <c r="G877" i="1"/>
  <c r="F878" i="1"/>
  <c r="G878" i="1"/>
  <c r="F879" i="1"/>
  <c r="G879" i="1"/>
  <c r="F880" i="1"/>
  <c r="G880" i="1"/>
  <c r="F881" i="1"/>
  <c r="G881" i="1"/>
  <c r="F882" i="1"/>
  <c r="G882" i="1"/>
  <c r="F883" i="1"/>
  <c r="G883" i="1"/>
  <c r="F884" i="1"/>
  <c r="G884" i="1"/>
  <c r="F885" i="1"/>
  <c r="G885" i="1"/>
  <c r="F886" i="1"/>
  <c r="G886" i="1"/>
  <c r="F887" i="1"/>
  <c r="G887" i="1"/>
  <c r="F888" i="1"/>
  <c r="G888" i="1"/>
  <c r="F889" i="1"/>
  <c r="G889" i="1"/>
  <c r="F890" i="1"/>
  <c r="G890" i="1"/>
  <c r="F891" i="1"/>
  <c r="G891" i="1"/>
  <c r="F892" i="1"/>
  <c r="G892" i="1"/>
  <c r="F893" i="1"/>
  <c r="G893" i="1"/>
  <c r="F894" i="1"/>
  <c r="G894" i="1"/>
  <c r="F895" i="1"/>
  <c r="G895" i="1"/>
  <c r="F896" i="1"/>
  <c r="G896" i="1"/>
  <c r="F897" i="1"/>
  <c r="G897" i="1"/>
  <c r="F898" i="1"/>
  <c r="G898" i="1"/>
  <c r="F899" i="1"/>
  <c r="G899" i="1"/>
  <c r="F900" i="1"/>
  <c r="G900" i="1"/>
  <c r="F901" i="1"/>
  <c r="G901" i="1"/>
  <c r="F902" i="1"/>
  <c r="G902" i="1"/>
  <c r="F903" i="1"/>
  <c r="G903" i="1"/>
  <c r="F904" i="1"/>
  <c r="G904" i="1"/>
  <c r="F905" i="1"/>
  <c r="G905" i="1"/>
  <c r="F906" i="1"/>
  <c r="G906" i="1"/>
  <c r="F907" i="1"/>
  <c r="G907" i="1"/>
  <c r="F908" i="1"/>
  <c r="G908" i="1"/>
  <c r="F909" i="1"/>
  <c r="G909" i="1"/>
  <c r="F910" i="1"/>
  <c r="G910" i="1"/>
  <c r="F911" i="1"/>
  <c r="G911" i="1"/>
  <c r="F912" i="1"/>
  <c r="G912" i="1"/>
  <c r="F913" i="1"/>
  <c r="G913" i="1"/>
  <c r="F914" i="1"/>
  <c r="G914" i="1"/>
  <c r="F915" i="1"/>
  <c r="G915" i="1"/>
  <c r="F916" i="1"/>
  <c r="G916" i="1"/>
  <c r="F917" i="1"/>
  <c r="G917" i="1"/>
  <c r="F918" i="1"/>
  <c r="G918" i="1"/>
  <c r="F919" i="1"/>
  <c r="G919" i="1"/>
  <c r="F920" i="1"/>
  <c r="G920" i="1"/>
  <c r="F921" i="1"/>
  <c r="G921" i="1"/>
  <c r="F922" i="1"/>
  <c r="G922" i="1"/>
  <c r="F923" i="1"/>
  <c r="G923" i="1"/>
  <c r="F924" i="1"/>
  <c r="G924" i="1"/>
  <c r="F925" i="1"/>
  <c r="G925" i="1"/>
  <c r="F926" i="1"/>
  <c r="G926" i="1"/>
  <c r="F927" i="1"/>
  <c r="G927" i="1"/>
  <c r="F928" i="1"/>
  <c r="G928" i="1"/>
  <c r="F929" i="1"/>
  <c r="G929" i="1"/>
  <c r="F930" i="1"/>
  <c r="G930" i="1"/>
  <c r="F931" i="1"/>
  <c r="G931" i="1"/>
  <c r="F932" i="1"/>
  <c r="G932" i="1"/>
  <c r="F933" i="1"/>
  <c r="G933" i="1"/>
  <c r="F934" i="1"/>
  <c r="G934" i="1"/>
  <c r="F935" i="1"/>
  <c r="G935" i="1"/>
  <c r="F936" i="1"/>
  <c r="G936" i="1"/>
  <c r="F937" i="1"/>
  <c r="G937" i="1"/>
  <c r="F938" i="1"/>
  <c r="G938" i="1"/>
  <c r="F939" i="1"/>
  <c r="G939" i="1"/>
  <c r="F940" i="1"/>
  <c r="G940" i="1"/>
  <c r="F941" i="1"/>
  <c r="G941" i="1"/>
  <c r="F942" i="1"/>
  <c r="G942" i="1"/>
  <c r="F943" i="1"/>
  <c r="G943" i="1"/>
  <c r="F944" i="1"/>
  <c r="G944" i="1"/>
  <c r="F945" i="1"/>
  <c r="G945" i="1"/>
  <c r="F946" i="1"/>
  <c r="G946" i="1"/>
  <c r="F947" i="1"/>
  <c r="G947" i="1"/>
  <c r="F948" i="1"/>
  <c r="G948" i="1"/>
  <c r="F949" i="1"/>
  <c r="G949" i="1"/>
  <c r="F950" i="1"/>
  <c r="G950" i="1"/>
  <c r="F951" i="1"/>
  <c r="G951" i="1"/>
  <c r="F952" i="1"/>
  <c r="G952" i="1"/>
  <c r="F953" i="1"/>
  <c r="G953" i="1"/>
  <c r="F954" i="1"/>
  <c r="G954" i="1"/>
  <c r="F955" i="1"/>
  <c r="G955" i="1"/>
  <c r="F956" i="1"/>
  <c r="G956" i="1"/>
  <c r="F957" i="1"/>
  <c r="G957" i="1"/>
  <c r="F958" i="1"/>
  <c r="G958" i="1"/>
  <c r="F959" i="1"/>
  <c r="G959" i="1"/>
  <c r="F960" i="1"/>
  <c r="G960" i="1"/>
  <c r="F961" i="1"/>
  <c r="G961" i="1"/>
  <c r="F962" i="1"/>
  <c r="G962" i="1"/>
  <c r="F963" i="1"/>
  <c r="G963" i="1"/>
  <c r="F964" i="1"/>
  <c r="G964" i="1"/>
  <c r="F965" i="1"/>
  <c r="G965" i="1"/>
  <c r="F966" i="1"/>
  <c r="G966" i="1"/>
  <c r="F967" i="1"/>
  <c r="G967" i="1"/>
  <c r="F968" i="1"/>
  <c r="G968" i="1"/>
  <c r="F969" i="1"/>
  <c r="G969" i="1"/>
  <c r="F970" i="1"/>
  <c r="G970" i="1"/>
  <c r="F971" i="1"/>
  <c r="G971" i="1"/>
  <c r="F972" i="1"/>
  <c r="G972" i="1"/>
  <c r="F973" i="1"/>
  <c r="G973" i="1"/>
  <c r="F974" i="1"/>
  <c r="G974" i="1"/>
  <c r="F975" i="1"/>
  <c r="G975" i="1"/>
  <c r="F976" i="1"/>
  <c r="G976" i="1"/>
  <c r="F977" i="1"/>
  <c r="G977" i="1"/>
  <c r="F978" i="1"/>
  <c r="G978" i="1"/>
  <c r="F979" i="1"/>
  <c r="G979" i="1"/>
  <c r="F980" i="1"/>
  <c r="G980" i="1"/>
  <c r="F981" i="1"/>
  <c r="G981" i="1"/>
  <c r="F982" i="1"/>
  <c r="G982" i="1"/>
  <c r="F983" i="1"/>
  <c r="G983" i="1"/>
  <c r="F984" i="1"/>
  <c r="G984" i="1"/>
  <c r="F985" i="1"/>
  <c r="G985" i="1"/>
  <c r="F986" i="1"/>
  <c r="G986" i="1"/>
  <c r="F987" i="1"/>
  <c r="G987" i="1"/>
  <c r="F988" i="1"/>
  <c r="G988" i="1"/>
  <c r="F989" i="1"/>
  <c r="G989" i="1"/>
  <c r="F990" i="1"/>
  <c r="G990" i="1"/>
  <c r="F991" i="1"/>
  <c r="G991" i="1"/>
  <c r="F992" i="1"/>
  <c r="G992" i="1"/>
  <c r="F993" i="1"/>
  <c r="G993" i="1"/>
  <c r="F994" i="1"/>
  <c r="G994" i="1"/>
  <c r="F995" i="1"/>
  <c r="G995" i="1"/>
  <c r="F996" i="1"/>
  <c r="G996" i="1"/>
  <c r="F997" i="1"/>
  <c r="G997" i="1"/>
  <c r="F998" i="1"/>
  <c r="G998" i="1"/>
  <c r="F999" i="1"/>
  <c r="G999" i="1"/>
  <c r="F1000" i="1"/>
  <c r="G1000" i="1"/>
  <c r="F1001" i="1"/>
  <c r="G1001" i="1"/>
  <c r="F1002" i="1"/>
  <c r="G1002" i="1"/>
  <c r="F1003" i="1"/>
  <c r="G1003" i="1"/>
  <c r="F1004" i="1"/>
  <c r="G1004" i="1"/>
  <c r="F1005" i="1"/>
  <c r="G1005" i="1"/>
  <c r="F1006" i="1"/>
  <c r="G1006" i="1"/>
  <c r="F1007" i="1"/>
  <c r="G1007" i="1"/>
  <c r="F1008" i="1"/>
  <c r="G1008" i="1"/>
  <c r="F1009" i="1"/>
  <c r="G1009" i="1"/>
  <c r="F1010" i="1"/>
  <c r="G1010" i="1"/>
  <c r="F1011" i="1"/>
  <c r="G1011" i="1"/>
  <c r="F1012" i="1"/>
  <c r="G1012" i="1"/>
  <c r="F1013" i="1"/>
  <c r="G1013" i="1"/>
  <c r="F1014" i="1"/>
  <c r="G1014" i="1"/>
  <c r="F1015" i="1"/>
  <c r="G1015" i="1"/>
  <c r="F1016" i="1"/>
  <c r="G1016" i="1"/>
  <c r="F1017" i="1"/>
  <c r="G1017" i="1"/>
  <c r="F1018" i="1"/>
  <c r="G1018" i="1"/>
  <c r="F1019" i="1"/>
  <c r="G1019" i="1"/>
  <c r="F1020" i="1"/>
  <c r="G1020" i="1"/>
  <c r="F1021" i="1"/>
  <c r="G1021" i="1"/>
  <c r="F1022" i="1"/>
  <c r="G1022" i="1"/>
  <c r="F1023" i="1"/>
  <c r="G1023" i="1"/>
  <c r="F1024" i="1"/>
  <c r="G1024" i="1"/>
  <c r="F1025" i="1"/>
  <c r="G1025" i="1"/>
  <c r="F1026" i="1"/>
  <c r="G1026" i="1"/>
  <c r="F1027" i="1"/>
  <c r="G1027" i="1"/>
  <c r="F1028" i="1"/>
  <c r="G1028" i="1"/>
  <c r="F1029" i="1"/>
  <c r="G1029" i="1"/>
  <c r="F1030" i="1"/>
  <c r="G1030" i="1"/>
  <c r="F1031" i="1"/>
  <c r="G1031" i="1"/>
  <c r="F1032" i="1"/>
  <c r="G1032" i="1"/>
  <c r="F1033" i="1"/>
  <c r="G1033" i="1"/>
  <c r="F1034" i="1"/>
  <c r="G1034" i="1"/>
  <c r="F1035" i="1"/>
  <c r="G1035" i="1"/>
  <c r="F1036" i="1"/>
  <c r="G1036" i="1"/>
  <c r="F1037" i="1"/>
  <c r="G1037" i="1"/>
  <c r="F1038" i="1"/>
  <c r="G1038" i="1"/>
  <c r="F1039" i="1"/>
  <c r="G1039" i="1"/>
  <c r="F1040" i="1"/>
  <c r="G1040" i="1"/>
  <c r="F1041" i="1"/>
  <c r="G1041" i="1"/>
  <c r="F1042" i="1"/>
  <c r="G1042" i="1"/>
  <c r="F1043" i="1"/>
  <c r="G1043" i="1"/>
  <c r="F1044" i="1"/>
  <c r="G1044" i="1"/>
  <c r="F1045" i="1"/>
  <c r="G1045" i="1"/>
  <c r="F1046" i="1"/>
  <c r="G1046" i="1"/>
  <c r="F1047" i="1"/>
  <c r="G1047" i="1"/>
  <c r="F1048" i="1"/>
  <c r="G1048" i="1"/>
  <c r="F1049" i="1"/>
  <c r="G1049" i="1"/>
  <c r="F1050" i="1"/>
  <c r="G1050" i="1"/>
  <c r="F1051" i="1"/>
  <c r="G1051" i="1"/>
  <c r="F1052" i="1"/>
  <c r="G1052" i="1"/>
  <c r="F1053" i="1"/>
  <c r="G1053" i="1"/>
  <c r="F1054" i="1"/>
  <c r="G1054" i="1"/>
  <c r="F1055" i="1"/>
  <c r="G1055" i="1"/>
  <c r="F1056" i="1"/>
  <c r="G1056" i="1"/>
  <c r="F1057" i="1"/>
  <c r="G1057" i="1"/>
  <c r="F1058" i="1"/>
  <c r="G1058" i="1"/>
  <c r="F1059" i="1"/>
  <c r="G1059" i="1"/>
  <c r="F1060" i="1"/>
  <c r="G1060" i="1"/>
  <c r="F1061" i="1"/>
  <c r="G1061" i="1"/>
  <c r="F1062" i="1"/>
  <c r="G1062" i="1"/>
  <c r="F1063" i="1"/>
  <c r="G1063" i="1"/>
  <c r="F1064" i="1"/>
  <c r="G1064" i="1"/>
  <c r="F1065" i="1"/>
  <c r="G1065" i="1"/>
  <c r="F1066" i="1"/>
  <c r="G1066" i="1"/>
  <c r="F1067" i="1"/>
  <c r="G1067" i="1"/>
  <c r="F1068" i="1"/>
  <c r="G1068" i="1"/>
  <c r="F1069" i="1"/>
  <c r="G1069" i="1"/>
  <c r="F1070" i="1"/>
  <c r="G1070" i="1"/>
  <c r="F1071" i="1"/>
  <c r="G1071" i="1"/>
  <c r="F1072" i="1"/>
  <c r="G1072" i="1"/>
  <c r="F1073" i="1"/>
  <c r="G1073" i="1"/>
  <c r="F1074" i="1"/>
  <c r="G1074" i="1"/>
  <c r="F1075" i="1"/>
  <c r="G1075" i="1"/>
  <c r="F1076" i="1"/>
  <c r="G1076" i="1"/>
  <c r="F1077" i="1"/>
  <c r="G1077" i="1"/>
  <c r="F1078" i="1"/>
  <c r="G1078" i="1"/>
  <c r="F1079" i="1"/>
  <c r="G1079" i="1"/>
  <c r="F1080" i="1"/>
  <c r="G1080" i="1"/>
  <c r="F1081" i="1"/>
  <c r="G1081" i="1"/>
  <c r="F1082" i="1"/>
  <c r="G1082" i="1"/>
  <c r="F1083" i="1"/>
  <c r="G1083" i="1"/>
  <c r="F1084" i="1"/>
  <c r="G1084" i="1"/>
  <c r="F1085" i="1"/>
  <c r="G1085" i="1"/>
  <c r="F1086" i="1"/>
  <c r="G1086" i="1"/>
  <c r="F1087" i="1"/>
  <c r="G1087" i="1"/>
  <c r="F1088" i="1"/>
  <c r="G1088" i="1"/>
  <c r="F1089" i="1"/>
  <c r="G1089" i="1"/>
  <c r="F1090" i="1"/>
  <c r="G1090" i="1"/>
  <c r="F1091" i="1"/>
  <c r="G1091" i="1"/>
  <c r="F1092" i="1"/>
  <c r="G1092" i="1"/>
  <c r="F1093" i="1"/>
  <c r="G1093" i="1"/>
  <c r="F1094" i="1"/>
  <c r="G1094" i="1"/>
  <c r="F1095" i="1"/>
  <c r="G1095" i="1"/>
  <c r="F1096" i="1"/>
  <c r="G1096" i="1"/>
  <c r="F1097" i="1"/>
  <c r="G1097" i="1"/>
  <c r="F1098" i="1"/>
  <c r="G1098" i="1"/>
  <c r="F1099" i="1"/>
  <c r="G1099" i="1"/>
  <c r="F1100" i="1"/>
  <c r="G1100" i="1"/>
  <c r="F1101" i="1"/>
  <c r="G1101" i="1"/>
  <c r="F1102" i="1"/>
  <c r="G1102" i="1"/>
  <c r="F1103" i="1"/>
  <c r="G1103" i="1"/>
  <c r="F1104" i="1"/>
  <c r="G1104" i="1"/>
  <c r="F1105" i="1"/>
  <c r="G1105" i="1"/>
  <c r="F1106" i="1"/>
  <c r="G1106" i="1"/>
  <c r="F1107" i="1"/>
  <c r="G1107" i="1"/>
  <c r="F1108" i="1"/>
  <c r="G1108" i="1"/>
  <c r="F1109" i="1"/>
  <c r="G1109" i="1"/>
  <c r="F1110" i="1"/>
  <c r="G1110" i="1"/>
  <c r="F1111" i="1"/>
  <c r="G1111" i="1"/>
  <c r="F1112" i="1"/>
  <c r="G1112" i="1"/>
  <c r="F1113" i="1"/>
  <c r="G1113" i="1"/>
  <c r="F1114" i="1"/>
  <c r="G1114" i="1"/>
  <c r="F1115" i="1"/>
  <c r="G1115" i="1"/>
  <c r="F1116" i="1"/>
  <c r="G1116" i="1"/>
  <c r="F1117" i="1"/>
  <c r="G1117" i="1"/>
  <c r="F1118" i="1"/>
  <c r="G1118" i="1"/>
  <c r="F1119" i="1"/>
  <c r="G1119" i="1"/>
  <c r="F1120" i="1"/>
  <c r="G1120" i="1"/>
  <c r="F1121" i="1"/>
  <c r="G1121" i="1"/>
  <c r="F1122" i="1"/>
  <c r="G1122" i="1"/>
  <c r="F1123" i="1"/>
  <c r="G1123" i="1"/>
  <c r="F1124" i="1"/>
  <c r="G1124" i="1"/>
  <c r="F1125" i="1"/>
  <c r="G1125" i="1"/>
  <c r="F1126" i="1"/>
  <c r="G1126" i="1"/>
  <c r="F1127" i="1"/>
  <c r="G1127" i="1"/>
  <c r="F1128" i="1"/>
  <c r="G1128" i="1"/>
  <c r="F1129" i="1"/>
  <c r="G1129" i="1"/>
  <c r="F1130" i="1"/>
  <c r="G1130" i="1"/>
  <c r="F1131" i="1"/>
  <c r="G1131" i="1"/>
  <c r="F1132" i="1"/>
  <c r="G1132" i="1"/>
  <c r="F1133" i="1"/>
  <c r="G1133" i="1"/>
  <c r="F1134" i="1"/>
  <c r="G1134" i="1"/>
  <c r="F1135" i="1"/>
  <c r="G1135" i="1"/>
  <c r="F1136" i="1"/>
  <c r="G1136" i="1"/>
  <c r="F1137" i="1"/>
  <c r="G1137" i="1"/>
  <c r="F1138" i="1"/>
  <c r="G1138" i="1"/>
  <c r="F1139" i="1"/>
  <c r="G1139" i="1"/>
  <c r="F1140" i="1"/>
  <c r="G1140" i="1"/>
  <c r="F1141" i="1"/>
  <c r="G1141" i="1"/>
  <c r="F1142" i="1"/>
  <c r="G1142" i="1"/>
  <c r="F1143" i="1"/>
  <c r="G1143" i="1"/>
  <c r="F1144" i="1"/>
  <c r="G1144" i="1"/>
  <c r="F1145" i="1"/>
  <c r="G1145" i="1"/>
  <c r="F1146" i="1"/>
  <c r="G1146" i="1"/>
  <c r="F1147" i="1"/>
  <c r="G1147" i="1"/>
  <c r="F1148" i="1"/>
  <c r="G1148" i="1"/>
  <c r="F1149" i="1"/>
  <c r="G1149" i="1"/>
  <c r="F1150" i="1"/>
  <c r="G1150" i="1"/>
  <c r="F1151" i="1"/>
  <c r="G1151" i="1"/>
  <c r="F1152" i="1"/>
  <c r="G1152" i="1"/>
  <c r="F1153" i="1"/>
  <c r="G1153" i="1"/>
  <c r="F1154" i="1"/>
  <c r="G1154" i="1"/>
  <c r="F1155" i="1"/>
  <c r="G1155" i="1"/>
  <c r="F1156" i="1"/>
  <c r="G1156" i="1"/>
  <c r="F1157" i="1"/>
  <c r="G1157" i="1"/>
  <c r="F1158" i="1"/>
  <c r="G1158" i="1"/>
  <c r="F1159" i="1"/>
  <c r="G1159" i="1"/>
  <c r="F1160" i="1"/>
  <c r="G1160" i="1"/>
  <c r="F1161" i="1"/>
  <c r="G1161" i="1"/>
  <c r="F1162" i="1"/>
  <c r="G1162" i="1"/>
  <c r="F1163" i="1"/>
  <c r="G1163" i="1"/>
  <c r="F1164" i="1"/>
  <c r="G1164" i="1"/>
  <c r="F1165" i="1"/>
  <c r="G1165" i="1"/>
  <c r="F1166" i="1"/>
  <c r="G1166" i="1"/>
  <c r="F1167" i="1"/>
  <c r="G1167" i="1"/>
  <c r="F1168" i="1"/>
  <c r="G1168" i="1"/>
  <c r="F1169" i="1"/>
  <c r="G1169" i="1"/>
  <c r="F1170" i="1"/>
  <c r="G1170" i="1"/>
  <c r="F1171" i="1"/>
  <c r="G1171" i="1"/>
  <c r="F1172" i="1"/>
  <c r="G1172" i="1"/>
  <c r="F1173" i="1"/>
  <c r="G1173" i="1"/>
  <c r="F1174" i="1"/>
  <c r="G1174" i="1"/>
  <c r="F1175" i="1"/>
  <c r="G1175" i="1"/>
  <c r="F1176" i="1"/>
  <c r="G1176" i="1"/>
  <c r="F1177" i="1"/>
  <c r="G1177" i="1"/>
  <c r="F1178" i="1"/>
  <c r="G1178" i="1"/>
  <c r="F1179" i="1"/>
  <c r="G1179" i="1"/>
  <c r="F1180" i="1"/>
  <c r="G1180" i="1"/>
  <c r="F1181" i="1"/>
  <c r="G1181" i="1"/>
  <c r="F1182" i="1"/>
  <c r="G1182" i="1"/>
  <c r="F1183" i="1"/>
  <c r="G1183" i="1"/>
  <c r="F1184" i="1"/>
  <c r="G1184" i="1"/>
  <c r="F1185" i="1"/>
  <c r="G1185" i="1"/>
  <c r="F1186" i="1"/>
  <c r="G1186" i="1"/>
  <c r="F1187" i="1"/>
  <c r="G1187" i="1"/>
  <c r="F1188" i="1"/>
  <c r="G1188" i="1"/>
  <c r="F1189" i="1"/>
  <c r="G1189" i="1"/>
  <c r="F1190" i="1"/>
  <c r="G1190" i="1"/>
  <c r="F1191" i="1"/>
  <c r="G1191" i="1"/>
  <c r="F1192" i="1"/>
  <c r="G1192" i="1"/>
  <c r="F1193" i="1"/>
  <c r="G1193" i="1"/>
  <c r="F1194" i="1"/>
  <c r="G1194" i="1"/>
  <c r="F1195" i="1"/>
  <c r="G1195" i="1"/>
  <c r="F1196" i="1"/>
  <c r="G1196" i="1"/>
  <c r="F1197" i="1"/>
  <c r="G1197" i="1"/>
  <c r="F1198" i="1"/>
  <c r="G1198" i="1"/>
  <c r="F1199" i="1"/>
  <c r="G1199" i="1"/>
  <c r="F1200" i="1"/>
  <c r="G1200" i="1"/>
  <c r="F1201" i="1"/>
  <c r="G1201" i="1"/>
  <c r="F1202" i="1"/>
  <c r="G1202" i="1"/>
  <c r="F1203" i="1"/>
  <c r="G1203" i="1"/>
  <c r="F1204" i="1"/>
  <c r="G1204" i="1"/>
  <c r="F1205" i="1"/>
  <c r="G1205" i="1"/>
  <c r="F1206" i="1"/>
  <c r="G1206" i="1"/>
  <c r="F1207" i="1"/>
  <c r="G1207" i="1"/>
  <c r="F1208" i="1"/>
  <c r="G1208" i="1"/>
  <c r="F1209" i="1"/>
  <c r="G1209" i="1"/>
  <c r="F1210" i="1"/>
  <c r="G1210" i="1"/>
  <c r="F1211" i="1"/>
  <c r="G1211" i="1"/>
  <c r="F1212" i="1"/>
  <c r="G1212" i="1"/>
  <c r="F1213" i="1"/>
  <c r="G1213" i="1"/>
  <c r="F1214" i="1"/>
  <c r="G1214" i="1"/>
  <c r="F1215" i="1"/>
  <c r="G1215" i="1"/>
  <c r="F1216" i="1"/>
  <c r="G1216" i="1"/>
  <c r="F1217" i="1"/>
  <c r="G1217" i="1"/>
  <c r="F1218" i="1"/>
  <c r="G1218" i="1"/>
  <c r="F1219" i="1"/>
  <c r="G1219" i="1"/>
  <c r="F1220" i="1"/>
  <c r="G1220" i="1"/>
  <c r="F1221" i="1"/>
  <c r="G1221" i="1"/>
  <c r="F1222" i="1"/>
  <c r="G1222" i="1"/>
  <c r="F1223" i="1"/>
  <c r="G1223" i="1"/>
  <c r="F1224" i="1"/>
  <c r="G1224" i="1"/>
  <c r="F1225" i="1"/>
  <c r="G1225" i="1"/>
  <c r="F1226" i="1"/>
  <c r="G1226" i="1"/>
  <c r="F1227" i="1"/>
  <c r="G1227" i="1"/>
  <c r="F1228" i="1"/>
  <c r="G1228" i="1"/>
  <c r="F1229" i="1"/>
  <c r="G1229" i="1"/>
  <c r="F1230" i="1"/>
  <c r="G1230" i="1"/>
  <c r="F1231" i="1"/>
  <c r="G1231" i="1"/>
  <c r="F1232" i="1"/>
  <c r="G1232" i="1"/>
  <c r="F1233" i="1"/>
  <c r="G1233" i="1"/>
  <c r="F1234" i="1"/>
  <c r="G1234" i="1"/>
</calcChain>
</file>

<file path=xl/sharedStrings.xml><?xml version="1.0" encoding="utf-8"?>
<sst xmlns="http://schemas.openxmlformats.org/spreadsheetml/2006/main" count="3600" uniqueCount="3503">
  <si>
    <t>Зонт вытяжной вентиляционный размерами 3200х2200мм с устройством для сбора 
жировых отложений</t>
  </si>
  <si>
    <t xml:space="preserve">Зонт вытяжной вентиляционный </t>
  </si>
  <si>
    <t>т9</t>
  </si>
  <si>
    <t>Зонт вытяжной вентиляционный размерами 1200х1200мм с устройством для сбора 
жировых отложений</t>
  </si>
  <si>
    <t>т8</t>
  </si>
  <si>
    <t>Зонт вытяжной вентиляционный размерами 1200х700мм с устройством для сбора жировых отложений</t>
  </si>
  <si>
    <t>Зонт вытяжной вентиляционный</t>
  </si>
  <si>
    <t>т7</t>
  </si>
  <si>
    <t>МФУ HP Color Laser 178nw, A4, print 600x600dpi, 18ppm, scan 600x600dpi, LCD, USB, LAN, Wi-Fi</t>
  </si>
  <si>
    <t>МФУ цветной</t>
  </si>
  <si>
    <t>т68</t>
  </si>
  <si>
    <t>Мышь HP 125 Wired Mouse</t>
  </si>
  <si>
    <t>Компьютерная мышь</t>
  </si>
  <si>
    <t>т67</t>
  </si>
  <si>
    <t>Телевизор SONY с функцией Smart TV, диагональ 65 дюймов. Разрешение 3840 x 2160 (Ultra HD)</t>
  </si>
  <si>
    <t>Коммерческий телевизор - 65UN640S, 65 дюймов типа LG</t>
  </si>
  <si>
    <t>Телевизор 65"</t>
  </si>
  <si>
    <t>т66</t>
  </si>
  <si>
    <t>Кабель USB 2.0 Type. Длина: 3 м.</t>
  </si>
  <si>
    <t>Кабель USB</t>
  </si>
  <si>
    <t>т65</t>
  </si>
  <si>
    <t>Кабель HDMI-HDMI. Длина: 5м.</t>
  </si>
  <si>
    <t>Кабель HDMI-HDMI</t>
  </si>
  <si>
    <t>т64</t>
  </si>
  <si>
    <t>Источник бесперебойного питания UPS SVC V2000-L, 2000VA, 1200W, 2x12v/9 Ah, AVR 175-275V, 2 розет.	Техника	шт.	1	119 000,00	119 000,00			71 346</t>
  </si>
  <si>
    <t>Источник бесперебойного питания UPS SVC V2000-L, 2000VA, 1200W, 2x12v/9 Ah, AVR 175-275V, 2 розет.	Техника	шт.	1	119 000,00	119 000,00			71 345</t>
  </si>
  <si>
    <t>Источник бесперебойного питания UPS SVC V2000-L, 2000VA, 1200W, 2x12v/9 Ah, AVR 175-275V, 2 розет.	Техника	шт.	1	119 000,00	119 000,00			71 344</t>
  </si>
  <si>
    <t>Источник бесперебойного питания UPS SVC V2000-L, 2000VA, 1200W, 2x12v/9 Ah, AVR 175-275V, 2 розет.	Техника	шт.	1	119 000,00	119 000,00			71 343</t>
  </si>
  <si>
    <t>Источник бесперебойного питания UPS SVC V2000-L, 2000VA, 1200W, 2x12v/9 Ah, AVR 175-275V, 2 розет.	Техника	шт.	1	119 000,00	119 000,00			71 342</t>
  </si>
  <si>
    <t>Источник бесперебойного питания UPS SVC V2000-L, 2000VA, 1200W, 2x12v/9 Ah, AVR 175-275V, 2 розет.	Техника	шт.	1	119 000,00	119 000,00			71 341</t>
  </si>
  <si>
    <t>Источник бесперебойного питания UPS SVC V2000-L, 2000VA, 1200W, 2x12v/9 Ah, AVR 175-275V, 2 розет.	Техника	шт.	1	119 000,00	119 000,00			71 340</t>
  </si>
  <si>
    <t>Источник бесперебойного питания UPS SVC V2000-L, 2000VA, 1200W, 2x12v/9 Ah, AVR 175-275V, 2 розет.	Техника	шт.	1	119 000,00	119 000,00			71 339</t>
  </si>
  <si>
    <t>Источник бесперебойного питания</t>
  </si>
  <si>
    <t>т63</t>
  </si>
  <si>
    <t>Система принудительной вытяжной вентиляции для обеспечения воздухообмена и поддержания комфортного микроклимата в помещении.</t>
  </si>
  <si>
    <t>Вентиляция вытяжная</t>
  </si>
  <si>
    <t>т6</t>
  </si>
  <si>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</si>
  <si>
    <t>LED экран</t>
  </si>
  <si>
    <t>т57</t>
  </si>
  <si>
    <t>Janome, автомат, электромеханическая, количество швейных операций
22, контроль натяжения нитей, тип челнока вертикальный</t>
  </si>
  <si>
    <t>Швейная машинка</t>
  </si>
  <si>
    <t>т56</t>
  </si>
  <si>
    <t>Температура: -2/+8 С; Мощность: 0,3 кВт; 230В 1+Н 50/60Гц; Габариты: 656x811x2050 мм</t>
  </si>
  <si>
    <t>Холодильный шкаф 1 дверь vsp-1</t>
  </si>
  <si>
    <t>т54</t>
  </si>
  <si>
    <t>Температура: -2/+8 С; Мощность: 0,39 кВт; 230В 1+Н 50/60Гц; Габариты: 1820x700x850 мм</t>
  </si>
  <si>
    <t>Холодильный стол vsy-3</t>
  </si>
  <si>
    <t>т53</t>
  </si>
  <si>
    <t>Температура: -2/+8; 0,3 кВт/230 В 1+Н  50/60 Гц; Габариты: 1340х700х850 мм</t>
  </si>
  <si>
    <t>Холодильный стол vsy-2</t>
  </si>
  <si>
    <t>т52</t>
  </si>
  <si>
    <t>Компактная тепловая завеса</t>
  </si>
  <si>
    <t>Тепловая завеса</t>
  </si>
  <si>
    <t>т500</t>
  </si>
  <si>
    <t>Холодильная камера 4190x3000x2400</t>
  </si>
  <si>
    <t>т50</t>
  </si>
  <si>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</si>
  <si>
    <t>Беспроводная микрофонная система для музыкального зала</t>
  </si>
  <si>
    <t>т5</t>
  </si>
  <si>
    <t>Решетчатая система; 220 В / 50 Гц с 2 короткими лампами по 20 Вт; Потребляет 0,04 кВт электроэнергии на 40 Вт; Площадь воздействия 40 м2; Размеры: 700 x 215 x 390 мм.</t>
  </si>
  <si>
    <t>Уничтожитель насекомых kp 40</t>
  </si>
  <si>
    <t>т49</t>
  </si>
  <si>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</si>
  <si>
    <t>Уничтожитель документов</t>
  </si>
  <si>
    <t>т48</t>
  </si>
  <si>
    <t>Увлажнитель воздуха Redmond RHF-3316</t>
  </si>
  <si>
    <t>Увлажнитель воздуха</t>
  </si>
  <si>
    <t>т47</t>
  </si>
  <si>
    <t>Вместимость (мука+вода): 25 кг + 20 л; Котел: o600x290 мм; Размеры: 70x100x104 см; 380 В (Трехфазный); Мощность: 1.1 кВт</t>
  </si>
  <si>
    <t>Тестомес hym 600t</t>
  </si>
  <si>
    <t>т46</t>
  </si>
  <si>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</si>
  <si>
    <t>Сушильно-гладильная машина i33 200</t>
  </si>
  <si>
    <t>т43</t>
  </si>
  <si>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</si>
  <si>
    <t>Сушильная машина t 24</t>
  </si>
  <si>
    <t>т42</t>
  </si>
  <si>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</si>
  <si>
    <t>Стиральная машина fx 240</t>
  </si>
  <si>
    <t>т41</t>
  </si>
  <si>
    <t>Стиральная машина + сушильная машина qps10</t>
  </si>
  <si>
    <t>т40</t>
  </si>
  <si>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</si>
  <si>
    <t>Беговая дорожка электрическая</t>
  </si>
  <si>
    <t>т4</t>
  </si>
  <si>
    <t>Вместимость: 10 ножей; 0,02 кВт / 230 В; Ультрафиолет; Таймер 0-90 мин; Размеры: 500x117x600мм</t>
  </si>
  <si>
    <t>Стерилизатор ножей vbs-10</t>
  </si>
  <si>
    <t>т39</t>
  </si>
  <si>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</si>
  <si>
    <t>Слайсер jp.gd.250</t>
  </si>
  <si>
    <t>т38</t>
  </si>
  <si>
    <t>Температура: 50-230 C; Объем: 50 л;  Мощность: 7.2 кВт; Напряжение: 400 V; Габариты: 700x800x850 мм</t>
  </si>
  <si>
    <t>Сковорода опрокидываемая электрическая vpe7-22</t>
  </si>
  <si>
    <t>т37</t>
  </si>
  <si>
    <t>Сетевой фильтр Trip-Lite Super 6 DEU, 6 розеток, 5м</t>
  </si>
  <si>
    <t>Сетевой фильтр 5 м.</t>
  </si>
  <si>
    <t>т36</t>
  </si>
  <si>
    <t>ОБЛУЧАТЕЛЬ-РЕЦИРКУЛЯТОР БАКТЕРИЦИДНЫЙ (2х15 ВТ) 825х155х130мм, без подставки, Масса без упаковки, кг: 7</t>
  </si>
  <si>
    <t xml:space="preserve">Рециркулятор </t>
  </si>
  <si>
    <t>т34</t>
  </si>
  <si>
    <t>Пылесос индустриальный</t>
  </si>
  <si>
    <t>Пылесос</t>
  </si>
  <si>
    <t>т33</t>
  </si>
  <si>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</si>
  <si>
    <t>Посудомоечная машина купольная wz-100-d</t>
  </si>
  <si>
    <t>т32</t>
  </si>
  <si>
    <t>6 конфорок; 0,84 м3; Мощность: 15,6 кВт-400 В; Габариты: 1200х700х300 мм</t>
  </si>
  <si>
    <t>Плита электрическая vpe7-07</t>
  </si>
  <si>
    <t>т31</t>
  </si>
  <si>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</si>
  <si>
    <t>Пароконвектомат электрический 217839</t>
  </si>
  <si>
    <t>т30</t>
  </si>
  <si>
    <t>Ручная подача воды; Объем: 1,8 л; 230-1-50 Гц; Размеры: 400x230x320 мм</t>
  </si>
  <si>
    <t>Парогенератор с утюгом baby 1.8</t>
  </si>
  <si>
    <t>т29</t>
  </si>
  <si>
    <t xml:space="preserve">Очиститель воздуха Smartmi Air Purifier P2 </t>
  </si>
  <si>
    <t>Очиститель воздуха</t>
  </si>
  <si>
    <t>т28</t>
  </si>
  <si>
    <t>Нержавеющая сталь 430; 0.03 кВт;  Параметры: 880x30x40 mm</t>
  </si>
  <si>
    <t>Освещение для вытяжки ce-dla90</t>
  </si>
  <si>
    <t>т27</t>
  </si>
  <si>
    <t>Ноутбук ASUS B1502CVA, Core i7 1355U/15,6"FHD/8GB/256GB SSD/Intel UHD/WL/BT/Cam/W11Pro</t>
  </si>
  <si>
    <t>Ноутбук</t>
  </si>
  <si>
    <t>т26</t>
  </si>
  <si>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</si>
  <si>
    <t>Наушники накладные</t>
  </si>
  <si>
    <t>т25</t>
  </si>
  <si>
    <t>Хромированный; No:22; Вместимость: 400кг; 380 В; Мощность: 1.1 kW; Размеры:36x78x52 см</t>
  </si>
  <si>
    <t>Мясорубка epa 22t</t>
  </si>
  <si>
    <t>т24</t>
  </si>
  <si>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</si>
  <si>
    <t>Музыкальный центр (портативная акустическая система)</t>
  </si>
  <si>
    <t>т23</t>
  </si>
  <si>
    <t>Моноблок Avtech G40, Intel® Core™ i3-10100 частота 3.60-4,30 GHz 4 ядра 8 потоков, Intel HD Graphics 630, ОЗУ DDR4 8G, ПЗУ SSD 256G, Windows 10/11</t>
  </si>
  <si>
    <t xml:space="preserve">Моноблок </t>
  </si>
  <si>
    <t>т22</t>
  </si>
  <si>
    <t>МФУ Epson M2110, A4, 15 ppm,1440 x 720 dpi, USB, LAN, tray 154</t>
  </si>
  <si>
    <t>МФУ Epson M2110, A4, 15 ppm,1440 x 720 dpi, USB, LAN, tray 153</t>
  </si>
  <si>
    <t>МФУ Epson M2110, A4, 15 ppm,1440 x 720 dpi, USB, LAN, tray 152</t>
  </si>
  <si>
    <t>МФУ Epson M2110, A4, 15 ppm,1440 x 720 dpi, USB, LAN, tray 151</t>
  </si>
  <si>
    <t>МФУ Epson M2110, A4, 15 ppm,1440 x 720 dpi, USB, LAN, tray 150</t>
  </si>
  <si>
    <t>МФУ</t>
  </si>
  <si>
    <t>т21</t>
  </si>
  <si>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</si>
  <si>
    <t>Микшерный пульт для управления звуковыми источниками</t>
  </si>
  <si>
    <t>т20</t>
  </si>
  <si>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</si>
  <si>
    <t>Акустическая система для музыкального зала</t>
  </si>
  <si>
    <t>т2</t>
  </si>
  <si>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</si>
  <si>
    <t>Микроволновая печь</t>
  </si>
  <si>
    <t>т19</t>
  </si>
  <si>
    <t>Вместимость: 300 кг/час; Настольный; 5 ножей; 220 В; Мощность: 0.37 кВт; Размеры: 27x88x108 см</t>
  </si>
  <si>
    <t>Машина для резки овощей seb 210m</t>
  </si>
  <si>
    <t>т18</t>
  </si>
  <si>
    <t xml:space="preserve">Мобильная стойка для интерактивной панели на колёсах. Диагональ экрана 75 дюймов. </t>
  </si>
  <si>
    <t>Мобильная стойка</t>
  </si>
  <si>
    <t>т170</t>
  </si>
  <si>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</si>
  <si>
    <t>Ламинатор</t>
  </si>
  <si>
    <t>т17</t>
  </si>
  <si>
    <t>Кулер для воды SVC Aqua 1</t>
  </si>
  <si>
    <t>Кулер</t>
  </si>
  <si>
    <t>т16</t>
  </si>
  <si>
    <t>Объем: 80 л; 0,55 м3/15 кВт-400 В; Размеры: 700X800X850 мм</t>
  </si>
  <si>
    <t>Котел варочный электрический vpe7-23</t>
  </si>
  <si>
    <t>т15</t>
  </si>
  <si>
    <t>Вместимость: 5-10 кг; Пластиковый редуктор; 380 В; Мощность: 0.55 кВт; Размеры: 48x76x102 см</t>
  </si>
  <si>
    <t>Картофелечистка pat 650t</t>
  </si>
  <si>
    <t>т14</t>
  </si>
  <si>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</si>
  <si>
    <t>Интерактивная панель 75 дюймов</t>
  </si>
  <si>
    <t>т13</t>
  </si>
  <si>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</si>
  <si>
    <t>Гладильный стол складной omega</t>
  </si>
  <si>
    <t>т12</t>
  </si>
  <si>
    <t>Гарнитура А4Tech HU-35</t>
  </si>
  <si>
    <t>Гарнитура</t>
  </si>
  <si>
    <t>т11</t>
  </si>
  <si>
    <t>Microlab M-106, 10Вт (2,5Вт*2+5Вт), выход 2RCA, вход 3.5 MiniJack</t>
  </si>
  <si>
    <t>Акустическая система</t>
  </si>
  <si>
    <t>т1</t>
  </si>
  <si>
    <t>Нержавеющая сталь AISI 430; С одной  раковиной без полки; Мойка: 50x40x25 см; Параметры: 1000x750x850 мм</t>
  </si>
  <si>
    <t>Стол подачи посудомойки ce-tbg100x75</t>
  </si>
  <si>
    <t>м99</t>
  </si>
  <si>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</si>
  <si>
    <t>Стол обеденный</t>
  </si>
  <si>
    <t>м97</t>
  </si>
  <si>
    <t>Нержавеющая сталь AISI 430; С полкой и 4 колесами; Параметры: 1800x700x850 мм</t>
  </si>
  <si>
    <t>Стол на роликах ce-tch180x70</t>
  </si>
  <si>
    <t>м96</t>
  </si>
  <si>
    <t>Нержавеющая сталь AISI 430; С полкой и 4 колесами; Параметры: 1200x600x850 ммй</t>
  </si>
  <si>
    <t>Стол на роликах ce-tch120x60</t>
  </si>
  <si>
    <t>м95</t>
  </si>
  <si>
    <t>Стол используется для размещения медицинских инструментов и расходных материалов. (600х400х860 мм)</t>
  </si>
  <si>
    <t>Стол инструментальный</t>
  </si>
  <si>
    <t>м94</t>
  </si>
  <si>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</si>
  <si>
    <t>Стол для экспериментирования с песком и водой</t>
  </si>
  <si>
    <t>м93</t>
  </si>
  <si>
    <t>Нержавеющая сталь AISI 430; Раковина для мытья и сушки, c полиэтиленовой доской для резки; Параметры: 1200x700x850 мм</t>
  </si>
  <si>
    <t>Стол для обработки рыбы ce-tbh120x70</t>
  </si>
  <si>
    <t>м91</t>
  </si>
  <si>
    <t>Нержавеющая сталь AISI 430; Раковина
для мытья и сушки; Параметры:
1200x700x850 мм</t>
  </si>
  <si>
    <t>Стол для мытья овощей ce-tsy120x70</t>
  </si>
  <si>
    <t>м90</t>
  </si>
  <si>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</si>
  <si>
    <t>Зеркало акриловое настенное</t>
  </si>
  <si>
    <t>м9</t>
  </si>
  <si>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</si>
  <si>
    <t>Стол для мытья овощей с отверстием для отходов ce-tys120x80sd</t>
  </si>
  <si>
    <t>м89</t>
  </si>
  <si>
    <t>Размеры: 1500×600×750 мм.Тумба предназначена для хранения бумаги, документации и методических материалов. Оснащена выдвижными ящиками</t>
  </si>
  <si>
    <t>Стол для кабинета</t>
  </si>
  <si>
    <t>м88</t>
  </si>
  <si>
    <t>Нержавеющая сталь AISI 430; С воронкой для отходов, без полки; Параметры: 1000x700x850 мм</t>
  </si>
  <si>
    <t>Стол для грязной посуды ce-tbs100x75</t>
  </si>
  <si>
    <t>м87</t>
  </si>
  <si>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</si>
  <si>
    <t>Стол детский</t>
  </si>
  <si>
    <t>м86</t>
  </si>
  <si>
    <t>Нержавеющая сталь 430; Толщина полиэтилена: 4 см; Без полки, с бортиком; Параметры: 1800x700x850 мм</t>
  </si>
  <si>
    <t>Стол верх пэ ce-tcp180x70</t>
  </si>
  <si>
    <t>м85</t>
  </si>
  <si>
    <t>Нержавеющая сталь AISI 430; С одной полкой и бортиком; Параметры: 1800x700x850 мм</t>
  </si>
  <si>
    <t>Стол 1 полка ce-tc1180x70</t>
  </si>
  <si>
    <t>м84</t>
  </si>
  <si>
    <t>Нержавеющая сталь AISI 430; С одной полкой и бортиком; Параметры: 1500x700x850 мм</t>
  </si>
  <si>
    <t>Стол 1 полка ce-tc1150x70</t>
  </si>
  <si>
    <t>м83</t>
  </si>
  <si>
    <t>Нержавеющая сталь AISI 430; С одной полкой и бортиком; Параметры: 1400x700x850 мм</t>
  </si>
  <si>
    <t>Стол 1 полка ce-tc1140x70</t>
  </si>
  <si>
    <t>м82</t>
  </si>
  <si>
    <t>Нержавеющая сталь 430; С одной полкой и бортиком; Параметры: 1300x700x850 мм</t>
  </si>
  <si>
    <t>Стол 1 полка ce-tc1130x70</t>
  </si>
  <si>
    <t>м81</t>
  </si>
  <si>
    <t>Нержавеющая сталь AISI 430; С одной полкой и бортиком; Параметры: 1200x700x850 мм</t>
  </si>
  <si>
    <t>Стол 1 полка ce-tc1120x70</t>
  </si>
  <si>
    <t>м80</t>
  </si>
  <si>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</si>
  <si>
    <t>Диван прямой нераскладной</t>
  </si>
  <si>
    <t>м8</t>
  </si>
  <si>
    <t>Нержавеющая сталь 430; С одной полкой и бортиком; Параметры: 1100x700x850 мм</t>
  </si>
  <si>
    <t>Стол 1 полка ce-tc1110x70</t>
  </si>
  <si>
    <t>м79</t>
  </si>
  <si>
    <t>Нержавеющая сталь 430; С одной полкой и  бортиком; Параметры: 1000x700x850 мм</t>
  </si>
  <si>
    <t>Стол 1 полка ce-tc1100x70</t>
  </si>
  <si>
    <t>м78</t>
  </si>
  <si>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</si>
  <si>
    <t>Стол</t>
  </si>
  <si>
    <t>м77</t>
  </si>
  <si>
    <t>Подставка для размещения комнатных растений. Предназначена для организации зелёных зон в помещении, устойчивая и безопасная в использовании.</t>
  </si>
  <si>
    <t>Стойка для цветов</t>
  </si>
  <si>
    <t>м76</t>
  </si>
  <si>
    <t>Стенд предназначен для демонстрации детских поделок и творческих работ. Размер 1550×740 мм, используется в групповых помещениях и коридорах ДОУ.</t>
  </si>
  <si>
    <t>Стенд для поделок</t>
  </si>
  <si>
    <t>м75</t>
  </si>
  <si>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</si>
  <si>
    <t>Стеллаж-полка «Ёлка»</t>
  </si>
  <si>
    <t>м74</t>
  </si>
  <si>
    <t>Нержавеющая сталь 430; С 4 сплошными полками; Размеры: 1800x500x1800 мм</t>
  </si>
  <si>
    <t>Стеллаж ce-ir180x50x180</t>
  </si>
  <si>
    <t>м73</t>
  </si>
  <si>
    <t>Нержавеющая сталь 430; С 4 сплошными полками; Размеры: 1700x500x1800 мм</t>
  </si>
  <si>
    <t>Стеллаж ce-ir170x50x180</t>
  </si>
  <si>
    <t>м72</t>
  </si>
  <si>
    <t>Нержавеющая сталь 430; С 4 сплошными полками; Размеры: 1400x500x1800 мм</t>
  </si>
  <si>
    <t>Стеллаж ce-ir140x50x180</t>
  </si>
  <si>
    <t>м71</t>
  </si>
  <si>
    <t>Нержавеющая сталь 430; С 4 сплошными полками; Размеры: 1300x400x1800 мм</t>
  </si>
  <si>
    <t>Стеллаж ce-ir130x40x180</t>
  </si>
  <si>
    <t>м70</t>
  </si>
  <si>
    <t>Нержавеющая сталь 430; С 4 сплошными полками; Размеры: 1200x500x1800 мм</t>
  </si>
  <si>
    <t>Стеллаж ce-ir120x50x180</t>
  </si>
  <si>
    <t>м69</t>
  </si>
  <si>
    <t>Нержавеющая сталь 430; С 4 сплошными полками; Размеры: 1200x400x1800 мм</t>
  </si>
  <si>
    <t>Стеллаж ce-ir120x40x180</t>
  </si>
  <si>
    <t>м68</t>
  </si>
  <si>
    <t>Металлический стеллаж предназначен для хранения инвентаря и материалов. Отличается прочностью, устойчивостью и долговечностью. Размеры 2500х1000х600</t>
  </si>
  <si>
    <t>Стеллаж металлический</t>
  </si>
  <si>
    <t>м67</t>
  </si>
  <si>
    <t>Размеры: Ширина 1000 мм, глубина 300 мм, высота 1280 мм</t>
  </si>
  <si>
    <t>Стеллаж для дидактических материалов</t>
  </si>
  <si>
    <t>м64</t>
  </si>
  <si>
    <t xml:space="preserve">Закрытый стеллаж. Есть 4 секции с закрывающимися дверцами и 2 выдвижных ящика. Размер: 730х434х1148 мм. (ШхГхВ)
</t>
  </si>
  <si>
    <t>Стеллаж детский игровой с выкатными ящиками</t>
  </si>
  <si>
    <t>м63</t>
  </si>
  <si>
    <t>Стеллаж. Размеры 900×340×700 мм</t>
  </si>
  <si>
    <t>Стеллаж (открытый)</t>
  </si>
  <si>
    <t>м62</t>
  </si>
  <si>
    <t>Нержавеющая сталь 430; 2-х уровневая;Размеры: 1800x400x700 мм</t>
  </si>
  <si>
    <t>Сервисная полка двухуровневая ce-sr2180x40</t>
  </si>
  <si>
    <t>м61</t>
  </si>
  <si>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</si>
  <si>
    <t>Пуфик-кресло с гранулами разных размеров</t>
  </si>
  <si>
    <t>м57</t>
  </si>
  <si>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</si>
  <si>
    <t>Пуф-мешок напольный для зоны отдыха и чтения</t>
  </si>
  <si>
    <t>м56</t>
  </si>
  <si>
    <t xml:space="preserve">Нержавеющая сталь 430; Одинарная; Параметры: 1800x300x40 мм
</t>
  </si>
  <si>
    <t>Полка настенная ce-dr180x30</t>
  </si>
  <si>
    <t>м54</t>
  </si>
  <si>
    <t>Нержавеющая сталь 430; Размеры:1500х300х40 мм</t>
  </si>
  <si>
    <t>Полка настенная ce-dr150x30</t>
  </si>
  <si>
    <t>м53</t>
  </si>
  <si>
    <t>Нержавеющая сталь 430; Одинарная; Параметры: 1400x300x40 мм</t>
  </si>
  <si>
    <t>Полка настенная ce-dr140x30</t>
  </si>
  <si>
    <t>м52</t>
  </si>
  <si>
    <t>Настенная книжная полка. Размеры: Ширина 530 мм, Глубина120 мм, Высота 800 мм</t>
  </si>
  <si>
    <t>Полка книжная настенная</t>
  </si>
  <si>
    <t>м51</t>
  </si>
  <si>
    <t>Полка предназначена для хранения детской и методической литературы. Размеры: Ширина 540 мм
Глубина360 мм Высота 460 мм</t>
  </si>
  <si>
    <t>Полка для книг</t>
  </si>
  <si>
    <t>м49</t>
  </si>
  <si>
    <t>Нержавеющая сталь 430; Параметры: 3200x400x500 мм</t>
  </si>
  <si>
    <t>Полка для вытяжки ce-dofr320x40</t>
  </si>
  <si>
    <t>м48</t>
  </si>
  <si>
    <t>Нержавеющая сталь 430; С перфорированной полкой; Параметры: 1200x500x300 mm</t>
  </si>
  <si>
    <t>Подтоварник ce-st50120</t>
  </si>
  <si>
    <t>м47</t>
  </si>
  <si>
    <t>Размеры: 1200x574x550 мм</t>
  </si>
  <si>
    <t>Подставка vpn7-5</t>
  </si>
  <si>
    <t>м46</t>
  </si>
  <si>
    <t>Размеры: 800x574x550 мм</t>
  </si>
  <si>
    <t>Подставка vpn7-4</t>
  </si>
  <si>
    <t>м45</t>
  </si>
  <si>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</si>
  <si>
    <t>Подставка для цветов напольная / на подоконник</t>
  </si>
  <si>
    <t>м44</t>
  </si>
  <si>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</si>
  <si>
    <t>Подставка для цветов</t>
  </si>
  <si>
    <t>м43</t>
  </si>
  <si>
    <t>Подставка используется для установки или подвешивания зеркала. Обеспечивает устойчивость и возможность изменения расположения.</t>
  </si>
  <si>
    <t>Подставка для зеркала индивидуальная</t>
  </si>
  <si>
    <t>м42</t>
  </si>
  <si>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</si>
  <si>
    <t>Подставка для домбры / настенный держатель</t>
  </si>
  <si>
    <t>м41</t>
  </si>
  <si>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</si>
  <si>
    <t>Подставка для детских инструментов</t>
  </si>
  <si>
    <t>м40</t>
  </si>
  <si>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</si>
  <si>
    <t>Детский стол</t>
  </si>
  <si>
    <t>м4</t>
  </si>
  <si>
    <t>Шкаф стеллаж открытый 2000х300х1000мм. Корпус, полки из ЛДСП 16мм, 20 ячеек, задняя стенка из МДФ 5мм</t>
  </si>
  <si>
    <t xml:space="preserve">Открытый стеллаж </t>
  </si>
  <si>
    <t>м39</t>
  </si>
  <si>
    <t>Открытые стеллажи с контейнерами. Размеры 1800х430х620мм</t>
  </si>
  <si>
    <t>Открытые стеллажи с контейнерами</t>
  </si>
  <si>
    <t>м38</t>
  </si>
  <si>
    <t>Стеллаж 8 секций Размеры:720x390x1820 мм</t>
  </si>
  <si>
    <t>Открытая полка</t>
  </si>
  <si>
    <t>м37</t>
  </si>
  <si>
    <t>Потолочная конструкция с встроенной светодиодной подсветкой. Обеспечивает равномерное освещение и декоративный эффект в помещении.</t>
  </si>
  <si>
    <t>Натяжной потолок с подсветкой</t>
  </si>
  <si>
    <t>м36</t>
  </si>
  <si>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</si>
  <si>
    <t>Настенный держатель для инвентаря</t>
  </si>
  <si>
    <t>м35</t>
  </si>
  <si>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</si>
  <si>
    <t>Настенные держатели для обручей</t>
  </si>
  <si>
    <t>м34</t>
  </si>
  <si>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</si>
  <si>
    <t>Настенное зеркало в раме</t>
  </si>
  <si>
    <t>м33</t>
  </si>
  <si>
    <t>Крепится к стене. Размеры 1000х200х630</t>
  </si>
  <si>
    <t>Настенная полка для хранения дидактических материалов психолога</t>
  </si>
  <si>
    <t>м32</t>
  </si>
  <si>
    <t>Оснащена тремя крючками для удобного распределения изделий. Изготовлена из стали. Крепится к поверхности без сверления при помощи двусторонней ленты.</t>
  </si>
  <si>
    <t>Настенная вешалка для фартуков</t>
  </si>
  <si>
    <t>м30</t>
  </si>
  <si>
    <t xml:space="preserve">Модуль с открытыми полками для хранения игрушек. Габариты изделия — 900×340×700 мм. Материал корпуса — ЛДСП, с кромкой ПВХ. </t>
  </si>
  <si>
    <t>Модуль стеллажный с открытыми полками для хранения материалов</t>
  </si>
  <si>
    <t>м29</t>
  </si>
  <si>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</si>
  <si>
    <t>Многофункциональный детский стол. Мягкие настенные сиденья с пуфиками — комплект</t>
  </si>
  <si>
    <t>м28</t>
  </si>
  <si>
    <t>Размеры изделия, по параметрам кровати: длина — 120 см, ширина — 60 см.
Гипоаллергенный матрас для детской кровати.</t>
  </si>
  <si>
    <t>Матрас (группа 2-х лет)</t>
  </si>
  <si>
    <t>Размеры изделия, по параметрам кровати: длина — 1400 мм, ширина — 600 мм.
Гипоаллергенный матрас для детской кровати.</t>
  </si>
  <si>
    <t xml:space="preserve">Матрас </t>
  </si>
  <si>
    <t>м27</t>
  </si>
  <si>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</si>
  <si>
    <t>Матрас</t>
  </si>
  <si>
    <t>м26</t>
  </si>
  <si>
    <t>Кушетка предназначена для осмотров, процедур и медицинских манипуляций в медблоке ДОУ. Размеры 560х1930х670</t>
  </si>
  <si>
    <t>Кушетка процедурная</t>
  </si>
  <si>
    <t>м24</t>
  </si>
  <si>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</si>
  <si>
    <t>Круглый стол напольный (d 1200 мм)</t>
  </si>
  <si>
    <t>м23</t>
  </si>
  <si>
    <t>Стол для совместного чтения, обсуждений и игровых занятий. Способствует развитию общения между детьми. Материал — ЛДСП или дерево. Диаметр — 1000–1200 мм.</t>
  </si>
  <si>
    <t>Круглый стол</t>
  </si>
  <si>
    <t>м22</t>
  </si>
  <si>
    <t>Кровать детская односпальная, размеры 1400х600х450мм, ЛДСП 16мм, без острых углов</t>
  </si>
  <si>
    <t>Кровать для сна (группы 3+)</t>
  </si>
  <si>
    <t>м19</t>
  </si>
  <si>
    <t>Стенд объемный настенный "ГОССИМВОЛЫ РК"</t>
  </si>
  <si>
    <t>Государственная символика</t>
  </si>
  <si>
    <t>м188</t>
  </si>
  <si>
    <t>Гардеробный шкаф для верхней одежды Размеры: ширина 2.2 м, длина 3.3 м, высота 1.8м. Расстояние между крючками: 330мм</t>
  </si>
  <si>
    <t>Гардеробная на 70 мест</t>
  </si>
  <si>
    <t>м187</t>
  </si>
  <si>
    <t>Диван (мягкий), 3-х местный, с подлокотниками</t>
  </si>
  <si>
    <t>Диван (мягкий)</t>
  </si>
  <si>
    <t>м186</t>
  </si>
  <si>
    <t>Система горизонтального раздвижного занавеса с электроприводом с пультом дистанционного управления.</t>
  </si>
  <si>
    <t>Сценический занавес и карниз</t>
  </si>
  <si>
    <t>м185</t>
  </si>
  <si>
    <t>Стойка ресепшен прямая. Размеры: Ширина, 1640 мм. Глубина, 510 мм. Высота, 1150 мм</t>
  </si>
  <si>
    <t>Стойка ресепшен</t>
  </si>
  <si>
    <t>м180</t>
  </si>
  <si>
    <t>Игровая или декоративная кровать с комплектом текстильных элементов. Используется в сюжетно-ролевых играх.</t>
  </si>
  <si>
    <t>Кровать</t>
  </si>
  <si>
    <t>м18</t>
  </si>
  <si>
    <t>Ширина 109 см
Высота 179 см
Глубина 74 см
Материал Металл</t>
  </si>
  <si>
    <t>Гардеробная вешалка</t>
  </si>
  <si>
    <t>м175</t>
  </si>
  <si>
    <t>Детский стул со спинкой для 4+. 300×220×590/270</t>
  </si>
  <si>
    <t>Детский стул с спинкой (4+ лет)</t>
  </si>
  <si>
    <t>м174</t>
  </si>
  <si>
    <t>Детский стул со спинкой для 3 лет. 260×200×550/250 мм</t>
  </si>
  <si>
    <t>Детский стул с спинкой (2-3 лет)</t>
  </si>
  <si>
    <t>м173</t>
  </si>
  <si>
    <t>Ширина, мм 1480
Глубина, мм 820
Высота, мм 670</t>
  </si>
  <si>
    <t>Диван руководителя</t>
  </si>
  <si>
    <t>м172</t>
  </si>
  <si>
    <t xml:space="preserve">Диван Quick Lab Alim Sofa Длина: 1900 мм, ширина: 800 мм, высота: 850 мм. </t>
  </si>
  <si>
    <t xml:space="preserve">Диван </t>
  </si>
  <si>
    <t>м171</t>
  </si>
  <si>
    <t>Шкаф навесной, двухстворчатый, распашной. Материал: ЛДСП, ПВХ. Размеры: 800х300х720мм</t>
  </si>
  <si>
    <t>Навесной шкаф</t>
  </si>
  <si>
    <t>м170</t>
  </si>
  <si>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</si>
  <si>
    <t>Кресло-груша с гранулами</t>
  </si>
  <si>
    <t>м17</t>
  </si>
  <si>
    <t>Скамья деревянная на металлической основе 1500х300х450 мм</t>
  </si>
  <si>
    <t>Скамья детская узкая</t>
  </si>
  <si>
    <t>м166</t>
  </si>
  <si>
    <t>Набор подушек для создания мягкой зоны, размер 30х30см</t>
  </si>
  <si>
    <t>Мягкая подушка</t>
  </si>
  <si>
    <t>м165</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</si>
  <si>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</si>
  <si>
    <t>Детский стол для 4-х, 5-ти лет</t>
  </si>
  <si>
    <t>м163</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</si>
  <si>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</si>
  <si>
    <t>Детский стол для 3-х лет</t>
  </si>
  <si>
    <t>м162</t>
  </si>
  <si>
    <t>Диспенсер для туалетной бумаги в рулонах типа Jumbo. Материал: пластик, ручная подача, открывается с помощью ключа</t>
  </si>
  <si>
    <t>Диспенсер антивандальный для туалетной бумаги</t>
  </si>
  <si>
    <t>м161</t>
  </si>
  <si>
    <t>Диспенсер для бумажных полотенец типа Vialli. Материал: пластик, Z-укладка, открывается ключом, небольшое окошко для контроля заполнения</t>
  </si>
  <si>
    <t>Диспенсер для бумажных полотенец</t>
  </si>
  <si>
    <t>м160</t>
  </si>
  <si>
    <t>Кресло FX-888 кзам АОД подл.пл.818/1(кзам),крест.пл.d680 м/п, кол JL</t>
  </si>
  <si>
    <t>Кресло руководителя</t>
  </si>
  <si>
    <t>м16</t>
  </si>
  <si>
    <t>Длина насадки 40см
Ширина насадки 12 см
Высота насадки 1,5 см
Длина ручки 130 см</t>
  </si>
  <si>
    <t>Швабра</t>
  </si>
  <si>
    <t>м159</t>
  </si>
  <si>
    <t>Крючки для хранения полотенец, фартуков. Материал крючка : Сплав металлов</t>
  </si>
  <si>
    <t>Крючки</t>
  </si>
  <si>
    <t>м158</t>
  </si>
  <si>
    <t>Ширина (см) 55
Высота (см) 80
Подсветка нет</t>
  </si>
  <si>
    <t>Зеркало</t>
  </si>
  <si>
    <t>м157</t>
  </si>
  <si>
    <t>Объем 18 л
Материал ABS плластик
Тип Ведро без крышки
Форма Прямоугольная</t>
  </si>
  <si>
    <t xml:space="preserve">Ведро </t>
  </si>
  <si>
    <t>м156</t>
  </si>
  <si>
    <t>Шкаф ШРМ-АК-У, размер 1860*500*500 мм</t>
  </si>
  <si>
    <t>Шкаф металлический для одежды и инвентаря</t>
  </si>
  <si>
    <t>м154</t>
  </si>
  <si>
    <t>Швабра с платформой</t>
  </si>
  <si>
    <t>м153</t>
  </si>
  <si>
    <t>Материа Пластик
Максимальная нагрузка на всю конструкцию 80 кг
Количество поворотных колес 4 шт
Количество ведер 2 шт</t>
  </si>
  <si>
    <t>Двухведёрная тележка</t>
  </si>
  <si>
    <t>м152</t>
  </si>
  <si>
    <t>Ведро 18л</t>
  </si>
  <si>
    <t>м151</t>
  </si>
  <si>
    <t>Ценовое предложение на строительство соляной пещеры №2. Комплектация: люкс</t>
  </si>
  <si>
    <t>Строительство соляной пещеры №2</t>
  </si>
  <si>
    <t>м150</t>
  </si>
  <si>
    <t>Ценовое предложение на строительство соляной пещеры №1. Комплектация: люкс</t>
  </si>
  <si>
    <t>Строительство соляной пещеры №1</t>
  </si>
  <si>
    <t>м149</t>
  </si>
  <si>
    <t>Ролл шторы белые однотонные. Услуги доставки и монтажа</t>
  </si>
  <si>
    <t>Ролл шторы</t>
  </si>
  <si>
    <t>м146</t>
  </si>
  <si>
    <t>Шкаф для горшков на 20 мест на ножках ШГ-20 - Азбука (Синий) ШхГхВ 135х32х113 Материал ЛДСП</t>
  </si>
  <si>
    <t>Стеллаж для горшков</t>
  </si>
  <si>
    <t>м145</t>
  </si>
  <si>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</si>
  <si>
    <t>Набор/комплект для магнитно-маркерной доски</t>
  </si>
  <si>
    <t>м144</t>
  </si>
  <si>
    <t>Доска двухсторонняя 1200*2400 см (маркерная +меловая + магнитная) на подставке, передвижная на колесиках</t>
  </si>
  <si>
    <t>Доска маркерная/меловая поворотная</t>
  </si>
  <si>
    <t>м141</t>
  </si>
  <si>
    <t xml:space="preserve">Стеллаж ПРОФИ СКН-10/5С4П-01, (ВхШхГ) 1850х1000х500, каркас труба нерж 40х40, полка сплошная </t>
  </si>
  <si>
    <t xml:space="preserve">Стеллаж производственный </t>
  </si>
  <si>
    <t>м140</t>
  </si>
  <si>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</si>
  <si>
    <t>Кресло офисное</t>
  </si>
  <si>
    <t>м14</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</si>
  <si>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</si>
  <si>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Кровать детская для изолятора</t>
  </si>
  <si>
    <t>м138</t>
  </si>
  <si>
    <t xml:space="preserve">Стол однотумбовый с 2 выдвижными ящиками, ЛДСП 16 мм, размер 1200х700х750мм
</t>
  </si>
  <si>
    <t>Стол однотумбовый с 2 выдвижными ящиками</t>
  </si>
  <si>
    <t>м137</t>
  </si>
  <si>
    <t>Нержавеющая сталь 430; С 2 дверями, 4 полками; Параметры: 1200x600x1600 мм</t>
  </si>
  <si>
    <t>Шкаф ce-dm120x60</t>
  </si>
  <si>
    <t>м135</t>
  </si>
  <si>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</si>
  <si>
    <t>Шкаф хозяйственный</t>
  </si>
  <si>
    <t>м134</t>
  </si>
  <si>
    <t>Вместимость: 8 противней 40x60; 3.2 кВт / 230В; Размеры: 940x790x850 мм</t>
  </si>
  <si>
    <t>Шкаф расстоечный vmk-2</t>
  </si>
  <si>
    <t>м133</t>
  </si>
  <si>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</si>
  <si>
    <t>Шкаф навесной с газ.лифтом.</t>
  </si>
  <si>
    <t>м132</t>
  </si>
  <si>
    <t>Шкаф закрытый. Размеры: 800×450×1200 мм.</t>
  </si>
  <si>
    <t>Шкаф закрытый</t>
  </si>
  <si>
    <t>м131</t>
  </si>
  <si>
    <t>Шкаф для тканей, закрытый. Размеры: 800×450×1200 мм.</t>
  </si>
  <si>
    <t>Шкаф для тканей        Отдельное хранение тканей</t>
  </si>
  <si>
    <t>м130</t>
  </si>
  <si>
    <t>Шкаф для одежды 2-х дверный, ЛДСП 16 мм, размеры 800х540х1930 мм</t>
  </si>
  <si>
    <t>Шкаф для одежды</t>
  </si>
  <si>
    <t>м128</t>
  </si>
  <si>
    <t>Шкаф для документации, закрытый. Размеры: 800×450×1200 мм.</t>
  </si>
  <si>
    <t>Шкаф для документов</t>
  </si>
  <si>
    <t>м125</t>
  </si>
  <si>
    <t>Шкаф для временного хранения грязного белья.Конструкция устойчивая, легко моется и дезинфицируется. Размеры 600х500х1860</t>
  </si>
  <si>
    <t>Шкаф для грязного белья</t>
  </si>
  <si>
    <t>м124</t>
  </si>
  <si>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</si>
  <si>
    <t>Шкаф в буфетной ДОУ  предназначен для хранения чистой посуды и столовых приборов</t>
  </si>
  <si>
    <t>м123</t>
  </si>
  <si>
    <t>Шкаф для одежды 5-ти секционный, ЛДСП 16мм, металиический каркас, размер 1375х500х1250мм</t>
  </si>
  <si>
    <t>Шкаф 5-секционный</t>
  </si>
  <si>
    <t>м122</t>
  </si>
  <si>
    <t>Оснащён полками. Размеры 800х380х2000</t>
  </si>
  <si>
    <t>Шкаф</t>
  </si>
  <si>
    <t>м121</t>
  </si>
  <si>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</si>
  <si>
    <t>Шведская стенка</t>
  </si>
  <si>
    <t>м120</t>
  </si>
  <si>
    <t>Конференц-стол для проведения совещаний и рабочих встреч. Размеры 2700х1000х750мм</t>
  </si>
  <si>
    <t>Конференц-стол для совещаний</t>
  </si>
  <si>
    <t>м12</t>
  </si>
  <si>
    <t>Стол однотумбовый с 2 выдвижными ящиками, ЛДСП 16 мм, размер 1200х600х760мм</t>
  </si>
  <si>
    <t>Учительский стол</t>
  </si>
  <si>
    <t>м119</t>
  </si>
  <si>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</si>
  <si>
    <t>Стул полумягкий. Материал обивки ткань/эко кожа. Металлический каркас, окрашен порошковой полимерной краской. Размер:410х560х940мм</t>
  </si>
  <si>
    <t>Стул полумягкий</t>
  </si>
  <si>
    <t>м116</t>
  </si>
  <si>
    <t>Стул предназначен для оснащения актового зала. Размеры (ШхГхВ) 500х650х860мм</t>
  </si>
  <si>
    <t>Стул для зрителей</t>
  </si>
  <si>
    <t>м115</t>
  </si>
  <si>
    <t>Стул полумягкий. Хромированный каркас. Размер: 550x600x830мм</t>
  </si>
  <si>
    <t>Стул для воспитателя с спинкой</t>
  </si>
  <si>
    <t>м114</t>
  </si>
  <si>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</si>
  <si>
    <t xml:space="preserve">Детский стул со спинкой </t>
  </si>
  <si>
    <t>м112</t>
  </si>
  <si>
    <t>Стул офисный BSB 388 со спинкой,с удобной посадкой. Размеры 530х560х820 см.</t>
  </si>
  <si>
    <t>Стул</t>
  </si>
  <si>
    <t>м111</t>
  </si>
  <si>
    <t>Пластиковый столик для игр с песком и водой с крышкой. Используется для сенсорных и развивающих занятий, устойчивый, безопасный, легко очищается.</t>
  </si>
  <si>
    <t>Столик для игры с песком и водой</t>
  </si>
  <si>
    <t>м110</t>
  </si>
  <si>
    <t xml:space="preserve">Детский стол состоит из трёх половинок, общий диаметр — 160 см. Предназначен для групповой работы и занятий. </t>
  </si>
  <si>
    <t>Стол-ромашка (3 половинки) на регулируемых ножках</t>
  </si>
  <si>
    <t>м109</t>
  </si>
  <si>
    <t>Нержавеющая сталь 430; Габариты: 800x700x850 мм</t>
  </si>
  <si>
    <t>Стол ce-tc080x70</t>
  </si>
  <si>
    <t>м108</t>
  </si>
  <si>
    <t>Стол производственный рабочий CE-TC1120X60. Нержавеющая сталь. С одной полкой и бортиком. Размер: 1200x600x850мм</t>
  </si>
  <si>
    <t>Стол с одной полкой</t>
  </si>
  <si>
    <t>м107</t>
  </si>
  <si>
    <t>Нержавеющая сталь AISI 430; С бортиком без полки; Мойка: 50x40x25 см; Параметры: 1200x700x850 мм</t>
  </si>
  <si>
    <t>Стол с 2 мойками ce-tce120x70</t>
  </si>
  <si>
    <t>м106</t>
  </si>
  <si>
    <t>Стол с двумя мойками CE-TCE120X60. Нержавеющая сталь. Размер: 1200x600x850мм</t>
  </si>
  <si>
    <t>Стол с 2 мойками</t>
  </si>
  <si>
    <t>м105</t>
  </si>
  <si>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</si>
  <si>
    <t>Стол руководителя с приставной тумбой</t>
  </si>
  <si>
    <t>м104</t>
  </si>
  <si>
    <t>Нержавеющая сталь AISI 430; Без нижней  полки и бортика; Параметры: 700x750x850 мм</t>
  </si>
  <si>
    <t>Стол разгрузки посудомойки ce-tbc70x75</t>
  </si>
  <si>
    <t>м103</t>
  </si>
  <si>
    <t>Рабочий стол с металлической поверхностью. Устойчивый, легко моющийся. Размеры  1800х600х850</t>
  </si>
  <si>
    <t>Стол рабочий</t>
  </si>
  <si>
    <t>м102</t>
  </si>
  <si>
    <t xml:space="preserve">Размеры: 800X700X300 мм
</t>
  </si>
  <si>
    <t>Стол промежуточный vpn7-2</t>
  </si>
  <si>
    <t>м101</t>
  </si>
  <si>
    <t>Производственный стол предназначен для хозяйственных работ. Размеры  1800х600х850</t>
  </si>
  <si>
    <t>Стол производственный</t>
  </si>
  <si>
    <t>м100</t>
  </si>
  <si>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</si>
  <si>
    <t>Зеркало настенное среднего размера</t>
  </si>
  <si>
    <t>м10</t>
  </si>
  <si>
    <t>Напольная вешалка. Размеры высота 1700мм, кол-во крючков 8шт.</t>
  </si>
  <si>
    <t>Вешалка напольная для верхней одежды</t>
  </si>
  <si>
    <t>м1</t>
  </si>
  <si>
    <t>Инструменты для конструирования из картона для начальной школы</t>
  </si>
  <si>
    <t>д999</t>
  </si>
  <si>
    <t>LEGO® Education STEAM Park</t>
  </si>
  <si>
    <t>д998</t>
  </si>
  <si>
    <t>BricQ Motion Essential</t>
  </si>
  <si>
    <t>д997</t>
  </si>
  <si>
    <t>Набор для дошкольного изучения Computer science and AI</t>
  </si>
  <si>
    <t>д996</t>
  </si>
  <si>
    <t>Стойка для сушки работ после экспериментов</t>
  </si>
  <si>
    <t>д995</t>
  </si>
  <si>
    <t>Ковер «Космос» для занятий на полу</t>
  </si>
  <si>
    <t>д994</t>
  </si>
  <si>
    <t>Стулья для всей группы (высота сиденья 25 см)</t>
  </si>
  <si>
    <t>д993</t>
  </si>
  <si>
    <t>Набор глубоких лотков для мелких деталей</t>
  </si>
  <si>
    <t>д992</t>
  </si>
  <si>
    <t>Стеллаж для хранения STEM-наборов и лотков</t>
  </si>
  <si>
    <t>д991</t>
  </si>
  <si>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</si>
  <si>
    <t>Демонстрационные картинки «Дикие животные – 2»</t>
  </si>
  <si>
    <t>д99</t>
  </si>
  <si>
    <t>Стол для демонстрации находок и коллекций</t>
  </si>
  <si>
    <t>д989</t>
  </si>
  <si>
    <t>Стол с линзами для макро-наблюдений объектов</t>
  </si>
  <si>
    <t xml:space="preserve">Стол с линзами </t>
  </si>
  <si>
    <t>д988</t>
  </si>
  <si>
    <t>Мобильный стол для экспериментов с песком и водой</t>
  </si>
  <si>
    <t>Мобильный стол</t>
  </si>
  <si>
    <t>д987</t>
  </si>
  <si>
    <t>Стол-верстак для проектной деятельности</t>
  </si>
  <si>
    <t>Стол-верстак</t>
  </si>
  <si>
    <t>д986</t>
  </si>
  <si>
    <t>Верстак для столярных работ и работы с деревом</t>
  </si>
  <si>
    <t xml:space="preserve">Верстак </t>
  </si>
  <si>
    <t>д985</t>
  </si>
  <si>
    <t>Дозатор жидкого мыла</t>
  </si>
  <si>
    <t>Дозатор для жидкого мыла</t>
  </si>
  <si>
    <t>д984</t>
  </si>
  <si>
    <t>2+ Ознакомление с окружающим миром. Раздаточный материал</t>
  </si>
  <si>
    <t>Ознакомление с окружающим миром (раздаточный материал)</t>
  </si>
  <si>
    <t>д983</t>
  </si>
  <si>
    <t>2+ Ознакомление с окружающим миром. Методическое пособие (электронная версия)</t>
  </si>
  <si>
    <t>Ознакомление с окружающим миром (электронная версия)</t>
  </si>
  <si>
    <t>д982</t>
  </si>
  <si>
    <t>Аппарат для УВЧ-терапии N=0,12квт В=220В - УВЧ-60</t>
  </si>
  <si>
    <t>УФ-устройство</t>
  </si>
  <si>
    <t>д980</t>
  </si>
  <si>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</si>
  <si>
    <t>Демонстрационные картинки «Дикие животные – 1»</t>
  </si>
  <si>
    <t>д98</t>
  </si>
  <si>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</si>
  <si>
    <t>Демонстрационные картинки «Деревья и кустарники»</t>
  </si>
  <si>
    <t>д97</t>
  </si>
  <si>
    <t>Холодильник предназначен для хранения медикаментов с соблюдением температурного режима, установленного санитарными требованиями.</t>
  </si>
  <si>
    <t>Холодильник фармацевтический</t>
  </si>
  <si>
    <t>д969</t>
  </si>
  <si>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</si>
  <si>
    <t>Мозаика настольная развивающая</t>
  </si>
  <si>
    <t>д967</t>
  </si>
  <si>
    <t>Миниатюрная кровать для кукол с покрывалом. Используется в сюжетно-ролевых и бытовых играх.</t>
  </si>
  <si>
    <t>Кровать для кукол</t>
  </si>
  <si>
    <t>д965</t>
  </si>
  <si>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</si>
  <si>
    <t>Медицинские халаты</t>
  </si>
  <si>
    <t>д961</t>
  </si>
  <si>
    <t>Измерительная лента</t>
  </si>
  <si>
    <t>д960</t>
  </si>
  <si>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</si>
  <si>
    <t>Демонстрационные картинки «Грибы съедобные и несъедобные»</t>
  </si>
  <si>
    <t>д96</t>
  </si>
  <si>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</si>
  <si>
    <t>Таблица для проверки зрения</t>
  </si>
  <si>
    <t>д959</t>
  </si>
  <si>
    <t>Ростомер механический 400х398х2360</t>
  </si>
  <si>
    <t xml:space="preserve">Ростомер механический </t>
  </si>
  <si>
    <t>д958</t>
  </si>
  <si>
    <t>Бесконтактный термометр идеален для измерения температуры тела у взрослых, детей и новорожденных</t>
  </si>
  <si>
    <t>Бесконтактный инфракрасный термометр</t>
  </si>
  <si>
    <t>д956</t>
  </si>
  <si>
    <t>Шкаф медицинский двухстворчатый из полипропилена, размер 800х400х1800 мм
МЕДИЦИНСКИЙ ШКАФ HILFE МД 2 1780/SG</t>
  </si>
  <si>
    <t>Шкаф медицинский</t>
  </si>
  <si>
    <t>д954</t>
  </si>
  <si>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</si>
  <si>
    <t>XXL НАБОР ДЛЯ ДЕТСКОГО САДА: "ЮНЫЙ ИЗОБРЕТАТЕЛЬ"</t>
  </si>
  <si>
    <t>д953</t>
  </si>
  <si>
    <t>Б. Оспанова</t>
  </si>
  <si>
    <t>Welcome, Nauryz!</t>
  </si>
  <si>
    <t>д952</t>
  </si>
  <si>
    <t>А. Сужикова, М. Кайрамбаева</t>
  </si>
  <si>
    <t>The Great Abai</t>
  </si>
  <si>
    <t>д951</t>
  </si>
  <si>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</si>
  <si>
    <t>Tale map</t>
  </si>
  <si>
    <t>д950</t>
  </si>
  <si>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</si>
  <si>
    <t>Демонстрационные картинки «Головные уборы»</t>
  </si>
  <si>
    <t>д95</t>
  </si>
  <si>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</si>
  <si>
    <t>Tale Bot</t>
  </si>
  <si>
    <t>д949</t>
  </si>
  <si>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</si>
  <si>
    <t>STEAM-набор для конструирования</t>
  </si>
  <si>
    <t>д946</t>
  </si>
  <si>
    <t>Сужикова А. (перевод Асанова М.)</t>
  </si>
  <si>
    <t>Shokan.The Lodestar of the East</t>
  </si>
  <si>
    <t>д945</t>
  </si>
  <si>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</si>
  <si>
    <t>Matata Pro Set Coding</t>
  </si>
  <si>
    <t>д944</t>
  </si>
  <si>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</si>
  <si>
    <t>LEGO® Education SPIKE™ Essential</t>
  </si>
  <si>
    <t>д943</t>
  </si>
  <si>
    <t>А. Сужикова</t>
  </si>
  <si>
    <t>Kazakhstan, My Native Land (юрта)</t>
  </si>
  <si>
    <t>д942</t>
  </si>
  <si>
    <t>Жанузакова М.Т</t>
  </si>
  <si>
    <t>DIMASH ҚҰДАЙБЕРГЕН.VIP.ШЕКСІЗ МУЗЫКА.ФОТОАЛЬБОМ (КАЗ.РУСС.АНГЛ)</t>
  </si>
  <si>
    <t>д941</t>
  </si>
  <si>
    <t>DIMASH ҚҰДАЙБЕРГЕН.ШЕКСІЗ МУЗЫКА.ФОТОАЛЬБОМ (КАЗ.РУСС.АНГЛ)</t>
  </si>
  <si>
    <t>д940</t>
  </si>
  <si>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</si>
  <si>
    <t>Демонстрационное пособие</t>
  </si>
  <si>
    <t>д94</t>
  </si>
  <si>
    <t>Туреханова З.</t>
  </si>
  <si>
    <t>Astana - the heart of our Motherland</t>
  </si>
  <si>
    <t>д939</t>
  </si>
  <si>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</si>
  <si>
    <t>Эстафетные палочки</t>
  </si>
  <si>
    <t>д938</t>
  </si>
  <si>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</si>
  <si>
    <t>Энциклопедия «Жануарлар»</t>
  </si>
  <si>
    <t>д937</t>
  </si>
  <si>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</si>
  <si>
    <t>Эмоциональные стикеры</t>
  </si>
  <si>
    <t>д936</t>
  </si>
  <si>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</si>
  <si>
    <t>Эмоциональное яйцо</t>
  </si>
  <si>
    <t>д935</t>
  </si>
  <si>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</si>
  <si>
    <t>Электронная игра на память с музыкой и светом</t>
  </si>
  <si>
    <t>д934</t>
  </si>
  <si>
    <t>Оспанов М., Утельбаева С.</t>
  </si>
  <si>
    <t>Ыбырай. Чистый родник степи</t>
  </si>
  <si>
    <t>д933</t>
  </si>
  <si>
    <t>Оспанов М., Өтелбаева С. (И.Алтынсарин туралы)</t>
  </si>
  <si>
    <t>Ыбырай. Даланың таза бұлагы</t>
  </si>
  <si>
    <t>д932</t>
  </si>
  <si>
    <t>Ахметова З.</t>
  </si>
  <si>
    <t>Шуакты кундер (Б.Момышұлы туралы)</t>
  </si>
  <si>
    <t>д931</t>
  </si>
  <si>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</si>
  <si>
    <t>Декоративный элемент «Шишка сосновая» (искусственная)</t>
  </si>
  <si>
    <t>д93</t>
  </si>
  <si>
    <t>Сужикова А.</t>
  </si>
  <si>
    <t>Шоқан. Шығыстың жарық жұлдызы</t>
  </si>
  <si>
    <t>д929</t>
  </si>
  <si>
    <t>Бірмагамбетов Ә.</t>
  </si>
  <si>
    <t>Шоқан Уәлиханов - географ және саяхатшы</t>
  </si>
  <si>
    <t>д928</t>
  </si>
  <si>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</si>
  <si>
    <t>Шнуровка для малышей</t>
  </si>
  <si>
    <t>д927</t>
  </si>
  <si>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</si>
  <si>
    <t>Шнуровка «Развивающие пуговки»</t>
  </si>
  <si>
    <t>д926</t>
  </si>
  <si>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</si>
  <si>
    <t>Шляпки</t>
  </si>
  <si>
    <t>д925</t>
  </si>
  <si>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</si>
  <si>
    <t>Ширма для театра</t>
  </si>
  <si>
    <t>д924</t>
  </si>
  <si>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</si>
  <si>
    <t>Ширма деревянная для кукольного театра</t>
  </si>
  <si>
    <t>д923</t>
  </si>
  <si>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</si>
  <si>
    <t>Шеффлера</t>
  </si>
  <si>
    <t>д922</t>
  </si>
  <si>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</si>
  <si>
    <t>Шестигранная детская мозаика</t>
  </si>
  <si>
    <t>д921</t>
  </si>
  <si>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</si>
  <si>
    <t>Шарики для бассейна прозрачные</t>
  </si>
  <si>
    <t>д920</t>
  </si>
  <si>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</si>
  <si>
    <t>Декоративные фрукты и овощи</t>
  </si>
  <si>
    <t>д92</t>
  </si>
  <si>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</si>
  <si>
    <t>Шарики</t>
  </si>
  <si>
    <t>д919</t>
  </si>
  <si>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</si>
  <si>
    <t>Шапочка (Медвежонок, Волчонок, Тигр, Серый заяц, Бельчонок/Белочка)</t>
  </si>
  <si>
    <t>д918</t>
  </si>
  <si>
    <t>без автора</t>
  </si>
  <si>
    <t>Чудесное путешествие. Хрестоматия для 2-4 классов</t>
  </si>
  <si>
    <t>д917</t>
  </si>
  <si>
    <t>Чокан. Путеводная звезда востока</t>
  </si>
  <si>
    <t>д916</t>
  </si>
  <si>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</si>
  <si>
    <t>Часы настенные</t>
  </si>
  <si>
    <t>д915</t>
  </si>
  <si>
    <t>Чайник электрический</t>
  </si>
  <si>
    <t>Чайник</t>
  </si>
  <si>
    <t>д914</t>
  </si>
  <si>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</si>
  <si>
    <t>Цветы (комнатные растения)</t>
  </si>
  <si>
    <t>д913</t>
  </si>
  <si>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</si>
  <si>
    <t>Художественная литература</t>
  </si>
  <si>
    <t>д912</t>
  </si>
  <si>
    <t>М.Лейси (перевод Сужикова А., Пернебекова Н.)</t>
  </si>
  <si>
    <t>Христофор Колумб. Christopher Columbus (каз., рус., англ.яз.)</t>
  </si>
  <si>
    <t>д911</t>
  </si>
  <si>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</si>
  <si>
    <t>Декоративные ароматные травы в горшках</t>
  </si>
  <si>
    <t>д91</t>
  </si>
  <si>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</si>
  <si>
    <t>Хлорофитум</t>
  </si>
  <si>
    <t>д909</t>
  </si>
  <si>
    <t>под ред. М. Рамасвами (перевод Қарт Ұ.М.)</t>
  </si>
  <si>
    <t>Химия. Просто и легко</t>
  </si>
  <si>
    <t>д908</t>
  </si>
  <si>
    <t>Химия. Оңай әрі жеңіл</t>
  </si>
  <si>
    <t>д907</t>
  </si>
  <si>
    <t>Бертолет К.</t>
  </si>
  <si>
    <t>Ханшайымның 10 оқиғасы</t>
  </si>
  <si>
    <t>д906</t>
  </si>
  <si>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</si>
  <si>
    <t>Формочки</t>
  </si>
  <si>
    <t>д905</t>
  </si>
  <si>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</si>
  <si>
    <t>Фонарь</t>
  </si>
  <si>
    <t>д904</t>
  </si>
  <si>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</si>
  <si>
    <t>Фломастеры</t>
  </si>
  <si>
    <t>д903</t>
  </si>
  <si>
    <t>Большой тканевый фланелеграф с карманами для хранения элементов. Используется для творческих, обучающих и игровых занятий с детьми.</t>
  </si>
  <si>
    <t>Фланелеграф тканевый</t>
  </si>
  <si>
    <t>д901</t>
  </si>
  <si>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</si>
  <si>
    <t>Фланелеграф из фетра с комплектом съёмных персонажей по мотивам сказок</t>
  </si>
  <si>
    <t>д900</t>
  </si>
  <si>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</si>
  <si>
    <t>Декоративное растение алоказия</t>
  </si>
  <si>
    <t>д90</t>
  </si>
  <si>
    <t xml:space="preserve">Игра предназначена для развития
логического мышления
посредством объединения дорог
по знакам. </t>
  </si>
  <si>
    <t>«Жол бағдар» (Интеллектум)</t>
  </si>
  <si>
    <t>д9</t>
  </si>
  <si>
    <t>Дидактическое пособие для крепления фигурок и карточек из фетра. Используется в образовательной деятельности для визуализации учебного материала.</t>
  </si>
  <si>
    <t>Фланелеграф</t>
  </si>
  <si>
    <t>д899</t>
  </si>
  <si>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</si>
  <si>
    <t>Фланеграф «Домашние животные»</t>
  </si>
  <si>
    <t>д898</t>
  </si>
  <si>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</si>
  <si>
    <t>Фланеграф</t>
  </si>
  <si>
    <t>д897</t>
  </si>
  <si>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</si>
  <si>
    <t>Флажок разноцветный</t>
  </si>
  <si>
    <t>д896</t>
  </si>
  <si>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</si>
  <si>
    <t>Флажки, ленты для ритмики</t>
  </si>
  <si>
    <t>д895</t>
  </si>
  <si>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</si>
  <si>
    <t>Фитбол</t>
  </si>
  <si>
    <t>д893</t>
  </si>
  <si>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</si>
  <si>
    <t>Фикус</t>
  </si>
  <si>
    <t>д892</t>
  </si>
  <si>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</si>
  <si>
    <t>Физическая культура</t>
  </si>
  <si>
    <t>д891</t>
  </si>
  <si>
    <t>под ред. Б. Морган (перевод Кедрук Е.Ю.)</t>
  </si>
  <si>
    <t>Физика. Просто и легко</t>
  </si>
  <si>
    <t>д890</t>
  </si>
  <si>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</si>
  <si>
    <t>Декоративное растение «Драцена»</t>
  </si>
  <si>
    <t>д89</t>
  </si>
  <si>
    <t>под ред. Б. Морган (перевод Мусатай С.)</t>
  </si>
  <si>
    <t>Физика. Оңай әрі жеңіл</t>
  </si>
  <si>
    <t>д889</t>
  </si>
  <si>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</si>
  <si>
    <t>Фигуры-персонажи для самостоятельного рисования</t>
  </si>
  <si>
    <t>д888</t>
  </si>
  <si>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</si>
  <si>
    <t>Фигуры семейных персонажей</t>
  </si>
  <si>
    <t>д887</t>
  </si>
  <si>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</si>
  <si>
    <t>Фиброоптический тоннель</t>
  </si>
  <si>
    <t>д886</t>
  </si>
  <si>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</si>
  <si>
    <t>Фартуки для дежурных</t>
  </si>
  <si>
    <t>д885</t>
  </si>
  <si>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</si>
  <si>
    <t>Фартук детский из водостойкого материала (с нарукавниками)</t>
  </si>
  <si>
    <t>д884</t>
  </si>
  <si>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</si>
  <si>
    <t>Фартук</t>
  </si>
  <si>
    <t>д883</t>
  </si>
  <si>
    <t>Мамраимов А.</t>
  </si>
  <si>
    <t>Ұлы Жібек жолы. Великий Шелковый путь. The Great Silk Road (каз., рус., англ.яз.)</t>
  </si>
  <si>
    <t>д882</t>
  </si>
  <si>
    <t>Д.Бингхэм (перевод Сужикова А., Пернебекова Н.)</t>
  </si>
  <si>
    <t>Ұлы Ескендір. Александр Великий. Alexander the Great (каз., рус., англ.яз.)</t>
  </si>
  <si>
    <t>д881</t>
  </si>
  <si>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</si>
  <si>
    <t>Үй жануарларын білесің бе? Ақылды боямақ</t>
  </si>
  <si>
    <t>д880</t>
  </si>
  <si>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</si>
  <si>
    <t>Двусторонняя доска для творчества с зоной выставки</t>
  </si>
  <si>
    <t>д88</t>
  </si>
  <si>
    <t>Учимся вместе с героями - витаминами. Мистер Яблоко.</t>
  </si>
  <si>
    <t>д879</t>
  </si>
  <si>
    <t>Учимся вместе с героями - витаминами. Мистер Картофель.</t>
  </si>
  <si>
    <t>д878</t>
  </si>
  <si>
    <t>Учимся вместе с героями - витаминами. Мисс Морковка.</t>
  </si>
  <si>
    <t>д877</t>
  </si>
  <si>
    <t>Учимся вместе с героями - витаминами. Малышка Клубника.</t>
  </si>
  <si>
    <t>д876</t>
  </si>
  <si>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</si>
  <si>
    <t>Учебный микроскоп для демонстрационных и исследовательских опытов</t>
  </si>
  <si>
    <t>д875</t>
  </si>
  <si>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</si>
  <si>
    <t>Утяжелители для рук и ног</t>
  </si>
  <si>
    <t>д874</t>
  </si>
  <si>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</si>
  <si>
    <t>Умные игры с картами. Рассказы по картинкам</t>
  </si>
  <si>
    <t>д873</t>
  </si>
  <si>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</si>
  <si>
    <t>Уголок-кухня</t>
  </si>
  <si>
    <t>д872</t>
  </si>
  <si>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</si>
  <si>
    <t>Уголок уюта</t>
  </si>
  <si>
    <t>д871</t>
  </si>
  <si>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</si>
  <si>
    <t>Уголок уединения</t>
  </si>
  <si>
    <t>д870</t>
  </si>
  <si>
    <t>Дәрумен кейіпкерлермен бірге оқып - ұйренеміз. Картоп мырза.</t>
  </si>
  <si>
    <t>д87</t>
  </si>
  <si>
    <t>Ш.Күмісбаев</t>
  </si>
  <si>
    <t>Тұнғыштар</t>
  </si>
  <si>
    <t>д869</t>
  </si>
  <si>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</si>
  <si>
    <t>Түрлі түсті бөлшектер</t>
  </si>
  <si>
    <t>д868</t>
  </si>
  <si>
    <t>Стол-тумба купе СРО-К-8/6СНК (800*600*850-870 мм)</t>
  </si>
  <si>
    <t>Тумба для кухонного гарнитура с полкой</t>
  </si>
  <si>
    <t>д867</t>
  </si>
  <si>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</si>
  <si>
    <t>Тумба для ИЗО-деятельности</t>
  </si>
  <si>
    <t>д866</t>
  </si>
  <si>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</si>
  <si>
    <t>Туалетный набор</t>
  </si>
  <si>
    <t>д865</t>
  </si>
  <si>
    <t>Три задачи. Сказка</t>
  </si>
  <si>
    <t>д864</t>
  </si>
  <si>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</si>
  <si>
    <t>Трактор</t>
  </si>
  <si>
    <t>д863</t>
  </si>
  <si>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</si>
  <si>
    <t>Традесканция</t>
  </si>
  <si>
    <t>д862</t>
  </si>
  <si>
    <t>Елубаев Е.</t>
  </si>
  <si>
    <t>Төрт түлік сөздігі</t>
  </si>
  <si>
    <t>д861</t>
  </si>
  <si>
    <t>Прибор для измерения артериального давления, используется при медицинских осмотрах детей и персонала.</t>
  </si>
  <si>
    <t>Тонометр</t>
  </si>
  <si>
    <t>д860</t>
  </si>
  <si>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</si>
  <si>
    <t>Губки для сглаживания (набор)</t>
  </si>
  <si>
    <t>д86</t>
  </si>
  <si>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</si>
  <si>
    <t>Тоннели тканевые</t>
  </si>
  <si>
    <t>д859</t>
  </si>
  <si>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</si>
  <si>
    <t>Ткани фетр</t>
  </si>
  <si>
    <t>д858</t>
  </si>
  <si>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</si>
  <si>
    <t>Ткани</t>
  </si>
  <si>
    <t>д857</t>
  </si>
  <si>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</si>
  <si>
    <t>Тихая книга</t>
  </si>
  <si>
    <t>д856</t>
  </si>
  <si>
    <t>Нержавеющая сталь AISI 430; Мойка 40x40x25 см; Параметры: 500x580x800 мм</t>
  </si>
  <si>
    <t>Техническая раковина ce-me50x58</t>
  </si>
  <si>
    <t>д855</t>
  </si>
  <si>
    <t>Прибор для измерения температуры тела. Используется в медицинском кабинете ДОУ.</t>
  </si>
  <si>
    <t>Термометр</t>
  </si>
  <si>
    <t>д854</t>
  </si>
  <si>
    <t>Контейнер для временного хранения и транспортировки медикаментов с поддержанием температурного режима.</t>
  </si>
  <si>
    <t>Термоконтейнер</t>
  </si>
  <si>
    <t>д853</t>
  </si>
  <si>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</si>
  <si>
    <t>Телескопический стаканчик с крышкой</t>
  </si>
  <si>
    <t>д852</t>
  </si>
  <si>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</si>
  <si>
    <t>Телескопический жираф</t>
  </si>
  <si>
    <t>д851</t>
  </si>
  <si>
    <t>Нержавеющая сталь AISI 430; С 2 полками  и 4 колесами; Параметры: 550x860x900 mm</t>
  </si>
  <si>
    <t>Тележка сервисная 2-ур. ce-asi55x86x2</t>
  </si>
  <si>
    <t>д850</t>
  </si>
  <si>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</si>
  <si>
    <t>Гуашь художественная (набор)</t>
  </si>
  <si>
    <t>д85</t>
  </si>
  <si>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</si>
  <si>
    <t>Тележка для мелкого инвентаря</t>
  </si>
  <si>
    <t>д849</t>
  </si>
  <si>
    <t>Нержавеющая сталь AISI 430; Вместимость тележки: 16; Размеры подноса: GN 1/1; Параметры: 383x530x1650 mm</t>
  </si>
  <si>
    <t>Тележка для гастроемкостей 1-1 ce-agn1-1x16</t>
  </si>
  <si>
    <t>д848</t>
  </si>
  <si>
    <t>Внешние размеры: 640x1040x790h мм; Внутренние размеры: 590x930x515h мм; Грузоподъемность: 250 кг</t>
  </si>
  <si>
    <t>Тележка для белья tekne 2700k</t>
  </si>
  <si>
    <t>д847</t>
  </si>
  <si>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</si>
  <si>
    <t>Тележка для белья</t>
  </si>
  <si>
    <t>д846</t>
  </si>
  <si>
    <t>Интеллектум</t>
  </si>
  <si>
    <t xml:space="preserve">тез тап </t>
  </si>
  <si>
    <t>д845</t>
  </si>
  <si>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</si>
  <si>
    <t>Театр теней «Колобок»</t>
  </si>
  <si>
    <t>д844</t>
  </si>
  <si>
    <t xml:space="preserve">Таяқшалар </t>
  </si>
  <si>
    <t>д843</t>
  </si>
  <si>
    <t xml:space="preserve">Интеллектум. </t>
  </si>
  <si>
    <t>Таяқшалар</t>
  </si>
  <si>
    <t>д842</t>
  </si>
  <si>
    <t>Б.Тогысбаев, А.Сужикова</t>
  </si>
  <si>
    <t>Тарихи тулғалар</t>
  </si>
  <si>
    <t>д841</t>
  </si>
  <si>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</si>
  <si>
    <t>Тактильные мешочки разноцветные</t>
  </si>
  <si>
    <t>д840</t>
  </si>
  <si>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</si>
  <si>
    <t>Грузовые машинки с веревкой</t>
  </si>
  <si>
    <t>д84</t>
  </si>
  <si>
    <t>Тактильные карточки используются для развития сенсорного восприятия, речи и мелкой моторики у детей дошкольного возраста.</t>
  </si>
  <si>
    <t>Тактильные карточки</t>
  </si>
  <si>
    <t>д839</t>
  </si>
  <si>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</si>
  <si>
    <t>Тактильные дорожки</t>
  </si>
  <si>
    <t>д838</t>
  </si>
  <si>
    <t>Игравой набор сенсорной- тактильных мячиков 6 штук. Материал резина</t>
  </si>
  <si>
    <t>Тактильные "Мячики-пищалки"</t>
  </si>
  <si>
    <t>д837</t>
  </si>
  <si>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</si>
  <si>
    <t>Тактильно-развивающая панель «Гусеница»</t>
  </si>
  <si>
    <t>д836</t>
  </si>
  <si>
    <t>Таза мінсіз асыл сөз (XV-XVII ғасырлардағы жыраулардың)</t>
  </si>
  <si>
    <t>д835</t>
  </si>
  <si>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</si>
  <si>
    <t>Сюжетные картинки для детей раннего возраста</t>
  </si>
  <si>
    <t>д834</t>
  </si>
  <si>
    <t>Набор сюжетных картинок по теме «Окружающий мир». Материал — бумага, картон. Используется в образовательной деятельности ДОУ.</t>
  </si>
  <si>
    <t>Сюжетные картинки / комплекты</t>
  </si>
  <si>
    <t>д833</t>
  </si>
  <si>
    <t>Набор сюжетных картинок используется для развития речи, мышления и воображения детей. Применяется в индивидуальной и групповой работе.</t>
  </si>
  <si>
    <t>Сюжетные картинки</t>
  </si>
  <si>
    <t>д832</t>
  </si>
  <si>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</si>
  <si>
    <t>Счёты учебные для формирования навыков счёта</t>
  </si>
  <si>
    <t>д830</t>
  </si>
  <si>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</si>
  <si>
    <t>Горшечные растения с ароматными травами (базилик, тимьян, розмарин, мята, орегано, шалфей)</t>
  </si>
  <si>
    <t>д83</t>
  </si>
  <si>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</si>
  <si>
    <t>Счётный материал «Матрёшки» (деревянный набор)</t>
  </si>
  <si>
    <t>д829</t>
  </si>
  <si>
    <t>Касса цифр и счётных материалов предназначена для обучения детей основам счёта. Материал — пластик, элементы безопасны для использования в ДОУ.</t>
  </si>
  <si>
    <t>Счётный материал</t>
  </si>
  <si>
    <t>д828</t>
  </si>
  <si>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</si>
  <si>
    <t>Счётные палочки</t>
  </si>
  <si>
    <t>д827</t>
  </si>
  <si>
    <t>Құрастарған Сужикова А.</t>
  </si>
  <si>
    <t>Сұр көжек. Ертегі.Боямақ</t>
  </si>
  <si>
    <t>д826</t>
  </si>
  <si>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</si>
  <si>
    <t>Сухой интерактивный бассейн угловой</t>
  </si>
  <si>
    <t>д825</t>
  </si>
  <si>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</si>
  <si>
    <t>Сухой бассейн с шариками</t>
  </si>
  <si>
    <t>д824</t>
  </si>
  <si>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</si>
  <si>
    <t>Сундучок логопеда</t>
  </si>
  <si>
    <t>д822</t>
  </si>
  <si>
    <t>Декоративный сундук для хранения книг, настольных игр и текстильных элементов. Используется также как интерьерный элемент. Материал — дерево или ЛДСП.</t>
  </si>
  <si>
    <t>Сундук (сандық)</t>
  </si>
  <si>
    <t>д821</t>
  </si>
  <si>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</si>
  <si>
    <t>Сумочки</t>
  </si>
  <si>
    <t>д820</t>
  </si>
  <si>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</si>
  <si>
    <t>Гончарный круг детский</t>
  </si>
  <si>
    <t>д82</t>
  </si>
  <si>
    <t>Детская сумка с ручками предназначена для использования в детском саду (переноска личных вещей, сменной одежды, пособий). Материал — ПВХ. Размер — 22×23 см.</t>
  </si>
  <si>
    <t>Сумка с ручками</t>
  </si>
  <si>
    <t>д819</t>
  </si>
  <si>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</si>
  <si>
    <t>Сумка для девочек</t>
  </si>
  <si>
    <t>д818</t>
  </si>
  <si>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</si>
  <si>
    <t>Строительный набор из крупных кубиков, 49 элементов</t>
  </si>
  <si>
    <t>д817</t>
  </si>
  <si>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</si>
  <si>
    <t>Строительные блоки</t>
  </si>
  <si>
    <t>д816</t>
  </si>
  <si>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</si>
  <si>
    <t>Стол игровой развивающий для конструктора</t>
  </si>
  <si>
    <t>д815</t>
  </si>
  <si>
    <t>Медицинский инструмент для прослушивания дыхания и сердечных тонов.</t>
  </si>
  <si>
    <t>Стетоскоп</t>
  </si>
  <si>
    <t>д814</t>
  </si>
  <si>
    <t>Детская степ-платформа размером 45×28 см. Используется для физических упражнений, развития координации, выносливости и двигательной активности.</t>
  </si>
  <si>
    <t>Степ-платформа детская</t>
  </si>
  <si>
    <t>д813</t>
  </si>
  <si>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</si>
  <si>
    <t>Стенды для обьявления</t>
  </si>
  <si>
    <t>д812</t>
  </si>
  <si>
    <t>Стенды для объявлений</t>
  </si>
  <si>
    <t>д811</t>
  </si>
  <si>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</si>
  <si>
    <t>Стеллаж «Чудо домик»</t>
  </si>
  <si>
    <t>д810</t>
  </si>
  <si>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</si>
  <si>
    <t>Головоломка с животными</t>
  </si>
  <si>
    <t>д81</t>
  </si>
  <si>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</si>
  <si>
    <t>Стеки для лепки</t>
  </si>
  <si>
    <t>д809</t>
  </si>
  <si>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</si>
  <si>
    <t>Спатифиллум</t>
  </si>
  <si>
    <t>д808</t>
  </si>
  <si>
    <t>Набор предназначен для обучения сортировке и захвату предметов. Включает деревянные стаканчики, шары, ложку и пинцет.</t>
  </si>
  <si>
    <t>Сортировочный набор</t>
  </si>
  <si>
    <t>д807</t>
  </si>
  <si>
    <t>Деревянный сортер с платформой и геометрическими фигурками. Используется для развития логического мышления и моторики.</t>
  </si>
  <si>
    <t>Сортер фигур</t>
  </si>
  <si>
    <t>д806</t>
  </si>
  <si>
    <t>Сортер предназначен для обучения сортировке по цвету и форме. Развивает внимание и мелкую моторику.</t>
  </si>
  <si>
    <t>Сортер разноцветные фигурки</t>
  </si>
  <si>
    <t>д805</t>
  </si>
  <si>
    <t>Деревянный сортер предназначен для развития координации движений, внимания и навыков сортировки.</t>
  </si>
  <si>
    <t>Сортер для шариков</t>
  </si>
  <si>
    <t>д804</t>
  </si>
  <si>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</si>
  <si>
    <t>Сортер деревянный «Волшебный сундучок»</t>
  </si>
  <si>
    <t>д803</t>
  </si>
  <si>
    <t>Магнитный сортер предназначен для развития координации рук, внимания и точности движений.</t>
  </si>
  <si>
    <t>Сортер «Рыбалка»</t>
  </si>
  <si>
    <t>д802</t>
  </si>
  <si>
    <t>Развивающая игра в форме дерева с фигурками животных и птиц. Используется для развития логики, моторики и познавательных навыков.</t>
  </si>
  <si>
    <t>Сортер «Лесное дерево»</t>
  </si>
  <si>
    <t>д801</t>
  </si>
  <si>
    <t>Деревянный сортер предназначен для развития логического мышления, мелкой моторики и навыков сортировки по цвету и форме.</t>
  </si>
  <si>
    <t>Сортер «Гномики»</t>
  </si>
  <si>
    <t>д800</t>
  </si>
  <si>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</si>
  <si>
    <t>Глобус физический</t>
  </si>
  <si>
    <t>д80</t>
  </si>
  <si>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</si>
  <si>
    <t>«3Д ұшбұрыш» (Интеллектум)</t>
  </si>
  <si>
    <t>д8</t>
  </si>
  <si>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</si>
  <si>
    <t>Соль для монтажа. Высший сорт. (с
доставкой)</t>
  </si>
  <si>
    <t>д799</t>
  </si>
  <si>
    <t>Соль для монтажа (высший сорт)</t>
  </si>
  <si>
    <t>д798</t>
  </si>
  <si>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</si>
  <si>
    <t>Соединяющиеся кубики (100 элементов)</t>
  </si>
  <si>
    <t>д797</t>
  </si>
  <si>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</si>
  <si>
    <t>Совместная эластичная верёвка</t>
  </si>
  <si>
    <t>д796</t>
  </si>
  <si>
    <t>Скоро в школу</t>
  </si>
  <si>
    <t>д795</t>
  </si>
  <si>
    <t>Скейтборд предназначен для активного отдыха и развития координации движений. Используется под контролем взрослых в специально отведённых зонах.</t>
  </si>
  <si>
    <t>Скейтборд (пенниборд)</t>
  </si>
  <si>
    <t>д794</t>
  </si>
  <si>
    <t>Скатерть предназначена для защиты поверхности стола и оформления пространства. Изготовлена из износостойкого материала, легко очищается.</t>
  </si>
  <si>
    <t>Скатерть на стол</t>
  </si>
  <si>
    <t>д793</t>
  </si>
  <si>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</si>
  <si>
    <t>Скалка для творчества</t>
  </si>
  <si>
    <t>д791</t>
  </si>
  <si>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</si>
  <si>
    <t>Скакалки (по возрасту)</t>
  </si>
  <si>
    <t>д790</t>
  </si>
  <si>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</si>
  <si>
    <t>Глина для лепки</t>
  </si>
  <si>
    <t>д79</t>
  </si>
  <si>
    <t>Болл Дж.</t>
  </si>
  <si>
    <t>Сиқырлы математика. Математика өмірдің барлық саласында</t>
  </si>
  <si>
    <t>д789</t>
  </si>
  <si>
    <t>Серия "Мектеп кiтапханасы" - "Школьная библиотека"</t>
  </si>
  <si>
    <t>д788</t>
  </si>
  <si>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</si>
  <si>
    <t>Серии картинок «Времена года»</t>
  </si>
  <si>
    <t>д787</t>
  </si>
  <si>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</si>
  <si>
    <t>Сенсорный стол с песком</t>
  </si>
  <si>
    <t>д786</t>
  </si>
  <si>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</si>
  <si>
    <t>Сенсорный лоток для настольных игр</t>
  </si>
  <si>
    <t>д784</t>
  </si>
  <si>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</si>
  <si>
    <t>Сенсорные звуковые цилиндры</t>
  </si>
  <si>
    <t>д783</t>
  </si>
  <si>
    <t>Несгораемый сейф предназначен для хранения важных документов и ценностей. Обеспечивает защиту содержимого от огня и механических воздействий.</t>
  </si>
  <si>
    <t>Сейф несгораемый</t>
  </si>
  <si>
    <t>д780</t>
  </si>
  <si>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</si>
  <si>
    <t>Гимнастическая скамейка</t>
  </si>
  <si>
    <t>д78</t>
  </si>
  <si>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</si>
  <si>
    <t>Свисток</t>
  </si>
  <si>
    <t>д778</t>
  </si>
  <si>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</si>
  <si>
    <t>Светодиодная лента RGB с пультом</t>
  </si>
  <si>
    <t>д777</t>
  </si>
  <si>
    <t>Светодиодная лента для оформления с пультом RGB</t>
  </si>
  <si>
    <t>д776</t>
  </si>
  <si>
    <t>Светлые дни (о Б.Момышулы)</t>
  </si>
  <si>
    <t>д775</t>
  </si>
  <si>
    <t>Тажибаев А.</t>
  </si>
  <si>
    <t>Сборник стихов к 110-летию поэта. Тажибаев А. (Рухани жаңғыру)</t>
  </si>
  <si>
    <t>д774</t>
  </si>
  <si>
    <t>Игра «Сәулетші» включает в себя 200 шт палочки, инструкцию</t>
  </si>
  <si>
    <t xml:space="preserve">Сәулетші </t>
  </si>
  <si>
    <t>д773</t>
  </si>
  <si>
    <t>Хинаят Б.</t>
  </si>
  <si>
    <t>Саятшылық. Қазақтың дәстурлі аншылығы (каз., англ.)</t>
  </si>
  <si>
    <t>д772</t>
  </si>
  <si>
    <t>Саят. Казахская традиционная охота. (рус., англ.)</t>
  </si>
  <si>
    <t>д771</t>
  </si>
  <si>
    <t>под ред. П. Френсис, Р. Хьюстон (перевод Шарипова А.)</t>
  </si>
  <si>
    <t>Сан сауалдың жауабы. Энциклопедиясы</t>
  </si>
  <si>
    <t>д770</t>
  </si>
  <si>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</si>
  <si>
    <t>Гидропонная установка учебно-демонстрационная</t>
  </si>
  <si>
    <t>д77</t>
  </si>
  <si>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</si>
  <si>
    <t>Салфетки</t>
  </si>
  <si>
    <t>д769</t>
  </si>
  <si>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</si>
  <si>
    <t>Ручная кукла животных</t>
  </si>
  <si>
    <t>д768</t>
  </si>
  <si>
    <t>Нержавеющая сталь 430; Параметры: 500X400X310 mm</t>
  </si>
  <si>
    <t>Рукомойник с коленным управлением ce-dke50x40</t>
  </si>
  <si>
    <t>д767</t>
  </si>
  <si>
    <t>Ростомер используется для измерения роста. Изготовлен в виде наклеек, размещаемых на стене. Высота шкалы составляет около 135 см. Материал — плёнка.</t>
  </si>
  <si>
    <t>Ростомер настенный</t>
  </si>
  <si>
    <t>д766</t>
  </si>
  <si>
    <t>Используется для измерения роста детей. Устойчивый, простой в эксплуатации, соответствует требованиям ДОУ.</t>
  </si>
  <si>
    <t>Ростомер механический напольный РП «Эконом»</t>
  </si>
  <si>
    <t>д765</t>
  </si>
  <si>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</si>
  <si>
    <t>ренажёр логопедический, перекидной. Звукотренировка. Чистоговорки, игры</t>
  </si>
  <si>
    <t>д763</t>
  </si>
  <si>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</si>
  <si>
    <t>Растения, набор</t>
  </si>
  <si>
    <t>д762</t>
  </si>
  <si>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</si>
  <si>
    <t>Растения с крупными листьями для изучения формы</t>
  </si>
  <si>
    <t>д761</t>
  </si>
  <si>
    <t>Неприхотливые в уходе, безопасные для детей растения, не имеющие острых элементов и токсичных свойств. Высота растений — 400–800 мм, диаметр горшка — 180–250 мм.</t>
  </si>
  <si>
    <t>Растения (цветы)</t>
  </si>
  <si>
    <t>д760</t>
  </si>
  <si>
    <t>Гигрометр 0-25 градусов</t>
  </si>
  <si>
    <t>Гигрометр</t>
  </si>
  <si>
    <t>д76</t>
  </si>
  <si>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</si>
  <si>
    <t>Раскраска «Kazakhstan. Astana»</t>
  </si>
  <si>
    <t>д759</t>
  </si>
  <si>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</si>
  <si>
    <t>Раскраска «Жабайы жануарларды білесің бе?»</t>
  </si>
  <si>
    <t>д758</t>
  </si>
  <si>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</si>
  <si>
    <t>Рамка-вкладыш «Кто где живёт»</t>
  </si>
  <si>
    <t>д757</t>
  </si>
  <si>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</si>
  <si>
    <t>Ракушки морские натуральные для декора</t>
  </si>
  <si>
    <t>д756</t>
  </si>
  <si>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</si>
  <si>
    <t>Разделитель для папки</t>
  </si>
  <si>
    <t>д755</t>
  </si>
  <si>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</si>
  <si>
    <t>Раздаточные материалы по развитию речи и художественной литературе</t>
  </si>
  <si>
    <t>д754</t>
  </si>
  <si>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</si>
  <si>
    <t>Раздаточные материалы по аппликации 2+ лет</t>
  </si>
  <si>
    <t>д753</t>
  </si>
  <si>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</si>
  <si>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</si>
  <si>
    <t>д752</t>
  </si>
  <si>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</si>
  <si>
    <t>Раздаточные материалы для занятий по рисованию</t>
  </si>
  <si>
    <t>д751</t>
  </si>
  <si>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</si>
  <si>
    <t>Развитие речи и художественная литература</t>
  </si>
  <si>
    <t>д750</t>
  </si>
  <si>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</si>
  <si>
    <t>Геометрическая головоломка «Цветок»</t>
  </si>
  <si>
    <t>д75</t>
  </si>
  <si>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</si>
  <si>
    <t>Развивающий набор «Кубик с мозаикой»</t>
  </si>
  <si>
    <t>д749</t>
  </si>
  <si>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</si>
  <si>
    <t>Развивающий набор «Волшебная мозаика»</t>
  </si>
  <si>
    <t>д748</t>
  </si>
  <si>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</si>
  <si>
    <t>Развивающий набор «Весёлые звуки»</t>
  </si>
  <si>
    <t>д747</t>
  </si>
  <si>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</si>
  <si>
    <t>Развивающие карточки для малышей IQ-ZABIAKA</t>
  </si>
  <si>
    <t>д746</t>
  </si>
  <si>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</si>
  <si>
    <t>Развивающие карточки «Начинаю говорить» (набор)</t>
  </si>
  <si>
    <t>д745</t>
  </si>
  <si>
    <t>Развивающие карточки предназначены для запуска и развития речи у детей дошкольного возраста. Используются в логопедической и коррекционной работе.</t>
  </si>
  <si>
    <t>Развивающие карточки</t>
  </si>
  <si>
    <t>д744</t>
  </si>
  <si>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</si>
  <si>
    <t>Развивающие игрушки «Милый ёжик»</t>
  </si>
  <si>
    <t>д743</t>
  </si>
  <si>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</si>
  <si>
    <t>Развивающая пирамидка</t>
  </si>
  <si>
    <t>д742</t>
  </si>
  <si>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</si>
  <si>
    <t>Развивающая настольная магнитная игра «Учимся сортировать мусор»</t>
  </si>
  <si>
    <t>д741</t>
  </si>
  <si>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</si>
  <si>
    <t>Развивающая настольная логопедическая игра «Я говорю» (фразовый конструктор)</t>
  </si>
  <si>
    <t>д740</t>
  </si>
  <si>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</si>
  <si>
    <t>Гантели детские пластмассовые</t>
  </si>
  <si>
    <t>д74</t>
  </si>
  <si>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</si>
  <si>
    <t>Развивающая настольная игра для развития пространственного мышленпия</t>
  </si>
  <si>
    <t>д739</t>
  </si>
  <si>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</si>
  <si>
    <t>Развивающая настольная игра «Chair stack»</t>
  </si>
  <si>
    <t>д738</t>
  </si>
  <si>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</si>
  <si>
    <t>Развивающая настольная игра «Домино. Фрукты и овощи»</t>
  </si>
  <si>
    <t>д737</t>
  </si>
  <si>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</si>
  <si>
    <t>Развивающая игрушка «Ягодный пирог» (68 элементов)</t>
  </si>
  <si>
    <t>д736</t>
  </si>
  <si>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</si>
  <si>
    <t>Развивающая игрушка «Моя первая лаборатория. Юный исследователь» (22 элемента)</t>
  </si>
  <si>
    <t>д735</t>
  </si>
  <si>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</si>
  <si>
    <t>Развивающая игрушка «Моя первая лаборатория. Колбы с подставкой» (6 элементов)</t>
  </si>
  <si>
    <t>д734</t>
  </si>
  <si>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</si>
  <si>
    <t>Развивающая игрушка «Весёлые совята» (37 элементов)</t>
  </si>
  <si>
    <t>д733</t>
  </si>
  <si>
    <t>Игра предназначена для развития цветового восприятия, координации движений, логического мышления и моторики у детей дошкольного возраста.</t>
  </si>
  <si>
    <t>Развивающая игра с разноцветными стаканами</t>
  </si>
  <si>
    <t>д732</t>
  </si>
  <si>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</si>
  <si>
    <t>Развивающая игра «Цветные рыбки»</t>
  </si>
  <si>
    <t>д731</t>
  </si>
  <si>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</si>
  <si>
    <t>Развивающая игра «Считай и проверяй»</t>
  </si>
  <si>
    <t>д730</t>
  </si>
  <si>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</si>
  <si>
    <t>Восковые карандаши</t>
  </si>
  <si>
    <t>д73</t>
  </si>
  <si>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</si>
  <si>
    <t>Развивающая игра «Математика для дошкольников»</t>
  </si>
  <si>
    <t>д729</t>
  </si>
  <si>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</si>
  <si>
    <t>Развивающая игра «Кто что ест?»</t>
  </si>
  <si>
    <t>д728</t>
  </si>
  <si>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</si>
  <si>
    <t>Развивающая игра «Всякая всячина»</t>
  </si>
  <si>
    <t>д727</t>
  </si>
  <si>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</si>
  <si>
    <t>Развивающая игра — нейротренажёр «Логопедический пальцеход»</t>
  </si>
  <si>
    <t>д726</t>
  </si>
  <si>
    <t>Чуковский К.</t>
  </si>
  <si>
    <t>Пұшайман Федора</t>
  </si>
  <si>
    <t>д725</t>
  </si>
  <si>
    <t>Используется для местного охлаждения при ушибах и других медицинских показаниях.</t>
  </si>
  <si>
    <t>Пузырь для льда</t>
  </si>
  <si>
    <t>д724</t>
  </si>
  <si>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</si>
  <si>
    <t>Протектор стеновой мягкий, м²</t>
  </si>
  <si>
    <t>д723</t>
  </si>
  <si>
    <t xml:space="preserve">Прозрачные пластиковые контейнеры предназначены для хранения и систематизации дидактических материалов, игрушек и принадлежностей. </t>
  </si>
  <si>
    <t>Прозрачные контейнеры</t>
  </si>
  <si>
    <t>д722</t>
  </si>
  <si>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</si>
  <si>
    <t>Проектор «Звёздное небо / Северное сияние»</t>
  </si>
  <si>
    <t>д721</t>
  </si>
  <si>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</si>
  <si>
    <t>Принадлежности для работы на участке (комплект)</t>
  </si>
  <si>
    <t>д720</t>
  </si>
  <si>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</si>
  <si>
    <t>Воздушно-пузырьковая колонна с подсветкой</t>
  </si>
  <si>
    <t>д72</t>
  </si>
  <si>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</si>
  <si>
    <t>Предметные картинки разной формы</t>
  </si>
  <si>
    <t>д719</t>
  </si>
  <si>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</si>
  <si>
    <t>Потолочный фиберооптический модуль «Тучка»</t>
  </si>
  <si>
    <t>д718</t>
  </si>
  <si>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</si>
  <si>
    <t>Потолочный светильник в виде книги</t>
  </si>
  <si>
    <t>д717</t>
  </si>
  <si>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</si>
  <si>
    <t>Посуда, игровой набор металлический (11 предметов)</t>
  </si>
  <si>
    <t>д716</t>
  </si>
  <si>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</si>
  <si>
    <t>Полотенце детское</t>
  </si>
  <si>
    <t>д715</t>
  </si>
  <si>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</si>
  <si>
    <t>Полоса препятствий модульная (4 элемента)</t>
  </si>
  <si>
    <t>д714</t>
  </si>
  <si>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</si>
  <si>
    <t>Полицейский вертолет трансформер</t>
  </si>
  <si>
    <t>д713</t>
  </si>
  <si>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</si>
  <si>
    <t>Полевые цветы (обучающие карточки)</t>
  </si>
  <si>
    <t>д712</t>
  </si>
  <si>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</si>
  <si>
    <t>Пожарная машинка</t>
  </si>
  <si>
    <t>д711</t>
  </si>
  <si>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</si>
  <si>
    <t>Пожарная машина</t>
  </si>
  <si>
    <t>д710</t>
  </si>
  <si>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</si>
  <si>
    <t>Виброплатформа</t>
  </si>
  <si>
    <t>д71</t>
  </si>
  <si>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</si>
  <si>
    <t>Поезд (деревянный)</t>
  </si>
  <si>
    <t>д709</t>
  </si>
  <si>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</si>
  <si>
    <t>Подушка детская</t>
  </si>
  <si>
    <t>д708</t>
  </si>
  <si>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</si>
  <si>
    <t>Плед / покрывало</t>
  </si>
  <si>
    <t>д707</t>
  </si>
  <si>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</si>
  <si>
    <t>Пластилины (набор)</t>
  </si>
  <si>
    <t>д706</t>
  </si>
  <si>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</si>
  <si>
    <t>Пластилин</t>
  </si>
  <si>
    <t>д705</t>
  </si>
  <si>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</si>
  <si>
    <t>Планшет развивающий</t>
  </si>
  <si>
    <t>д704</t>
  </si>
  <si>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</si>
  <si>
    <t>Плакаты с правильным произношением звуков</t>
  </si>
  <si>
    <t>д703</t>
  </si>
  <si>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</si>
  <si>
    <t>Плакаты артикуляционной гимнастики</t>
  </si>
  <si>
    <t>д702</t>
  </si>
  <si>
    <t>Піл мен жолбарыс.Ертегі.Боямақ</t>
  </si>
  <si>
    <t>д701</t>
  </si>
  <si>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</si>
  <si>
    <t>Пирамидки разные</t>
  </si>
  <si>
    <t>д700</t>
  </si>
  <si>
    <t>Грузоподъемность: 10 кг; Чувствительность: 5 г</t>
  </si>
  <si>
    <t>Весы sw-10 dd</t>
  </si>
  <si>
    <t>д70</t>
  </si>
  <si>
    <t>"Өзің жаса"Топтамасы. Үй жануарлары. Серия "Сделай сам!" Домашние животные из картона</t>
  </si>
  <si>
    <t>д7</t>
  </si>
  <si>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</si>
  <si>
    <t>Пирамидки деревянные бусы</t>
  </si>
  <si>
    <t>д699</t>
  </si>
  <si>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</si>
  <si>
    <t>Пирамидка разного размера</t>
  </si>
  <si>
    <t>д698</t>
  </si>
  <si>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</si>
  <si>
    <t>Пирамидка радуга из дерева</t>
  </si>
  <si>
    <t>д697</t>
  </si>
  <si>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</si>
  <si>
    <t>Пирамидка логическая «Фигурки»</t>
  </si>
  <si>
    <t>д696</t>
  </si>
  <si>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</si>
  <si>
    <t>Пирамидка конусная</t>
  </si>
  <si>
    <t>д695</t>
  </si>
  <si>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</si>
  <si>
    <t>Пирамидка</t>
  </si>
  <si>
    <t>д694</t>
  </si>
  <si>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</si>
  <si>
    <t>Пирамида из шести шестерёнок</t>
  </si>
  <si>
    <t>д693</t>
  </si>
  <si>
    <t>Применяется для медицинских манипуляций, захвата и удержания материалов.</t>
  </si>
  <si>
    <t>Пинцет анатомический</t>
  </si>
  <si>
    <t>д692</t>
  </si>
  <si>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</si>
  <si>
    <t>Синтезатор</t>
  </si>
  <si>
    <t>д691</t>
  </si>
  <si>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</si>
  <si>
    <t>Песочный набор</t>
  </si>
  <si>
    <t>д690</t>
  </si>
  <si>
    <t>_Грузоподъемность: 200 кг; Чувствительность: 50/100 г</t>
  </si>
  <si>
    <t>Весы db-200h</t>
  </si>
  <si>
    <t>д69</t>
  </si>
  <si>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</si>
  <si>
    <t>Песочные часы / таймер</t>
  </si>
  <si>
    <t>д689</t>
  </si>
  <si>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</si>
  <si>
    <t>Песочные часы</t>
  </si>
  <si>
    <t>д688</t>
  </si>
  <si>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</si>
  <si>
    <t>Песочная терапия. Стол</t>
  </si>
  <si>
    <t>д687</t>
  </si>
  <si>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</si>
  <si>
    <t>Передвижные книжные держатели (мобильные)</t>
  </si>
  <si>
    <t>д686</t>
  </si>
  <si>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</si>
  <si>
    <t>Паром круизный «Silja Symphony»</t>
  </si>
  <si>
    <t>д684</t>
  </si>
  <si>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</si>
  <si>
    <t>Парашют игровой (групповые игры)</t>
  </si>
  <si>
    <t>д683</t>
  </si>
  <si>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</si>
  <si>
    <t>Папоротники</t>
  </si>
  <si>
    <t>д682</t>
  </si>
  <si>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</si>
  <si>
    <t>Папка</t>
  </si>
  <si>
    <t>д681</t>
  </si>
  <si>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</si>
  <si>
    <t>Весы с предметами для измерения</t>
  </si>
  <si>
    <t>д68</t>
  </si>
  <si>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</si>
  <si>
    <t>Пальчиковый театр из фетра</t>
  </si>
  <si>
    <t>д679</t>
  </si>
  <si>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</si>
  <si>
    <t>Пальчиковый театр (сказки, 5 в 1)</t>
  </si>
  <si>
    <t>д678</t>
  </si>
  <si>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</si>
  <si>
    <t>Пальчиковые персонажи</t>
  </si>
  <si>
    <t>д677</t>
  </si>
  <si>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</si>
  <si>
    <t>Пальчиковые краски</t>
  </si>
  <si>
    <t>д676</t>
  </si>
  <si>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</si>
  <si>
    <t>Палка гимнастическая</t>
  </si>
  <si>
    <t>д675</t>
  </si>
  <si>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</si>
  <si>
    <t>Пазлы с формами животных и транспорта</t>
  </si>
  <si>
    <t>д674</t>
  </si>
  <si>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</si>
  <si>
    <t>Пазлы картонные классические (наборы 26–60 элементов)</t>
  </si>
  <si>
    <t>д673</t>
  </si>
  <si>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</si>
  <si>
    <t>Пазлы деревянные и магнитные (тематические наборы)</t>
  </si>
  <si>
    <t>д672</t>
  </si>
  <si>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</si>
  <si>
    <t>Пазл-переодевание «Медвежонок»</t>
  </si>
  <si>
    <t>д671</t>
  </si>
  <si>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</si>
  <si>
    <t>Пазл-палочки деревянный (10 элементов)</t>
  </si>
  <si>
    <t>д670</t>
  </si>
  <si>
    <t>Весы предназначены для измерения массы тела детей и взрослых, используются в медицинском кабинете.</t>
  </si>
  <si>
    <t>Весы напольные</t>
  </si>
  <si>
    <t>д67</t>
  </si>
  <si>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</si>
  <si>
    <t>Пазл на липучках «Мама и малыш»</t>
  </si>
  <si>
    <t>д669</t>
  </si>
  <si>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</si>
  <si>
    <t>Пазл картонный фигурный (3–8 элементов, 4 в 1)</t>
  </si>
  <si>
    <t>д668</t>
  </si>
  <si>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</si>
  <si>
    <t>Пазл деревянный «Зверюшки»</t>
  </si>
  <si>
    <t>д667</t>
  </si>
  <si>
    <t>Мамирова Ғ.Б.</t>
  </si>
  <si>
    <t>Өнер. Түсіндірмесімен</t>
  </si>
  <si>
    <t>д666</t>
  </si>
  <si>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</si>
  <si>
    <t>Ортопедический коврик / массажный коврик модульный</t>
  </si>
  <si>
    <t>д665</t>
  </si>
  <si>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</si>
  <si>
    <t>Ортодон Коврик массажный модульный</t>
  </si>
  <si>
    <t>д664</t>
  </si>
  <si>
    <t>Казенас В., Митяев И., Ященко Р.</t>
  </si>
  <si>
    <t>Опасные животные Казахстана</t>
  </si>
  <si>
    <t>д663</t>
  </si>
  <si>
    <t>Кумисбаев Ш.</t>
  </si>
  <si>
    <t>Они были первыми</t>
  </si>
  <si>
    <t>д662</t>
  </si>
  <si>
    <t>Ж.Калжанова</t>
  </si>
  <si>
    <t>Ойсана әліппесі. Шуақты шумақтар</t>
  </si>
  <si>
    <t>д661</t>
  </si>
  <si>
    <t>В набор входит:
• весы с двумя лотками;
• 6 грузов различного веса.
Цвет в ассортименте без возможности выбора.
Размер игрушки: 28 x 13 x 12,7 см.
Материал: пластик.</t>
  </si>
  <si>
    <t>Весы детские</t>
  </si>
  <si>
    <t>д66</t>
  </si>
  <si>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</si>
  <si>
    <t>Одеяло детское</t>
  </si>
  <si>
    <t>д659</t>
  </si>
  <si>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</si>
  <si>
    <t>Обучающий набор развивающих карточек на казахском языке</t>
  </si>
  <si>
    <t>д657</t>
  </si>
  <si>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</si>
  <si>
    <t>Обучающие плакаты для дошкольников</t>
  </si>
  <si>
    <t>д656</t>
  </si>
  <si>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</si>
  <si>
    <t>Обучающие карточки «Времена года» (дидактический материал)</t>
  </si>
  <si>
    <t>д655</t>
  </si>
  <si>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</si>
  <si>
    <t>Обучающая игра «Состав числа» (набор карточек)</t>
  </si>
  <si>
    <t>д654</t>
  </si>
  <si>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</si>
  <si>
    <t>Обручи разных размеров</t>
  </si>
  <si>
    <t>д653</t>
  </si>
  <si>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</si>
  <si>
    <t>Образовательные карточки</t>
  </si>
  <si>
    <t>д652</t>
  </si>
  <si>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</si>
  <si>
    <t>Оборудование для лазания и координации движений</t>
  </si>
  <si>
    <t>д651</t>
  </si>
  <si>
    <t xml:space="preserve">Бакт. Эффективность: 99,9% - 99,0% - 95,0%_Производительность: 100 - 150 - 230  м3/час_Бактерицидные лампы: 2 х 30 Вт_Параметры: 1090х150х100 мм
</t>
  </si>
  <si>
    <t>Облучатель бактерицидный obn-150-kront</t>
  </si>
  <si>
    <t>д650</t>
  </si>
  <si>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</si>
  <si>
    <t>Вертушки для подвижных игр на улице</t>
  </si>
  <si>
    <t>д65</t>
  </si>
  <si>
    <t>Используются для медицинских и хозяйственных нужд. Безопасны за счёт закруглённых концов.</t>
  </si>
  <si>
    <t>Ножницы тупоконечные</t>
  </si>
  <si>
    <t>д648</t>
  </si>
  <si>
    <t>Медицинские ножницы для проведения процедур, требующих точности.</t>
  </si>
  <si>
    <t>Ножницы с одним острым концом прямые</t>
  </si>
  <si>
    <t>д647</t>
  </si>
  <si>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</si>
  <si>
    <t>Ножницы</t>
  </si>
  <si>
    <t>д646</t>
  </si>
  <si>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</si>
  <si>
    <t>Нитки</t>
  </si>
  <si>
    <t>д645</t>
  </si>
  <si>
    <t>М.Лейси (перевод Сужикова А., Асанова М.)</t>
  </si>
  <si>
    <t>Нельсон. Nelson (каз., рус., англ.яз.)</t>
  </si>
  <si>
    <t>д644</t>
  </si>
  <si>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</si>
  <si>
    <t>Нейротренажер для рук</t>
  </si>
  <si>
    <t>д643</t>
  </si>
  <si>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</si>
  <si>
    <t>Нейроскутер</t>
  </si>
  <si>
    <t>д642</t>
  </si>
  <si>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</si>
  <si>
    <t>Национальный элемент «Шаңырақ» (декоративный)</t>
  </si>
  <si>
    <t>д641</t>
  </si>
  <si>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</si>
  <si>
    <t>Национальный костюм для мальчиков</t>
  </si>
  <si>
    <t>д640</t>
  </si>
  <si>
    <t>Әбубәкір Ж., Сужикова А., Кайрамбаева М.</t>
  </si>
  <si>
    <t>Великий Абай. Энциклопедия</t>
  </si>
  <si>
    <t>д64</t>
  </si>
  <si>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</si>
  <si>
    <t>Национальный костюм для девочек</t>
  </si>
  <si>
    <t>д639</t>
  </si>
  <si>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</si>
  <si>
    <t>Национальная игра «Асық»</t>
  </si>
  <si>
    <t>д638</t>
  </si>
  <si>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</si>
  <si>
    <t>Натуральный кристаллический гравий для аквариумов (разноцветные мини-камешки, 65 г)</t>
  </si>
  <si>
    <t>д637</t>
  </si>
  <si>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</si>
  <si>
    <t>Настольный декоративный фонтан с эффектом водопада</t>
  </si>
  <si>
    <t>д636</t>
  </si>
  <si>
    <t>Развивающие настольные игры направлены на тренировку логики, памяти, внимания, стратегического мышления и речи у детей</t>
  </si>
  <si>
    <t>Настольные развивающие игры</t>
  </si>
  <si>
    <t>д635</t>
  </si>
  <si>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</si>
  <si>
    <t>Настольноразвивающая игра "Тез Тап"</t>
  </si>
  <si>
    <t>д634</t>
  </si>
  <si>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</si>
  <si>
    <t>Настольно-развивающая игра "КӨБЕЛЕКТЕР"</t>
  </si>
  <si>
    <t>д633</t>
  </si>
  <si>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</si>
  <si>
    <t>Настольная развивающая игра «Собери урожай»</t>
  </si>
  <si>
    <t>д632</t>
  </si>
  <si>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</si>
  <si>
    <t>Настольная развивающая игра «Математический тренажер на липучках»</t>
  </si>
  <si>
    <t>д631</t>
  </si>
  <si>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</si>
  <si>
    <t>Настольная рабочая станция (музыкальная студия)</t>
  </si>
  <si>
    <t>д630</t>
  </si>
  <si>
    <t>Эш Р.</t>
  </si>
  <si>
    <t>Великие чудеса света</t>
  </si>
  <si>
    <t>д63</t>
  </si>
  <si>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</si>
  <si>
    <t>Настольная игра со шнуровками, пуговицами, ремешками, замочками</t>
  </si>
  <si>
    <t>д629</t>
  </si>
  <si>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</si>
  <si>
    <t>Настольная игра «Candy»</t>
  </si>
  <si>
    <t>д628</t>
  </si>
  <si>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</si>
  <si>
    <t>Настольная игра «Шнуровка»</t>
  </si>
  <si>
    <t>д627</t>
  </si>
  <si>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</si>
  <si>
    <t>Настольная игра «ТҮРЛІ-ТҮСТІ БӨЛШЕКТЕР»</t>
  </si>
  <si>
    <t>д626</t>
  </si>
  <si>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</si>
  <si>
    <t>Настольная игра «ТЕЗ ТАП»</t>
  </si>
  <si>
    <t>д625</t>
  </si>
  <si>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</si>
  <si>
    <t>Настольная игра «ТАЯҚШАЛАР»</t>
  </si>
  <si>
    <t>д624</t>
  </si>
  <si>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</si>
  <si>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Настольная игра «СӘУЛЕТШІ»</t>
  </si>
  <si>
    <t>д623</t>
  </si>
  <si>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</si>
  <si>
    <t>Настольная игра «Построй башню»</t>
  </si>
  <si>
    <t>д622</t>
  </si>
  <si>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</si>
  <si>
    <t>Настольная игра «Пингвин на льдине»</t>
  </si>
  <si>
    <t>д621</t>
  </si>
  <si>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</si>
  <si>
    <t>Настольная игра «Мемори»</t>
  </si>
  <si>
    <t>д620</t>
  </si>
  <si>
    <t>Веер набор, касса букв и цифр, на казахском языке, Пчелка Н-1 №904</t>
  </si>
  <si>
    <t>Веер набор</t>
  </si>
  <si>
    <t>д62</t>
  </si>
  <si>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</si>
  <si>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Настольная игра «КӨРКЕМ ӨРНЕК»</t>
  </si>
  <si>
    <t>д619</t>
  </si>
  <si>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</si>
  <si>
    <t>Настольная игра «КӨБЕЛЕКТЕР»</t>
  </si>
  <si>
    <t>д618</t>
  </si>
  <si>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</si>
  <si>
    <t>Настольная игра «Доска умножения» (учебная)</t>
  </si>
  <si>
    <t>д617</t>
  </si>
  <si>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</si>
  <si>
    <t>Настольная игра «3D ҮШБҰРЫШ»</t>
  </si>
  <si>
    <t>д616</t>
  </si>
  <si>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</si>
  <si>
    <t>Настенный флипчарт с бумажным блоком</t>
  </si>
  <si>
    <t>д615</t>
  </si>
  <si>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</si>
  <si>
    <t>Настенный модуль для упражнений в развитии запястья (движение по прорези)</t>
  </si>
  <si>
    <t>д614</t>
  </si>
  <si>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</si>
  <si>
    <t>Настенный модуль «Медведь»</t>
  </si>
  <si>
    <t>д613</t>
  </si>
  <si>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</si>
  <si>
    <t>Нарукавники тканевые</t>
  </si>
  <si>
    <t>д612</t>
  </si>
  <si>
    <t>Л.Ледбридж (перевод Сужикова А., Асанова М. )</t>
  </si>
  <si>
    <t>Наполеон. Napoleon (каз., рус., англ.яз.)</t>
  </si>
  <si>
    <t>д611</t>
  </si>
  <si>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</si>
  <si>
    <t>Напёрстки</t>
  </si>
  <si>
    <t>д610</t>
  </si>
  <si>
    <t>Р.Уинстон</t>
  </si>
  <si>
    <t>Бұл өте оңай! Қызықты химия</t>
  </si>
  <si>
    <t>д61</t>
  </si>
  <si>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</si>
  <si>
    <t>Наглядный материал «Картотека предметных картинок: Фрукты и овощи»</t>
  </si>
  <si>
    <t>д609</t>
  </si>
  <si>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</si>
  <si>
    <t>Набор-конструктор робототехники для изучения простых механизмов (121 предмет)</t>
  </si>
  <si>
    <t>д608</t>
  </si>
  <si>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</si>
  <si>
    <t>Набор яиц</t>
  </si>
  <si>
    <t>д607</t>
  </si>
  <si>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</si>
  <si>
    <t>Набор фигурок насекомых с реалистичными изображениями и пропорциями</t>
  </si>
  <si>
    <t>д606</t>
  </si>
  <si>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</si>
  <si>
    <t>Набор фигурок животных Африки, Америки, Австралии, Европы и Азии</t>
  </si>
  <si>
    <t>д605</t>
  </si>
  <si>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</si>
  <si>
    <t>Набор транспорта (легковой, грузовой, воздушный, водный, специальный)</t>
  </si>
  <si>
    <t>д604</t>
  </si>
  <si>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</si>
  <si>
    <t>Набор супергероев (5 фигурок)</t>
  </si>
  <si>
    <t>д603</t>
  </si>
  <si>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</si>
  <si>
    <t>Набор строительных блоков с крупными элементами для конструирования. (крупные строительные блоки)</t>
  </si>
  <si>
    <t>д602</t>
  </si>
  <si>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</si>
  <si>
    <t>Набор стекаемых пластиковых корзин для хранения</t>
  </si>
  <si>
    <t>д601</t>
  </si>
  <si>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</si>
  <si>
    <t>Набор пупсов</t>
  </si>
  <si>
    <t>д600</t>
  </si>
  <si>
    <t>Бұл менікі емес...Жапсырма - кітапша. Ферма</t>
  </si>
  <si>
    <t>д60</t>
  </si>
  <si>
    <t>"Өзің жаса"Топтамасы. Жабайы аңдар. Серия "Сделай сам!" Домашние животные из картона</t>
  </si>
  <si>
    <t>д6</t>
  </si>
  <si>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</si>
  <si>
    <t>Набор принадлежностей для наблюдения за насекомыми и мелкими объектами</t>
  </si>
  <si>
    <t>д599</t>
  </si>
  <si>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</si>
  <si>
    <t>Набор предметных картинок по темам</t>
  </si>
  <si>
    <t>д598</t>
  </si>
  <si>
    <t>Возрастное ограничение 3+, материал метал, в наборе 13 предметов, размер упаковки 22*32*9 см, производство Китай.</t>
  </si>
  <si>
    <t>Набор посуды в коробке</t>
  </si>
  <si>
    <t>д597</t>
  </si>
  <si>
    <t>Игровой набор посудки. набор чайный. Материал металл.</t>
  </si>
  <si>
    <t>Набор посудок</t>
  </si>
  <si>
    <t>д596</t>
  </si>
  <si>
    <t xml:space="preserve">Набор из 4-38 шт. редких кристаллов, камень минерал, кристаллический кластер, отдельный кристаллический минеральный камень, </t>
  </si>
  <si>
    <t>Набор полезных ископаемых</t>
  </si>
  <si>
    <t>д595</t>
  </si>
  <si>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</si>
  <si>
    <t>Набор повара детский</t>
  </si>
  <si>
    <t>д594</t>
  </si>
  <si>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</si>
  <si>
    <t>Набор плакатов для малыша (0–3 года)</t>
  </si>
  <si>
    <t>д593</t>
  </si>
  <si>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</si>
  <si>
    <t>Набор парикмахера детский</t>
  </si>
  <si>
    <t>д592</t>
  </si>
  <si>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</si>
  <si>
    <t>Набор обучающих карточек «Уроки экологии»</t>
  </si>
  <si>
    <t>д591</t>
  </si>
  <si>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</si>
  <si>
    <t>Набор обучающих игрушек (фетровая доска)</t>
  </si>
  <si>
    <t>д590</t>
  </si>
  <si>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</si>
  <si>
    <t>Бумага цветная формата А4</t>
  </si>
  <si>
    <t>д59</t>
  </si>
  <si>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</si>
  <si>
    <t>Набор мишеней на липучках для метательных упражнений</t>
  </si>
  <si>
    <t>д589</t>
  </si>
  <si>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</si>
  <si>
    <t>Набор миниатюрных фигурок домашних птиц</t>
  </si>
  <si>
    <t>д588</t>
  </si>
  <si>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</si>
  <si>
    <t>Набор миниатюрных фигурок «Профессии», комплект 7 шт.</t>
  </si>
  <si>
    <t>д587</t>
  </si>
  <si>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</si>
  <si>
    <t>Набор мини-фигурок животных в коробках для игровых и классификационных заданий</t>
  </si>
  <si>
    <t>д586</t>
  </si>
  <si>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</si>
  <si>
    <t>Набор мини-фигур человека для ролевых и проективных игр</t>
  </si>
  <si>
    <t>д585</t>
  </si>
  <si>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</si>
  <si>
    <t xml:space="preserve">Набор мини-насекомых </t>
  </si>
  <si>
    <t>д584</t>
  </si>
  <si>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</si>
  <si>
    <t>Набор мини-домиков для сюжетно-ролевых игр</t>
  </si>
  <si>
    <t>д583</t>
  </si>
  <si>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</si>
  <si>
    <t>Набор мини-блоков для конструирования, 100 элементов</t>
  </si>
  <si>
    <t>д582</t>
  </si>
  <si>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</si>
  <si>
    <t>Набор мерных ёмкостей «Маэстро»</t>
  </si>
  <si>
    <t>д581</t>
  </si>
  <si>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</si>
  <si>
    <t>Набор кукольного театра</t>
  </si>
  <si>
    <t>д580</t>
  </si>
  <si>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</si>
  <si>
    <t>Бумага цветная для творческих и аппликационных работ</t>
  </si>
  <si>
    <t>д58</t>
  </si>
  <si>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</si>
  <si>
    <t>Набор кукол на шарнирах</t>
  </si>
  <si>
    <t>д579</t>
  </si>
  <si>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</si>
  <si>
    <t>Набор кукол (семья, 7 фигур)</t>
  </si>
  <si>
    <t>д578</t>
  </si>
  <si>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</si>
  <si>
    <t>Набор кубиков «Алфавит с цифрами»</t>
  </si>
  <si>
    <t>д577</t>
  </si>
  <si>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</si>
  <si>
    <t>Набор костюма «Человек-паук»</t>
  </si>
  <si>
    <t>д576</t>
  </si>
  <si>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</si>
  <si>
    <t>Набор книг с глазками</t>
  </si>
  <si>
    <t>д575</t>
  </si>
  <si>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</si>
  <si>
    <t>Набор книг для малышей «Крохе», 6 шт.</t>
  </si>
  <si>
    <t>д574</t>
  </si>
  <si>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</si>
  <si>
    <t>Набор керамических горшков в виде животных</t>
  </si>
  <si>
    <t>д573</t>
  </si>
  <si>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</si>
  <si>
    <t>Набор кеглей</t>
  </si>
  <si>
    <t>д572</t>
  </si>
  <si>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</si>
  <si>
    <t>Набор карточек «Цифры и цвета»</t>
  </si>
  <si>
    <t>д571</t>
  </si>
  <si>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</si>
  <si>
    <t>Набор картонных книг «Животные», 4 шт.</t>
  </si>
  <si>
    <t>д570</t>
  </si>
  <si>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</si>
  <si>
    <t>Набор камней для балансировки</t>
  </si>
  <si>
    <t>д569</t>
  </si>
  <si>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</si>
  <si>
    <t>Набор камней "Минералы"</t>
  </si>
  <si>
    <t>д568</t>
  </si>
  <si>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</si>
  <si>
    <t>Набор из двух зеркал для опытов с симметрией</t>
  </si>
  <si>
    <t>д567</t>
  </si>
  <si>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</si>
  <si>
    <t>Набор из 20 игрушечных машинок</t>
  </si>
  <si>
    <t>д566</t>
  </si>
  <si>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</si>
  <si>
    <t>Набор игрушечных продуктов «Хлеб»</t>
  </si>
  <si>
    <t>д565</t>
  </si>
  <si>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</si>
  <si>
    <t>Набор игрушечной посуды</t>
  </si>
  <si>
    <t>д564</t>
  </si>
  <si>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</si>
  <si>
    <t>Набор игрушек для песка и воды</t>
  </si>
  <si>
    <t>д563</t>
  </si>
  <si>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</si>
  <si>
    <t>Набор игрушек для игры с песком</t>
  </si>
  <si>
    <t>д562</t>
  </si>
  <si>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</si>
  <si>
    <t>Набор игрушек «Птицы»</t>
  </si>
  <si>
    <t>д561</t>
  </si>
  <si>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</si>
  <si>
    <t>Набор игрушек «Большие игровые фигурки животных»</t>
  </si>
  <si>
    <t>д560</t>
  </si>
  <si>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</si>
  <si>
    <t>Бревно гимнастическое напольное мягкое</t>
  </si>
  <si>
    <t>д56</t>
  </si>
  <si>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</si>
  <si>
    <t>Набор игровых элементов с бусинами на шнурках</t>
  </si>
  <si>
    <t>д559</t>
  </si>
  <si>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</si>
  <si>
    <t>Набор игровой «Юрта и её убранство»</t>
  </si>
  <si>
    <t>д558</t>
  </si>
  <si>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</si>
  <si>
    <t>Набор игровой «Полицейская машина-кейс»</t>
  </si>
  <si>
    <t>д557</t>
  </si>
  <si>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</si>
  <si>
    <t>Набор игровой «Пожарная станция»</t>
  </si>
  <si>
    <t>д556</t>
  </si>
  <si>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</si>
  <si>
    <t>Набор игровой «Динозавры» (6 предметов)</t>
  </si>
  <si>
    <t>д555</t>
  </si>
  <si>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</si>
  <si>
    <t>Набор дорожных знаков детских напольных (75 см)</t>
  </si>
  <si>
    <t>д554</t>
  </si>
  <si>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</si>
  <si>
    <t>Набор домашних животных «Я играю в зоопарк» (6 фигур)</t>
  </si>
  <si>
    <t>д553</t>
  </si>
  <si>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</si>
  <si>
    <t>Набор домашних животных</t>
  </si>
  <si>
    <t>д552</t>
  </si>
  <si>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</si>
  <si>
    <t>Набор доктора «Волшебная аптечка» в чемоданчике (25 предметов)</t>
  </si>
  <si>
    <t>д551</t>
  </si>
  <si>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</si>
  <si>
    <t>Набор для подвижных игр «Кольцеброс»</t>
  </si>
  <si>
    <t>д550</t>
  </si>
  <si>
    <t>Біздің сүйікті қаламыз Алматы: деректі повесть</t>
  </si>
  <si>
    <t>д55</t>
  </si>
  <si>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</si>
  <si>
    <t>Набор для песочницы</t>
  </si>
  <si>
    <t>д549</t>
  </si>
  <si>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</si>
  <si>
    <t>Набор для песка «Семья»</t>
  </si>
  <si>
    <t>д548</t>
  </si>
  <si>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</si>
  <si>
    <t>Набор для опытов «Солнечная система»</t>
  </si>
  <si>
    <t>д547</t>
  </si>
  <si>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</si>
  <si>
    <t>Набор для конструирования роботизированный (тема «Домашние животные»)</t>
  </si>
  <si>
    <t>д546</t>
  </si>
  <si>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</si>
  <si>
    <t>Набор для игры с песком</t>
  </si>
  <si>
    <t>д545</t>
  </si>
  <si>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</si>
  <si>
    <t>Набор для игры в доктора (15 предметов)</t>
  </si>
  <si>
    <t>д544</t>
  </si>
  <si>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</si>
  <si>
    <t>Набор диатонических ручных колокольчиков (8 тонов)</t>
  </si>
  <si>
    <t>д543</t>
  </si>
  <si>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</si>
  <si>
    <t>Набор детских ударных и шумовых музыкальных инструментов с сумкой</t>
  </si>
  <si>
    <t>д542</t>
  </si>
  <si>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</si>
  <si>
    <t>Набор детских музыкальных инструментов (33 предмета)</t>
  </si>
  <si>
    <t>д541</t>
  </si>
  <si>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</si>
  <si>
    <t>Набор детских музыкальных инструментов</t>
  </si>
  <si>
    <t>д540</t>
  </si>
  <si>
    <t>под ред. Д. Ганеш (перевод Қарт Ұ.М.)</t>
  </si>
  <si>
    <t>Биология. Просто и легко</t>
  </si>
  <si>
    <t>д54</t>
  </si>
  <si>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</si>
  <si>
    <t>Набор деревянных фигурок «Люди и животные»</t>
  </si>
  <si>
    <t>д539</t>
  </si>
  <si>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</si>
  <si>
    <t>Набор деревянных сенсорных инструментов</t>
  </si>
  <si>
    <t>д538</t>
  </si>
  <si>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</si>
  <si>
    <t>Набор деревянных игр для счета</t>
  </si>
  <si>
    <t>д537</t>
  </si>
  <si>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</si>
  <si>
    <t>Набор декоративных фруктов и овощей (искусственные)</t>
  </si>
  <si>
    <t>д536</t>
  </si>
  <si>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</si>
  <si>
    <t>Набор гербариев</t>
  </si>
  <si>
    <t>д535</t>
  </si>
  <si>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</si>
  <si>
    <t>Набор геометрических фигур и разверток (демонстрационный)</t>
  </si>
  <si>
    <t>д534</t>
  </si>
  <si>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</si>
  <si>
    <t>Набор гаек и болтов</t>
  </si>
  <si>
    <t>д533</t>
  </si>
  <si>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</si>
  <si>
    <t>Набор восковых карандашей (9 шт.)</t>
  </si>
  <si>
    <t>д532</t>
  </si>
  <si>
    <t>Используется для развития равновесия, координации движений и моторного контроля. Подходит для подвижных, физкультурных и коррекционных занятий.</t>
  </si>
  <si>
    <t>Набор балансирующих ступенек</t>
  </si>
  <si>
    <t>д531</t>
  </si>
  <si>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</si>
  <si>
    <t>Набор анатомических моделей органов артикуляции: язык, зубы, губы</t>
  </si>
  <si>
    <t>д530</t>
  </si>
  <si>
    <t>Биология. Оңай әрі жеңіл</t>
  </si>
  <si>
    <t>д53</t>
  </si>
  <si>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</si>
  <si>
    <t>Набор «Строительные машины» с коробом для хранения</t>
  </si>
  <si>
    <t>д529</t>
  </si>
  <si>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</si>
  <si>
    <t>Набор «Рыбалка»</t>
  </si>
  <si>
    <t>д528</t>
  </si>
  <si>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</si>
  <si>
    <t>Набор «Большой супермаркет»</t>
  </si>
  <si>
    <t>д527</t>
  </si>
  <si>
    <t>Комплект предназначен для организации разнообразной двигательной и коррекционной деятельности, сенсорных и игровых упражнений.</t>
  </si>
  <si>
    <t>Мячи разных размеров (резиновые, мягкие, массажные)</t>
  </si>
  <si>
    <t>д526</t>
  </si>
  <si>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</si>
  <si>
    <t>Мяч-прыгун с ручкой</t>
  </si>
  <si>
    <t>д525</t>
  </si>
  <si>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</si>
  <si>
    <t>Мяч с шипами (сенсорный)</t>
  </si>
  <si>
    <t>д524</t>
  </si>
  <si>
    <t>Мяч малого диаметра для игр и упражнений на координацию и метание. Удобен для детской руки, хорошо отскакивает от поверхности.</t>
  </si>
  <si>
    <t>Мяч резиновый 100 мм</t>
  </si>
  <si>
    <t>д523</t>
  </si>
  <si>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</si>
  <si>
    <t>Мяч резиновый</t>
  </si>
  <si>
    <t>д522</t>
  </si>
  <si>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</si>
  <si>
    <t>Мяч для настольного тенниса</t>
  </si>
  <si>
    <t>д521</t>
  </si>
  <si>
    <t>Предназначен для метательных упражнений и развития силы, координации и моторного контроля. Используется в спортивных и коррекционных занятиях.</t>
  </si>
  <si>
    <t>Мяч для метания</t>
  </si>
  <si>
    <t>д520</t>
  </si>
  <si>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</si>
  <si>
    <t>Бизикуб с игровыми элементами</t>
  </si>
  <si>
    <t>д52</t>
  </si>
  <si>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</si>
  <si>
    <t>Мяч для большого тенниса (твёрдый)</t>
  </si>
  <si>
    <t>д519</t>
  </si>
  <si>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</si>
  <si>
    <t>Мяч волейбольный</t>
  </si>
  <si>
    <t>д518</t>
  </si>
  <si>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</si>
  <si>
    <t>Мяч баскетбольный</t>
  </si>
  <si>
    <t>д517</t>
  </si>
  <si>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</si>
  <si>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</si>
  <si>
    <t>Мягкий напольный коврик</t>
  </si>
  <si>
    <t>д515</t>
  </si>
  <si>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</si>
  <si>
    <t>Мягкий конструктор</t>
  </si>
  <si>
    <t>д514</t>
  </si>
  <si>
    <t xml:space="preserve">Диван 2-местный. Размеры: 129x70x71 (ШхГхВ) </t>
  </si>
  <si>
    <t>Мягкий классический диван для индивидуального приёма у психолога</t>
  </si>
  <si>
    <t>д513</t>
  </si>
  <si>
    <t>Диван divan. Размеры 500x1200x600 мм</t>
  </si>
  <si>
    <t>Мягкий диван для ребёнка в кабинете психолога</t>
  </si>
  <si>
    <t>д512</t>
  </si>
  <si>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</si>
  <si>
    <t>Мягкие модули (кубы, цилиндры, дорожки)</t>
  </si>
  <si>
    <t>д511</t>
  </si>
  <si>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</si>
  <si>
    <t>Мягкие кубики</t>
  </si>
  <si>
    <t>д510</t>
  </si>
  <si>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</si>
  <si>
    <t>Бизикуб развивающий «Классик»</t>
  </si>
  <si>
    <t>д51</t>
  </si>
  <si>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</si>
  <si>
    <t>Мягкие игрушки для сюжетных игр</t>
  </si>
  <si>
    <t>д509</t>
  </si>
  <si>
    <t>Мягкие пуфики для комфортного чтения и отдыха. Лёгкие, безопасные, без острых углов. Форма — фигурная. Размер — 400–500 мм, высота 300–350 мм.</t>
  </si>
  <si>
    <t>Мягкие дизайнерские пуфики</t>
  </si>
  <si>
    <t>д508</t>
  </si>
  <si>
    <t>И.Крылов (перевод А.Асылбек)</t>
  </si>
  <si>
    <t>Мысалдар</t>
  </si>
  <si>
    <t>д507</t>
  </si>
  <si>
    <t>Қ.Баянбай</t>
  </si>
  <si>
    <t>Мұрагерім- балайқайым. Моим юным наследникам.</t>
  </si>
  <si>
    <t>д506</t>
  </si>
  <si>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</si>
  <si>
    <t>Мусорное ведро</t>
  </si>
  <si>
    <t>д505</t>
  </si>
  <si>
    <t>Предназначена для сбора отходов, используется в медицинском кабинете и вспомогательных помещениях.</t>
  </si>
  <si>
    <t>Мусорная корзина</t>
  </si>
  <si>
    <t>д504</t>
  </si>
  <si>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</si>
  <si>
    <t>Муляжи овощей и фруктов</t>
  </si>
  <si>
    <t>д503</t>
  </si>
  <si>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</si>
  <si>
    <t>Музыкальная книга «Кто где живёт?»</t>
  </si>
  <si>
    <t>д501</t>
  </si>
  <si>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</si>
  <si>
    <t>Музыкальная игрушка микрофон</t>
  </si>
  <si>
    <t>д500</t>
  </si>
  <si>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</si>
  <si>
    <t>Бизиборд настенный из дерева с игровыми элементами</t>
  </si>
  <si>
    <t>д50</t>
  </si>
  <si>
    <t>Ы.Алтынсарин</t>
  </si>
  <si>
    <t>"Кел, балалар, оқылық" өлендер жинағы</t>
  </si>
  <si>
    <t>д5</t>
  </si>
  <si>
    <t>Моя Родина – Казахстан (юрта)</t>
  </si>
  <si>
    <t>д499</t>
  </si>
  <si>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</si>
  <si>
    <t>Монтессори для малышей, годовой курс, от 1 года до 6 лет,</t>
  </si>
  <si>
    <t>д498</t>
  </si>
  <si>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</si>
  <si>
    <t>Монтессори деревянная игра-головоломка «Цвет–форма»</t>
  </si>
  <si>
    <t>д497</t>
  </si>
  <si>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</si>
  <si>
    <t>Монстера (крупное напольное растение)</t>
  </si>
  <si>
    <t>д496</t>
  </si>
  <si>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</si>
  <si>
    <t>Мольберт напольный двухсторонний регулируемый</t>
  </si>
  <si>
    <t>д495</t>
  </si>
  <si>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</si>
  <si>
    <t>Мольберт магнитный многофункциональный с принадлежностями</t>
  </si>
  <si>
    <t>д494</t>
  </si>
  <si>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</si>
  <si>
    <t>Мольберт детский складной, магнитная поверхность, размер не менее 480×630 мм</t>
  </si>
  <si>
    <t>д493</t>
  </si>
  <si>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</si>
  <si>
    <t>Мозаика крупная «Бабочка», 27 элементов</t>
  </si>
  <si>
    <t>д491</t>
  </si>
  <si>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</si>
  <si>
    <t>Мозаика классическая, 240 элементов, 2 поля</t>
  </si>
  <si>
    <t>д490</t>
  </si>
  <si>
    <t>Қ.А.Ахетов</t>
  </si>
  <si>
    <t>Батпырауық</t>
  </si>
  <si>
    <t>д49</t>
  </si>
  <si>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</si>
  <si>
    <t>Мозаика детская, 240 элементов, 2 поля</t>
  </si>
  <si>
    <t>д489</t>
  </si>
  <si>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</si>
  <si>
    <t>Многофункциональная рамка-вкладыш «Часы» с элементами сортера и шнуровки</t>
  </si>
  <si>
    <t>д488</t>
  </si>
  <si>
    <t>Утяжелённые мешочки для упражнений и сенсорных игр. Используются для развития координации, тактильных ощущений и мышечного контроля.</t>
  </si>
  <si>
    <t>Мешочки с песком</t>
  </si>
  <si>
    <t>д487</t>
  </si>
  <si>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</si>
  <si>
    <t>Мешочек для хранения игрушек</t>
  </si>
  <si>
    <t>д486</t>
  </si>
  <si>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</si>
  <si>
    <t>Баскетбольное кольцо для подвижных игр</t>
  </si>
  <si>
    <t>д48</t>
  </si>
  <si>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</si>
  <si>
    <t>Методические пособия</t>
  </si>
  <si>
    <t>д479</t>
  </si>
  <si>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</si>
  <si>
    <t>Мерные стаканы (набор)</t>
  </si>
  <si>
    <t>д478</t>
  </si>
  <si>
    <t>Менмендікті қалай жеңуге болады. Как преодолеть гордыню. How to overcome pride</t>
  </si>
  <si>
    <t>д477</t>
  </si>
  <si>
    <t>Менің Отаным – Қазақстан (юрта)</t>
  </si>
  <si>
    <t>д476</t>
  </si>
  <si>
    <t>Абай Кунанбаев</t>
  </si>
  <si>
    <t>Мен бір жұмбақ. Адаммын оны да ойла....</t>
  </si>
  <si>
    <t>д475</t>
  </si>
  <si>
    <t>Кэри Т.</t>
  </si>
  <si>
    <t>Мен баламды білемін бе? Бала психологиясы туралы ата-анаға көмек</t>
  </si>
  <si>
    <t>д474</t>
  </si>
  <si>
    <t>Мәнгілік тұлға - ұлы Абай (книга-альбом)</t>
  </si>
  <si>
    <t>д473</t>
  </si>
  <si>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</si>
  <si>
    <t>Машинки спецтехника</t>
  </si>
  <si>
    <t>д472</t>
  </si>
  <si>
    <t>Набор деревянных машинок без механизма. Используется для сюжетно-ролевых игр и развития тактильных ощущений, воображения и мелкой моторики.</t>
  </si>
  <si>
    <t>Машинки деревянные</t>
  </si>
  <si>
    <t>д471</t>
  </si>
  <si>
    <t>Набор игрушечных машинок с простым механизмом движения. Используется для групповых игр, способствует развитию коммуникативных навыков и координации.</t>
  </si>
  <si>
    <t>Машинки (коллекция)</t>
  </si>
  <si>
    <t>д470</t>
  </si>
  <si>
    <t>Өтетілеуұлы Е.</t>
  </si>
  <si>
    <t>Баластан</t>
  </si>
  <si>
    <t>д47</t>
  </si>
  <si>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</si>
  <si>
    <t>Машинка-конструктор</t>
  </si>
  <si>
    <t>д469</t>
  </si>
  <si>
    <t>Инерционная игрушечная машина, используемая в сюжетных играх. Развивает воображение, мелкую моторику и интерес к техническим объектам.</t>
  </si>
  <si>
    <t>Машинка самосвал</t>
  </si>
  <si>
    <t>д468</t>
  </si>
  <si>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</si>
  <si>
    <t>Машинка с ковшом</t>
  </si>
  <si>
    <t>д467</t>
  </si>
  <si>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</si>
  <si>
    <t>Машинка полиция</t>
  </si>
  <si>
    <t>д466</t>
  </si>
  <si>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</si>
  <si>
    <t>Машинка автобус</t>
  </si>
  <si>
    <t>д465</t>
  </si>
  <si>
    <t>Модель транспортного средства для игровых и коллекционных целей. Используется для расширения игровых сценариев и развития интереса к технике.</t>
  </si>
  <si>
    <t>Машинка (металлическая модель)</t>
  </si>
  <si>
    <t>д464</t>
  </si>
  <si>
    <t>Детская машинка-толокар, предназначенная для активных игр. Используется для развития общей моторики, координации и ориентации в пространстве.</t>
  </si>
  <si>
    <t>Машинка</t>
  </si>
  <si>
    <t>д463</t>
  </si>
  <si>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</si>
  <si>
    <t>Машина (набор машинок, мультиколор)</t>
  </si>
  <si>
    <t>д462</t>
  </si>
  <si>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</si>
  <si>
    <t>Машина</t>
  </si>
  <si>
    <t>д461</t>
  </si>
  <si>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</si>
  <si>
    <t>Маты настенные, напольные</t>
  </si>
  <si>
    <t>д460</t>
  </si>
  <si>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</si>
  <si>
    <t>Балансировочные полусферы с массажной поверхностью</t>
  </si>
  <si>
    <t>д46</t>
  </si>
  <si>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</si>
  <si>
    <t>Маты гимнастические складные</t>
  </si>
  <si>
    <t>д459</t>
  </si>
  <si>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</si>
  <si>
    <t>Маты</t>
  </si>
  <si>
    <t>д458</t>
  </si>
  <si>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</si>
  <si>
    <t>Матрёшки</t>
  </si>
  <si>
    <t>д457</t>
  </si>
  <si>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</si>
  <si>
    <t>Материалы и инструменты для поделок</t>
  </si>
  <si>
    <t>д456</t>
  </si>
  <si>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</si>
  <si>
    <t>Материалы и инструменты для изобразительной деятельности</t>
  </si>
  <si>
    <t>д455</t>
  </si>
  <si>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</si>
  <si>
    <t>Материалы и инструменты для аппликации</t>
  </si>
  <si>
    <t>д454</t>
  </si>
  <si>
    <t xml:space="preserve"> цветная бумага, цветной и белый картон, ткань, клей, ножницы, клейкая лент</t>
  </si>
  <si>
    <t>Материалы и инструменты для апликации</t>
  </si>
  <si>
    <t>д453</t>
  </si>
  <si>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</si>
  <si>
    <t>Материалы для запуска речевой активности</t>
  </si>
  <si>
    <t>д452</t>
  </si>
  <si>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</si>
  <si>
    <t>Математические пазлы</t>
  </si>
  <si>
    <t>д451</t>
  </si>
  <si>
    <t>под ред. С. Маклауд (перевод Шаяхметов А)</t>
  </si>
  <si>
    <t>Математика. Просто и легко</t>
  </si>
  <si>
    <t>д450</t>
  </si>
  <si>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</si>
  <si>
    <t>Балансировочные подушки (набор)</t>
  </si>
  <si>
    <t>д45</t>
  </si>
  <si>
    <t>под ред. С. Маклауд (перевод Набиев Р.)</t>
  </si>
  <si>
    <t>Математика. Оңай әрі жеңіл</t>
  </si>
  <si>
    <t>д449</t>
  </si>
  <si>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</si>
  <si>
    <t>Массажные мячи разной формы и текстуры</t>
  </si>
  <si>
    <t>д448</t>
  </si>
  <si>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</si>
  <si>
    <t>Масса для лепки на водной основе</t>
  </si>
  <si>
    <t>д447</t>
  </si>
  <si>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</si>
  <si>
    <t>Марионеточный театр</t>
  </si>
  <si>
    <t>д446</t>
  </si>
  <si>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</si>
  <si>
    <t>Магнитофон</t>
  </si>
  <si>
    <t>д445</t>
  </si>
  <si>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</si>
  <si>
    <t>Магнитный строительный конструктор (набор)</t>
  </si>
  <si>
    <t>д444</t>
  </si>
  <si>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</si>
  <si>
    <t>Магнитный набор</t>
  </si>
  <si>
    <t>д443</t>
  </si>
  <si>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</si>
  <si>
    <t>Магнитные палочки</t>
  </si>
  <si>
    <t>д442</t>
  </si>
  <si>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</si>
  <si>
    <t>Магнитные блоки (49 шт.)</t>
  </si>
  <si>
    <t>д441</t>
  </si>
  <si>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</si>
  <si>
    <t>Магнитная рыбалка</t>
  </si>
  <si>
    <t>д440</t>
  </si>
  <si>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</si>
  <si>
    <t>Балансировочные дорожки</t>
  </si>
  <si>
    <t>д44</t>
  </si>
  <si>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</si>
  <si>
    <t>Лупа детская увеличительная</t>
  </si>
  <si>
    <t>д439</t>
  </si>
  <si>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</si>
  <si>
    <t>Лупа</t>
  </si>
  <si>
    <t>д438</t>
  </si>
  <si>
    <t>Предназначен для размещения инструментов и расходных материалов во время процедур.</t>
  </si>
  <si>
    <t>Лоток медицинский почкообразный</t>
  </si>
  <si>
    <t>д437</t>
  </si>
  <si>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</si>
  <si>
    <t>Лотки пластиковые</t>
  </si>
  <si>
    <t>д436</t>
  </si>
  <si>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</si>
  <si>
    <t>Логопедический тренажёр перекидной</t>
  </si>
  <si>
    <t>д435</t>
  </si>
  <si>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</si>
  <si>
    <t>Логопедический тренажёр «Аэробол»</t>
  </si>
  <si>
    <t>д434</t>
  </si>
  <si>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</si>
  <si>
    <t>Логопедические игры</t>
  </si>
  <si>
    <t>д433</t>
  </si>
  <si>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</si>
  <si>
    <t>Логопедическая игра «Фишки со звуком Л»</t>
  </si>
  <si>
    <t>д432</t>
  </si>
  <si>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</si>
  <si>
    <t>Логические деревянные игры</t>
  </si>
  <si>
    <t>д431</t>
  </si>
  <si>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</si>
  <si>
    <t>Лестница-стремянка</t>
  </si>
  <si>
    <t>д430</t>
  </si>
  <si>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</si>
  <si>
    <t>Балансировочная подушка</t>
  </si>
  <si>
    <t>д43</t>
  </si>
  <si>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</si>
  <si>
    <t>Лепка (методическое руководство)</t>
  </si>
  <si>
    <t>д429</t>
  </si>
  <si>
    <t>Карен Бол (перевод Сужикова А., Асанова М.)</t>
  </si>
  <si>
    <t>Леонардо да Винчи. Leonardo da Vinci (каз., рус., англ.яз.)</t>
  </si>
  <si>
    <t>д428</t>
  </si>
  <si>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</si>
  <si>
    <t>Лак защитный</t>
  </si>
  <si>
    <t>д427</t>
  </si>
  <si>
    <t>Қызғаныштан қалай құтыламын. Как побороть в себе зависть. How to remove jealousy</t>
  </si>
  <si>
    <t>д426</t>
  </si>
  <si>
    <t>Адапт. А. Файзуллаұлы</t>
  </si>
  <si>
    <t>Қыз Жiбек (рус.)</t>
  </si>
  <si>
    <t>д425</t>
  </si>
  <si>
    <t>Бейімдеген А.Файзуллаұлы</t>
  </si>
  <si>
    <t>Қыз Жiбек (каз.)</t>
  </si>
  <si>
    <t>д424</t>
  </si>
  <si>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</si>
  <si>
    <t>Қуырмаш (тақпақтар, жаңылтпаштар, жұмбақтар мен мақал-мәтелдер)</t>
  </si>
  <si>
    <t>д423</t>
  </si>
  <si>
    <t>С.Раева</t>
  </si>
  <si>
    <t>Қуырмаш (тақпақтар, жаңылтпаштар, жұмбактар мен мақал-мәтелдер)</t>
  </si>
  <si>
    <t>д422</t>
  </si>
  <si>
    <t>Қош келдің, әз-Наурыз! (сандық- кітап)</t>
  </si>
  <si>
    <t>д421</t>
  </si>
  <si>
    <t>Бейімдеген Ш.Кумісбаев</t>
  </si>
  <si>
    <t>Қозы Корпеш - Баян сулу (каз., агылш.)</t>
  </si>
  <si>
    <t>д420</t>
  </si>
  <si>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</si>
  <si>
    <t>Балансировочная доска «Улитка»</t>
  </si>
  <si>
    <t>д42</t>
  </si>
  <si>
    <t>Адапт. Кумисбаев Ш.</t>
  </si>
  <si>
    <t>Қобыланды батыр (рус., англ.)</t>
  </si>
  <si>
    <t>д419</t>
  </si>
  <si>
    <t>Қобыланды батыр (каз., ағылш.)</t>
  </si>
  <si>
    <t>д418</t>
  </si>
  <si>
    <t>Қарақшылар туралы 10 оқиға</t>
  </si>
  <si>
    <t>д417</t>
  </si>
  <si>
    <t>Қалай сыпайы сөйлесуге болады. Как вести себя вежливо. How to speak well</t>
  </si>
  <si>
    <t>д416</t>
  </si>
  <si>
    <t>Тохтабаева Ш.</t>
  </si>
  <si>
    <t>Қазақтың кесте тігу өнері. Вышивальное искусство казахов. Embroidery art of Kazakhs</t>
  </si>
  <si>
    <t>д415</t>
  </si>
  <si>
    <t>Ш.Тохтабаева</t>
  </si>
  <si>
    <t>Қазақтың зергелік өнер. Ювелирное искусство казахов. Jeweler's art of Kazakhs (каз., рус., англ.яз.)</t>
  </si>
  <si>
    <t>д414</t>
  </si>
  <si>
    <t>Секеева А.М.</t>
  </si>
  <si>
    <t>Қазақтың дәстүрлі құрақ бұйымдары. Традиционные лоскутные изделия казахов. Kazakh traditional patchwork (каз., рус., англ.яз.)</t>
  </si>
  <si>
    <t>д413</t>
  </si>
  <si>
    <t>Жакишева З.</t>
  </si>
  <si>
    <t>Қазақтың дәстурлі музыкалық аспаптары</t>
  </si>
  <si>
    <t>д412</t>
  </si>
  <si>
    <t>К. Ахметжан</t>
  </si>
  <si>
    <t>Қазақтың дәстурлі кару-жарағының этнографиясы</t>
  </si>
  <si>
    <t>д411</t>
  </si>
  <si>
    <t>Кенжеахметұлы С.</t>
  </si>
  <si>
    <t>Қазақтың дарқан дастарқаны. Национальная кухня казахов</t>
  </si>
  <si>
    <t>д410</t>
  </si>
  <si>
    <t>Оспанова Б.</t>
  </si>
  <si>
    <t>Балаларға Қазақстан Республикасының Конституциясы туралы</t>
  </si>
  <si>
    <t>д41</t>
  </si>
  <si>
    <t>Якушкин В.</t>
  </si>
  <si>
    <t>Қазақстанның ғажайып табиғаты.Удивительная природа Казахстана The wondering nature of Kazakhstan (каз., рус., англ.яз.)</t>
  </si>
  <si>
    <t>д409</t>
  </si>
  <si>
    <t>Құрастарған К. Әлпейісова</t>
  </si>
  <si>
    <t>Қазақстан халқы ертегілері. 8-11 жас аралығындағы балаларға арналған</t>
  </si>
  <si>
    <t>д408</t>
  </si>
  <si>
    <t>Қазақстан халқы ертегілері. 4-7 жас аралығындағы балаларға арналған</t>
  </si>
  <si>
    <t>д407</t>
  </si>
  <si>
    <t>Қазақстан қорықтары. Заповедный Казахстан.Kazakhstan protected wilderness (каз,рус,англ)</t>
  </si>
  <si>
    <t>д406</t>
  </si>
  <si>
    <t>Қазақ халқының ұлттық киімдері. Национальная одежда казахского народа. National clofhes of Kazakh people (каз., рус., англ.яз.)</t>
  </si>
  <si>
    <t>д405</t>
  </si>
  <si>
    <t>С.Кенжеахметұлы</t>
  </si>
  <si>
    <t>Қазақ халқының тұрмысы мен мәдениеті. Быт и культура казахского народа. Life and culture of the Kazakh people (каз., рус., англ.яз.)</t>
  </si>
  <si>
    <t>д404</t>
  </si>
  <si>
    <t>С.Кенжеахметулы</t>
  </si>
  <si>
    <t>Қазақ халқының салт-дәстурлерi. Традиции и обряды казахского народа. Kazakh traditions and customs (каз., рус., англ.яз.)</t>
  </si>
  <si>
    <t>д403</t>
  </si>
  <si>
    <t>Ескендір-Эбдешев М.</t>
  </si>
  <si>
    <t>Қазақ портреттерінің тарихы. Көпшілік - танымдық басылым</t>
  </si>
  <si>
    <t>д402</t>
  </si>
  <si>
    <t>Қазақ оркестрі. Казахский оркестр (каз., рус., англ.яз.)</t>
  </si>
  <si>
    <t>д401</t>
  </si>
  <si>
    <t>сост.: Сужикова А.</t>
  </si>
  <si>
    <t>Қазақ мақал-мателдерi. Казахские пословицы и поговорки (каз., рус.яз.)</t>
  </si>
  <si>
    <t>д400</t>
  </si>
  <si>
    <t>Т. Молдағалиев</t>
  </si>
  <si>
    <t>Балаларға аманат</t>
  </si>
  <si>
    <t>д40</t>
  </si>
  <si>
    <t>Бенаги С.</t>
  </si>
  <si>
    <t>"Ақылды" боямақ. Фермада. "Умная" раскраска. Раскрась по коду. На ферме</t>
  </si>
  <si>
    <t>д4</t>
  </si>
  <si>
    <t>Құрастарған: Раева С.К</t>
  </si>
  <si>
    <t>Қазақ ертегілері.</t>
  </si>
  <si>
    <t>д399</t>
  </si>
  <si>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</si>
  <si>
    <t>Қазақ ертегілері / Казахские сказки</t>
  </si>
  <si>
    <t>д398</t>
  </si>
  <si>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</si>
  <si>
    <t>Қазақ ертегілері</t>
  </si>
  <si>
    <t>д397</t>
  </si>
  <si>
    <t>Шаймерденов Е.</t>
  </si>
  <si>
    <t>Қазақ афоризмдері</t>
  </si>
  <si>
    <t>д396</t>
  </si>
  <si>
    <t>Хаммонд Р.</t>
  </si>
  <si>
    <t>Күштін сыры неде? Қызықты физика</t>
  </si>
  <si>
    <t>д395</t>
  </si>
  <si>
    <t>М Айымбетов</t>
  </si>
  <si>
    <t>Күн нұрындай Күнікей</t>
  </si>
  <si>
    <t>д394</t>
  </si>
  <si>
    <t>под ред. Ш. Данфорд (перевод Асанова М.)</t>
  </si>
  <si>
    <t>Культурные сокровища мира</t>
  </si>
  <si>
    <t>д393</t>
  </si>
  <si>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</si>
  <si>
    <t>Кулер для воды</t>
  </si>
  <si>
    <t>д392</t>
  </si>
  <si>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</si>
  <si>
    <t>Кукольный театр на руку «Репка»</t>
  </si>
  <si>
    <t>д391</t>
  </si>
  <si>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</si>
  <si>
    <t>Кукольный театр на руку «Козлята и волк»</t>
  </si>
  <si>
    <t>д390</t>
  </si>
  <si>
    <t>Әлемнің ұлы кереметтері</t>
  </si>
  <si>
    <t>д39</t>
  </si>
  <si>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</si>
  <si>
    <t>Кукольный клоун на верёвке (марионетка)</t>
  </si>
  <si>
    <t>д389</t>
  </si>
  <si>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</si>
  <si>
    <t>Кукольный дом загородного типа</t>
  </si>
  <si>
    <t>д388</t>
  </si>
  <si>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</si>
  <si>
    <t>Кукольный дом</t>
  </si>
  <si>
    <t>д387</t>
  </si>
  <si>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</si>
  <si>
    <t>Кукольная марионетка (клоун)</t>
  </si>
  <si>
    <t>д386</t>
  </si>
  <si>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</si>
  <si>
    <t>Куклы</t>
  </si>
  <si>
    <t>д385</t>
  </si>
  <si>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</si>
  <si>
    <t>Кукла-малышка шарнирная бьюти-блогер</t>
  </si>
  <si>
    <t>д384</t>
  </si>
  <si>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</si>
  <si>
    <t>Кукла-малышка шарнирная</t>
  </si>
  <si>
    <t>д383</t>
  </si>
  <si>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</si>
  <si>
    <t>Кукла с набором одежды</t>
  </si>
  <si>
    <t>д382</t>
  </si>
  <si>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</si>
  <si>
    <t>Кукла с инвалидным креслом</t>
  </si>
  <si>
    <t>д381</t>
  </si>
  <si>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</si>
  <si>
    <t>Кукла пупс с коляской</t>
  </si>
  <si>
    <t>д380</t>
  </si>
  <si>
    <t>под ред. Ш. Данфорд (перевод Шарипова А.)</t>
  </si>
  <si>
    <t>Әлемнің мәдени жауһарлары</t>
  </si>
  <si>
    <t>д38</t>
  </si>
  <si>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</si>
  <si>
    <t>Кукла пупс с аксессуарами</t>
  </si>
  <si>
    <t>д379</t>
  </si>
  <si>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</si>
  <si>
    <t>Кукла пупс</t>
  </si>
  <si>
    <t>д378</t>
  </si>
  <si>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</si>
  <si>
    <t>Кукла пластмассовая для сюжетных игр</t>
  </si>
  <si>
    <t>д377</t>
  </si>
  <si>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</si>
  <si>
    <t>Кукла озвученная (52 см)</t>
  </si>
  <si>
    <t>д376</t>
  </si>
  <si>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</si>
  <si>
    <t>Кукла мягкая тряпичная</t>
  </si>
  <si>
    <t>д375</t>
  </si>
  <si>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</si>
  <si>
    <t>Кукла мальчик в национальном костюме</t>
  </si>
  <si>
    <t>д374</t>
  </si>
  <si>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</si>
  <si>
    <t>Кукла коллекционная в праздничном костюме</t>
  </si>
  <si>
    <t>д373</t>
  </si>
  <si>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</si>
  <si>
    <t>Кукла коллекционная в народном костюме</t>
  </si>
  <si>
    <t>д372</t>
  </si>
  <si>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</si>
  <si>
    <t>Кукла говорящая</t>
  </si>
  <si>
    <t>д371</t>
  </si>
  <si>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</si>
  <si>
    <t>Кукла в национальном костюме (30 см)</t>
  </si>
  <si>
    <t>д370</t>
  </si>
  <si>
    <t>Әдептілік әдемілік</t>
  </si>
  <si>
    <t>д37</t>
  </si>
  <si>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</si>
  <si>
    <t>Кукла в национальном костюме</t>
  </si>
  <si>
    <t>д369</t>
  </si>
  <si>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</si>
  <si>
    <t>Кукла в казахском национальном костюме (45 см)</t>
  </si>
  <si>
    <t>д368</t>
  </si>
  <si>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</si>
  <si>
    <t>Кукла в башкирском костюме</t>
  </si>
  <si>
    <t>д367</t>
  </si>
  <si>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</si>
  <si>
    <t>Кукла "Мулатка"</t>
  </si>
  <si>
    <t>д366</t>
  </si>
  <si>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</si>
  <si>
    <t>Кубики развивающие для малышей</t>
  </si>
  <si>
    <t>д365</t>
  </si>
  <si>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</si>
  <si>
    <t>Кубики для малышей, 16 элементов</t>
  </si>
  <si>
    <t>д364</t>
  </si>
  <si>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</si>
  <si>
    <t>Кубики деревянные «Классика»</t>
  </si>
  <si>
    <t>д363</t>
  </si>
  <si>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</si>
  <si>
    <t>Кубики деревянные</t>
  </si>
  <si>
    <t>д362</t>
  </si>
  <si>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</si>
  <si>
    <t>Крупные напольные растения (задний план)</t>
  </si>
  <si>
    <t>д360</t>
  </si>
  <si>
    <t>Құрастырған З.Мүфтибекова</t>
  </si>
  <si>
    <t>Әдебиет әлеміне саяхат. Хрестоматия 2-4 сыныпка арналған</t>
  </si>
  <si>
    <t>д36</t>
  </si>
  <si>
    <t>Акриловые краски на водной основе, предназначенные для детского творчества. Безопасны, легко наносятся и быстро высыхают.</t>
  </si>
  <si>
    <t>Краски акриловые</t>
  </si>
  <si>
    <t>д358</t>
  </si>
  <si>
    <t>Ж.Смаков</t>
  </si>
  <si>
    <t>Көктем күні көнілді</t>
  </si>
  <si>
    <t>д357</t>
  </si>
  <si>
    <t>М.Әуезов</t>
  </si>
  <si>
    <t>Көксерек. Серый лютый (каз.рус.яз.)</t>
  </si>
  <si>
    <t>д356</t>
  </si>
  <si>
    <t>Набор доктора детский MEGA TOYS костюм врача для детей карнавальный для утренника, сада / 3 предмета медика (халат, колпак, игрушка стетоскоп)</t>
  </si>
  <si>
    <t>Костюм врача</t>
  </si>
  <si>
    <t>д355</t>
  </si>
  <si>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</si>
  <si>
    <t>Костюм «Строитель»</t>
  </si>
  <si>
    <t>д354</t>
  </si>
  <si>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</si>
  <si>
    <t>Костюм «Снежинка»</t>
  </si>
  <si>
    <t>д353</t>
  </si>
  <si>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</si>
  <si>
    <t>Костюм «Принцесса Золушка»</t>
  </si>
  <si>
    <t>д352</t>
  </si>
  <si>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</si>
  <si>
    <t>Костюм «Полицейский»</t>
  </si>
  <si>
    <t>д351</t>
  </si>
  <si>
    <t>Ашуды қалай жеңуге болады. Как подавить злость. How to control anger (каз., рус., англ.яз.)</t>
  </si>
  <si>
    <t>д35</t>
  </si>
  <si>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</si>
  <si>
    <t>Костюм «Повар»</t>
  </si>
  <si>
    <t>д349</t>
  </si>
  <si>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</si>
  <si>
    <t>Костюм «Космонавт / Космос»</t>
  </si>
  <si>
    <t>д348</t>
  </si>
  <si>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</si>
  <si>
    <t>Костюм «Доктор / Врач»</t>
  </si>
  <si>
    <t>д347</t>
  </si>
  <si>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</si>
  <si>
    <t>Костюм «Волк»</t>
  </si>
  <si>
    <t>д346</t>
  </si>
  <si>
    <t>Предназначена для стерилизации и хранения большего объёма медицинских инструментов и материалов.</t>
  </si>
  <si>
    <t>Коробка стерилизационная круглая (бикс) большая</t>
  </si>
  <si>
    <t>д345</t>
  </si>
  <si>
    <t>Используется для стерилизации и хранения медицинских инструментов.</t>
  </si>
  <si>
    <t>Коробка стерилизационная круглая (бикс)</t>
  </si>
  <si>
    <t>д344</t>
  </si>
  <si>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</si>
  <si>
    <t>Коробка для теневого театра</t>
  </si>
  <si>
    <t>д343</t>
  </si>
  <si>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</si>
  <si>
    <t>Коробка архивная формата А4</t>
  </si>
  <si>
    <t>д342</t>
  </si>
  <si>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</si>
  <si>
    <t>Корзины для мячей (комплект / разные типы)</t>
  </si>
  <si>
    <t>д341</t>
  </si>
  <si>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</si>
  <si>
    <t>Корзина для теннисных мячей</t>
  </si>
  <si>
    <t>д340</t>
  </si>
  <si>
    <t>Имаханбет Р.С.</t>
  </si>
  <si>
    <t>Ахмет. Гордость нации</t>
  </si>
  <si>
    <t>д34</t>
  </si>
  <si>
    <t>Контейнер для мусора с педальным механизмом открывания крышки. Обеспечивает гигиеничное использование без контакта рук с крышкой.</t>
  </si>
  <si>
    <t>Корзина для мусора с педалью</t>
  </si>
  <si>
    <t>д339</t>
  </si>
  <si>
    <t>Сетчатая корзина для бумаги, обеспечивает вентиляцию и визуальный контроль наполнения. Используется в кабинетах и рабочих зонах.</t>
  </si>
  <si>
    <t>Корзина для мусора (сетчатая)</t>
  </si>
  <si>
    <t>д338</t>
  </si>
  <si>
    <t>Лёгкая пластиковая корзина для сбора бытового мусора и бумажных отходов. Подходит для использования в учебных и административных помещениях.</t>
  </si>
  <si>
    <t>Корзина для мусора (пластиковая)</t>
  </si>
  <si>
    <t>д337</t>
  </si>
  <si>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</si>
  <si>
    <t>Кораблик (игрушка)</t>
  </si>
  <si>
    <t>д336</t>
  </si>
  <si>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</si>
  <si>
    <t>Координационная лестница напольная</t>
  </si>
  <si>
    <t>д335</t>
  </si>
  <si>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</si>
  <si>
    <t>Конусы с отверстиями для спортивных тренировок</t>
  </si>
  <si>
    <t>д334</t>
  </si>
  <si>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</si>
  <si>
    <t>Конусы и фишки для разметки</t>
  </si>
  <si>
    <t>д333</t>
  </si>
  <si>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</si>
  <si>
    <t>Контейнеры для хранения</t>
  </si>
  <si>
    <t>д332</t>
  </si>
  <si>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</si>
  <si>
    <t>Контейнер пластиковый</t>
  </si>
  <si>
    <t>д331</t>
  </si>
  <si>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</si>
  <si>
    <t>Контейнер для мусора 120 л с педалью</t>
  </si>
  <si>
    <t>д330</t>
  </si>
  <si>
    <t>Ахмет. Алаш ардақтысы</t>
  </si>
  <si>
    <t>д33</t>
  </si>
  <si>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</si>
  <si>
    <t>Конструкторная панель</t>
  </si>
  <si>
    <t>д329</t>
  </si>
  <si>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</si>
  <si>
    <t>Конструктор трубки</t>
  </si>
  <si>
    <t>д328</t>
  </si>
  <si>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</si>
  <si>
    <t>Конструктор с крупными деталями</t>
  </si>
  <si>
    <t>д327</t>
  </si>
  <si>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</si>
  <si>
    <t>Конструктор с деревянными или пластмассовыми деталями</t>
  </si>
  <si>
    <t>д326</t>
  </si>
  <si>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</si>
  <si>
    <t>Конструктор мягкий</t>
  </si>
  <si>
    <t>д325</t>
  </si>
  <si>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</si>
  <si>
    <t>Конструктор крупный детский</t>
  </si>
  <si>
    <t>д324</t>
  </si>
  <si>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</si>
  <si>
    <t>Конструктор деревянный цветной (65 деталей)</t>
  </si>
  <si>
    <t>д323</t>
  </si>
  <si>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</si>
  <si>
    <t>Конструктор деревянный (100 элементов)</t>
  </si>
  <si>
    <t>д322</t>
  </si>
  <si>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</si>
  <si>
    <t>Конструктор блочный с крупными деталями</t>
  </si>
  <si>
    <t>д321</t>
  </si>
  <si>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</si>
  <si>
    <t>Конструктор «Ферма»</t>
  </si>
  <si>
    <t>д320</t>
  </si>
  <si>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</si>
  <si>
    <t>Аптечка первой помощи</t>
  </si>
  <si>
    <t>д32</t>
  </si>
  <si>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</si>
  <si>
    <t>Конструктор «Транспортная машина для мотоциклов»</t>
  </si>
  <si>
    <t>д319</t>
  </si>
  <si>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</si>
  <si>
    <t>Конструктор «Сказка-театр»</t>
  </si>
  <si>
    <t>д318</t>
  </si>
  <si>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</si>
  <si>
    <t>Конструктор «Сәулетші»</t>
  </si>
  <si>
    <t>д317</t>
  </si>
  <si>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</si>
  <si>
    <t>Конструктор «камни»</t>
  </si>
  <si>
    <t>д316</t>
  </si>
  <si>
    <t>Токтабай А.</t>
  </si>
  <si>
    <t>Конный мир казахов</t>
  </si>
  <si>
    <t>д315</t>
  </si>
  <si>
    <t>Вордерман К.</t>
  </si>
  <si>
    <t>Компьютерлік программалау. Балаларға арналған</t>
  </si>
  <si>
    <t>д314</t>
  </si>
  <si>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</si>
  <si>
    <t>Комплект постельного белья</t>
  </si>
  <si>
    <t>д313</t>
  </si>
  <si>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</si>
  <si>
    <t>Комплект мягкой мебели</t>
  </si>
  <si>
    <t>д312</t>
  </si>
  <si>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</si>
  <si>
    <t>Комплект книг (сказки, в том числе говорящие), не менее 15 шт.</t>
  </si>
  <si>
    <t>д311</t>
  </si>
  <si>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</si>
  <si>
    <t>Комплект карточек с изображениями (предметы/действия/животные)</t>
  </si>
  <si>
    <t>д310</t>
  </si>
  <si>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</si>
  <si>
    <t>Аптечка</t>
  </si>
  <si>
    <t>д31</t>
  </si>
  <si>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</si>
  <si>
    <t>Комплект из 10 книг «Уроки логопеда»</t>
  </si>
  <si>
    <t>д309</t>
  </si>
  <si>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</si>
  <si>
    <t>Комплект игрушечной мебели и домашнего оборудования</t>
  </si>
  <si>
    <t>д308</t>
  </si>
  <si>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</si>
  <si>
    <t>Комплект безопасных световых фильтров для изучения цветов спектра</t>
  </si>
  <si>
    <t>д307</t>
  </si>
  <si>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</si>
  <si>
    <t>Комплект «Трио»</t>
  </si>
  <si>
    <t>д306</t>
  </si>
  <si>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</si>
  <si>
    <t>Коляска для куклы с люлькой (со съёмной корзиной)</t>
  </si>
  <si>
    <t>д305</t>
  </si>
  <si>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</si>
  <si>
    <t>Коляска для куклы игровая (металл/пластик/текстиль)</t>
  </si>
  <si>
    <t>д304</t>
  </si>
  <si>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</si>
  <si>
    <t>Колокольчик детский (металл/пластик)</t>
  </si>
  <si>
    <t>д303</t>
  </si>
  <si>
    <t>Нержавеющая сталь 430; Толщина  полиэтилена: 10 cm; С бортиком, без полки; Параметры: 700x700x850 мм</t>
  </si>
  <si>
    <t>Колода для рубки мяса верх пэ ce-ekp70x70</t>
  </si>
  <si>
    <t>д302</t>
  </si>
  <si>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</si>
  <si>
    <t>Коллекция тканей (набор образцов)</t>
  </si>
  <si>
    <t>д301</t>
  </si>
  <si>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</si>
  <si>
    <t>Коллекция семян и плодов (демонстрационный набор)</t>
  </si>
  <si>
    <t>д300</t>
  </si>
  <si>
    <t>Олдершоу К.</t>
  </si>
  <si>
    <t>Антология планеты земля</t>
  </si>
  <si>
    <t>д30</t>
  </si>
  <si>
    <t>"Ақылды" боямақ. Үй. "Умная" раскраска. Раскрась по коду. Дом</t>
  </si>
  <si>
    <t>д3</t>
  </si>
  <si>
    <t>Козы Корпеш - Баян сулу (рус., англ.)</t>
  </si>
  <si>
    <t>д299</t>
  </si>
  <si>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</si>
  <si>
    <t>Ковролин напольный для игровой зоны</t>
  </si>
  <si>
    <t>д298</t>
  </si>
  <si>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</si>
  <si>
    <t>Коврики для лепки (набор 4 шт.)</t>
  </si>
  <si>
    <t>д297</t>
  </si>
  <si>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</si>
  <si>
    <t>Коврик для упражнений напольный (йога/ЛФК)</t>
  </si>
  <si>
    <t>д296</t>
  </si>
  <si>
    <t>Мягкий ковёр для зоны чтения и отдыха с традиционными казахскими узорами. Оснащён антискользящим основанием.</t>
  </si>
  <si>
    <t>Ковёр с казахскими орнаментами</t>
  </si>
  <si>
    <t>д295</t>
  </si>
  <si>
    <t>Стеллаж двусторонний, 3 полки, размер не менее 800х600х1100 мм</t>
  </si>
  <si>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</si>
  <si>
    <t>Книжные стеллажи (открытые)</t>
  </si>
  <si>
    <t>д294</t>
  </si>
  <si>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</si>
  <si>
    <t>Книги по воспитанию и педагогике</t>
  </si>
  <si>
    <t>д293</t>
  </si>
  <si>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</si>
  <si>
    <t>Книга-раскладушка со звуками животных</t>
  </si>
  <si>
    <t>д292</t>
  </si>
  <si>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</si>
  <si>
    <t>Книга Pop-up «Транспорт» (панорамка)</t>
  </si>
  <si>
    <t>д291</t>
  </si>
  <si>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</si>
  <si>
    <t>Книга Pop-up «Космос» (панорамка)</t>
  </si>
  <si>
    <t>д290</t>
  </si>
  <si>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</si>
  <si>
    <t>Альбомы с иллюстрациями и фотографиями сельскохозяйственного и бытового труда</t>
  </si>
  <si>
    <t>д29</t>
  </si>
  <si>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</si>
  <si>
    <t>Книга «Цвета» (картонная)</t>
  </si>
  <si>
    <t>д289</t>
  </si>
  <si>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</si>
  <si>
    <t>Книга «Овощи и фрукты» (картонная)</t>
  </si>
  <si>
    <t>д288</t>
  </si>
  <si>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</si>
  <si>
    <t>Книга «Моя Родина — Казахстан»</t>
  </si>
  <si>
    <t>д287</t>
  </si>
  <si>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</si>
  <si>
    <t>Книга «Кел, ойнайық, балақай!»</t>
  </si>
  <si>
    <t>д286</t>
  </si>
  <si>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</si>
  <si>
    <t>Книга «Ертегілер. Ата-анамен оқимыз», часть 3</t>
  </si>
  <si>
    <t>д285</t>
  </si>
  <si>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</si>
  <si>
    <t>Книга «Ертегілер. Ата-анамен оқимыз», часть 2</t>
  </si>
  <si>
    <t>д284</t>
  </si>
  <si>
    <t>Книга содержит тексты сказок для совместного чтения. Используется при чтении и обсуждении содержания. Подходит для спокойной совместной деятельности.</t>
  </si>
  <si>
    <t>Книга «Ертегілер. Ата-анамен оқимыз», часть 1</t>
  </si>
  <si>
    <t>д283</t>
  </si>
  <si>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</si>
  <si>
    <t>Книга «Домашние животные» (картонная)</t>
  </si>
  <si>
    <t>д282</t>
  </si>
  <si>
    <t>К.Дейнз (перевод Сужикова А., Асанова М.)</t>
  </si>
  <si>
    <t>Клеопатра. Cleopatra (каз., рус., англ.яз.)</t>
  </si>
  <si>
    <t>д281</t>
  </si>
  <si>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</si>
  <si>
    <t>Клей-карандаш</t>
  </si>
  <si>
    <t>д280</t>
  </si>
  <si>
    <t>Алпамыс батыр (рус., англ.)</t>
  </si>
  <si>
    <t>д28</t>
  </si>
  <si>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</si>
  <si>
    <t>Клей ПВА детский</t>
  </si>
  <si>
    <t>д279</t>
  </si>
  <si>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</si>
  <si>
    <t>Кисти художественные с синтетическим ворсом (набор 10 шт.)</t>
  </si>
  <si>
    <t>д278</t>
  </si>
  <si>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</si>
  <si>
    <t>Кисти художественные (набор)</t>
  </si>
  <si>
    <t>д277</t>
  </si>
  <si>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</si>
  <si>
    <t>Кисти для макияжа (набор 7 шт.)</t>
  </si>
  <si>
    <t>д276</t>
  </si>
  <si>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</si>
  <si>
    <t>Кинетический песок с контейнером</t>
  </si>
  <si>
    <t>д275</t>
  </si>
  <si>
    <t>Ақыпбекұлы Ө.</t>
  </si>
  <si>
    <t>Керек кітап</t>
  </si>
  <si>
    <t>д274</t>
  </si>
  <si>
    <t>Әлімжанов Б.</t>
  </si>
  <si>
    <t>Кел, ойнайық, балақай!</t>
  </si>
  <si>
    <t>д273</t>
  </si>
  <si>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</si>
  <si>
    <t>Касса-веер цифр от 0 до 9</t>
  </si>
  <si>
    <t>д272</t>
  </si>
  <si>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</si>
  <si>
    <t>Касса цифр и счётного материала «Лёгкий счёт»</t>
  </si>
  <si>
    <t>д271</t>
  </si>
  <si>
    <t>Карынбай. Казахская сказка</t>
  </si>
  <si>
    <t>д270</t>
  </si>
  <si>
    <t>Алпамыс батыр (каз., ағылш.)</t>
  </si>
  <si>
    <t>д27</t>
  </si>
  <si>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</si>
  <si>
    <t>Карточки с предложениями и рассказами</t>
  </si>
  <si>
    <t>д269</t>
  </si>
  <si>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</si>
  <si>
    <t>Карточки Домана (набор тематических карточек)</t>
  </si>
  <si>
    <t>д268</t>
  </si>
  <si>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</si>
  <si>
    <t>Карточки «Моя ежедневная рутина»</t>
  </si>
  <si>
    <t>д267</t>
  </si>
  <si>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</si>
  <si>
    <t>Карточки «Кто как говорит» (набор звукоподражаний)</t>
  </si>
  <si>
    <t>д266</t>
  </si>
  <si>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</si>
  <si>
    <t>Картон цветной (набор для творчества)</t>
  </si>
  <si>
    <t>д265</t>
  </si>
  <si>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</si>
  <si>
    <t>Карнавальный костюм «Снегурочка» (комплект)</t>
  </si>
  <si>
    <t>д264</t>
  </si>
  <si>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</si>
  <si>
    <t>Карнавальный костюм «Петух» (маска, безрукавка, шорты)</t>
  </si>
  <si>
    <t>д263</t>
  </si>
  <si>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</si>
  <si>
    <t>Карнавальный костюм «Ёжик» для девочки (сарафан и шапка)</t>
  </si>
  <si>
    <t>д262</t>
  </si>
  <si>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</si>
  <si>
    <t>Карнавальный костюм «Дед Мороз» (комплект)</t>
  </si>
  <si>
    <t>д261</t>
  </si>
  <si>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</si>
  <si>
    <t>Карнавальный костюм "Снеговик"</t>
  </si>
  <si>
    <t>д260</t>
  </si>
  <si>
    <t>каз.адаптац. Мырза Али К.</t>
  </si>
  <si>
    <t>Алдар Көсе. Сборник сказок (каз., рус., англ.яз.)</t>
  </si>
  <si>
    <t>д26</t>
  </si>
  <si>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</si>
  <si>
    <t>Карнавальный костюм "Лиса"</t>
  </si>
  <si>
    <t>д259</t>
  </si>
  <si>
    <t xml:space="preserve"> Заяц серый р 110-56 /мех /Батик/” можно в интернет-магазине Murzilka. Выгодные цены. Быстрая доставка по Казахстану.</t>
  </si>
  <si>
    <t>Карнавальный костюм "Заяц"</t>
  </si>
  <si>
    <t>д258</t>
  </si>
  <si>
    <t>Каракусбай. Казахская сказка</t>
  </si>
  <si>
    <t>д257</t>
  </si>
  <si>
    <t>Р.Левин (перевод Сужикова А., Асанова М.)</t>
  </si>
  <si>
    <t>Капитан Кук. Captain Cook (каз., рус., англ.яз.)</t>
  </si>
  <si>
    <t>д256</t>
  </si>
  <si>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</si>
  <si>
    <t>Костюм «Пожарный»</t>
  </si>
  <si>
    <t>д254</t>
  </si>
  <si>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</si>
  <si>
    <t>Календарь погоды (наглядное пособие)</t>
  </si>
  <si>
    <t>д253</t>
  </si>
  <si>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</si>
  <si>
    <t>Калейдоскоп детский</t>
  </si>
  <si>
    <t>д252</t>
  </si>
  <si>
    <t>под ред. П. Френсис, Р. Хьюстон (перевод Баталова А.)</t>
  </si>
  <si>
    <t>Как все работает. Энциклопедия</t>
  </si>
  <si>
    <t>д251</t>
  </si>
  <si>
    <t>Составитель Раева С.К.</t>
  </si>
  <si>
    <t>Казахские сказки</t>
  </si>
  <si>
    <t>д250</t>
  </si>
  <si>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</si>
  <si>
    <t>Аквариум декоративный с подсветкой, фильтрацией и обогревом</t>
  </si>
  <si>
    <t>д25</t>
  </si>
  <si>
    <t>Искусство. Аннотированное</t>
  </si>
  <si>
    <t>д249</t>
  </si>
  <si>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</si>
  <si>
    <t>Искусственные декоративные горшечные растения</t>
  </si>
  <si>
    <t>д248</t>
  </si>
  <si>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</si>
  <si>
    <t>Информационно-творческое панно для детских работ и целей</t>
  </si>
  <si>
    <t>д247</t>
  </si>
  <si>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</si>
  <si>
    <t>Интерактивный глобус</t>
  </si>
  <si>
    <t>д246</t>
  </si>
  <si>
    <t>Интерактивное зеркало используется в коррекционно-развивающей работе. Применяется совместно с логопедическим оборудованием.</t>
  </si>
  <si>
    <t>Интерактивное зеркало</t>
  </si>
  <si>
    <t>д245</t>
  </si>
  <si>
    <t>Книжка используется для рассматривания и выполнения игровых заданий. Содержит сюжетные изображения. Материал страниц — картон.</t>
  </si>
  <si>
    <t>Интерактивная книжка</t>
  </si>
  <si>
    <t>д244</t>
  </si>
  <si>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</si>
  <si>
    <t>Интерактивная дидактическая игра "Азбука" для составления слов</t>
  </si>
  <si>
    <t>д243</t>
  </si>
  <si>
    <t>Набор включает инерционные машинки. Используются для свободных сюжетных и подвижных игр. Материал изготовления — пластик.</t>
  </si>
  <si>
    <t>Инерционные машинки (набор)</t>
  </si>
  <si>
    <t>д242</t>
  </si>
  <si>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</si>
  <si>
    <t>Иллюстрированное издание «Животные и птицы»</t>
  </si>
  <si>
    <t>д241</t>
  </si>
  <si>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</si>
  <si>
    <t>Иллюстративные альбомы родного края</t>
  </si>
  <si>
    <t>д240</t>
  </si>
  <si>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</si>
  <si>
    <t>Акварельные краски для занятий по рисованию</t>
  </si>
  <si>
    <t>д24</t>
  </si>
  <si>
    <t>Набор игрушек используется для сюжетных и настольных игр. Фигурки имеют размеры, удобные для удержания. Предназначены для многократного использования.</t>
  </si>
  <si>
    <t>Игрушки-животные (набор)</t>
  </si>
  <si>
    <t>д239</t>
  </si>
  <si>
    <t>Пупс используется для сюжетно-ролевых игр, связанных с уходом. В комплект входят бутылочка и пустышка. Материалы изготовления — винил, пластик и текстиль.</t>
  </si>
  <si>
    <t>Игрушка-пупс с аксессуарами</t>
  </si>
  <si>
    <t>д238</t>
  </si>
  <si>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</si>
  <si>
    <t>Игрушка-каталка «Улитка» на палочке</t>
  </si>
  <si>
    <t>д237</t>
  </si>
  <si>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</si>
  <si>
    <t>Игрушка-каталка «Вертолёт» на палочке</t>
  </si>
  <si>
    <t>д236</t>
  </si>
  <si>
    <t>Игрушка предназначена для перемещения по поверхности путём толкания. Используется в подвижных играх. Материал изготовления — пластик.</t>
  </si>
  <si>
    <t>Игрушка-каталка</t>
  </si>
  <si>
    <t>д235</t>
  </si>
  <si>
    <t>Игрушка используется для свободной игровой деятельности. Назначение зависит от конструкции изделия.</t>
  </si>
  <si>
    <t>Игрушка-забава</t>
  </si>
  <si>
    <t>д234</t>
  </si>
  <si>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</si>
  <si>
    <t xml:space="preserve">Игрушка Монтессори  Бизиборд 3D </t>
  </si>
  <si>
    <t>д233</t>
  </si>
  <si>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</si>
  <si>
    <t>Игрушка «Бетономешалка»</t>
  </si>
  <si>
    <t>д232</t>
  </si>
  <si>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</si>
  <si>
    <t xml:space="preserve">Игрушка "Спасательный вертолет" </t>
  </si>
  <si>
    <t>д231</t>
  </si>
  <si>
    <t>Набор используется для сюжетных игр и сортировки. Элементы снабжены магнитной основой, что позволяет закреплять их на металлических поверхностях.</t>
  </si>
  <si>
    <t>Игрушечный набор фруктов и овощей на магните</t>
  </si>
  <si>
    <t>д230</t>
  </si>
  <si>
    <t>Адамдарға қалай көмектесуге болады. Как помогать людям. How to help people (каз., рус., англ.яз.)</t>
  </si>
  <si>
    <t>д23</t>
  </si>
  <si>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</si>
  <si>
    <t>Игрушечный музыкальный телефон с кнопками</t>
  </si>
  <si>
    <t>д229</t>
  </si>
  <si>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</si>
  <si>
    <t>Игрушечный кран крупногабаритный</t>
  </si>
  <si>
    <t>д228</t>
  </si>
  <si>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</si>
  <si>
    <t>Игрушечная стиральная машина</t>
  </si>
  <si>
    <t>д227</t>
  </si>
  <si>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</si>
  <si>
    <t>Игрушечная микроволновая печь</t>
  </si>
  <si>
    <t>д226</t>
  </si>
  <si>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</si>
  <si>
    <t>Игрушечная корзинка</t>
  </si>
  <si>
    <t>д225</t>
  </si>
  <si>
    <t>Аксессуар предназначен для сюжетно-ролевых игр с куклами. Используется для имитации гигиенических процедур. Материал изготовления — пластик.</t>
  </si>
  <si>
    <t>Игрушечная ванна для кукол</t>
  </si>
  <si>
    <t>д224</t>
  </si>
  <si>
    <t>Фигурки используются для сюжетно-ролевых игр и тематических занятий. Изображают животных и птиц. Применяются для разыгрывания сцен и классификации.</t>
  </si>
  <si>
    <t>Игровые фигурки животных и птиц</t>
  </si>
  <si>
    <t>д223</t>
  </si>
  <si>
    <t>Набор включает фигурки диких животных. Используется для сюжетных игр и тематических занятий. В комплект входит не менее 12 фигурок.</t>
  </si>
  <si>
    <t>Игровые фигурки диких животных</t>
  </si>
  <si>
    <t>д222</t>
  </si>
  <si>
    <t>Игрушка выполнена в форме машинки с набором фигур. В процессе игры выполняется сборка и разборка элементов. Материал изготовления — дерево.</t>
  </si>
  <si>
    <t>Игровой пазл в форме машинки</t>
  </si>
  <si>
    <t>д221</t>
  </si>
  <si>
    <t>Комплект включает несколько фигурок животных и птиц. Используется для групповых и индивидуальных игр. Материал изготовления — резина.</t>
  </si>
  <si>
    <t>Игровой набор фигурок животных и птиц, комплект</t>
  </si>
  <si>
    <t>д220</t>
  </si>
  <si>
    <t>Родригес-Вида А</t>
  </si>
  <si>
    <t>Адам денесi. Жалықтырмайтын анатомия</t>
  </si>
  <si>
    <t>д22</t>
  </si>
  <si>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</si>
  <si>
    <t>Игровой набор инструментов</t>
  </si>
  <si>
    <t>д219</t>
  </si>
  <si>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</si>
  <si>
    <t>Игровой набор декоративной косметики, 10 предметов</t>
  </si>
  <si>
    <t>д218</t>
  </si>
  <si>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</si>
  <si>
    <t>Игровой набор «Холодильник» с продуктами</t>
  </si>
  <si>
    <t>д217</t>
  </si>
  <si>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</si>
  <si>
    <t>Игровой набор «Фастфуд»</t>
  </si>
  <si>
    <t>д216</t>
  </si>
  <si>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</si>
  <si>
    <t>Игровой набор «Стилист»</t>
  </si>
  <si>
    <t>д215</t>
  </si>
  <si>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</si>
  <si>
    <t>Игровой набор «Праздничное чаепитие» со светом и музыкой</t>
  </si>
  <si>
    <t>д214</t>
  </si>
  <si>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</si>
  <si>
    <t>Игровой набор «Полиция», 12 предметов</t>
  </si>
  <si>
    <t>д213</t>
  </si>
  <si>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</si>
  <si>
    <t>Игровой набор «Пожарный»</t>
  </si>
  <si>
    <t>д212</t>
  </si>
  <si>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</si>
  <si>
    <t>Игровой набор «Пицца» на липучках (дерево)</t>
  </si>
  <si>
    <t>д211</t>
  </si>
  <si>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</si>
  <si>
    <t>Игровой набор «Моя мастерская»</t>
  </si>
  <si>
    <t>д210</t>
  </si>
  <si>
    <t>Абай (Ибрагим) Кунанбаев</t>
  </si>
  <si>
    <t>Абай. Слова назидания</t>
  </si>
  <si>
    <t>д21</t>
  </si>
  <si>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</si>
  <si>
    <t>Игровой набор «Монеты и купюры»</t>
  </si>
  <si>
    <t>д209</t>
  </si>
  <si>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</si>
  <si>
    <t>Игровой набор «Корзина с продуктами»</t>
  </si>
  <si>
    <t>д208</t>
  </si>
  <si>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</si>
  <si>
    <t>Игровой набор «Кассовый аппарат»</t>
  </si>
  <si>
    <t>д207</t>
  </si>
  <si>
    <t>Игровой набор используется для сюжетно-ролевых игр на тему медицинской помощи. Включает игровые инструменты врача. Материал изготовления — пластик.</t>
  </si>
  <si>
    <t>Игровой набор «Доктор»</t>
  </si>
  <si>
    <t>д206</t>
  </si>
  <si>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</si>
  <si>
    <t>Игровой набор «Весы»</t>
  </si>
  <si>
    <t>д205</t>
  </si>
  <si>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</si>
  <si>
    <t>Игровой набор «Блендер» со светом и звуком</t>
  </si>
  <si>
    <t>д204</t>
  </si>
  <si>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</si>
  <si>
    <t>Игровой кукольный набор</t>
  </si>
  <si>
    <t>д203</t>
  </si>
  <si>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</si>
  <si>
    <t>Игровой комплект для изучения основ электричества</t>
  </si>
  <si>
    <t>д202</t>
  </si>
  <si>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</si>
  <si>
    <t>Игровой кассовый аппарат</t>
  </si>
  <si>
    <t>д201</t>
  </si>
  <si>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</si>
  <si>
    <t>Игровой дом с куклой, мебелью и аксессуарами</t>
  </si>
  <si>
    <t>д200</t>
  </si>
  <si>
    <t>Абай. Қара сөздер</t>
  </si>
  <si>
    <t>д20</t>
  </si>
  <si>
    <t>"Ақылды" боямақ. Көлік. "Умная" раскраска. Раскрась по коду. Транспорт</t>
  </si>
  <si>
    <t>д2</t>
  </si>
  <si>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</si>
  <si>
    <t>Игровая парковка для машин</t>
  </si>
  <si>
    <t>д199</t>
  </si>
  <si>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</si>
  <si>
    <t>Игровая зона «Центр песка и воды»</t>
  </si>
  <si>
    <t>д198</t>
  </si>
  <si>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</si>
  <si>
    <t>Игровая зона «Парикмахерская»</t>
  </si>
  <si>
    <t>д197</t>
  </si>
  <si>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</si>
  <si>
    <t>Игра на липучках «Одень девочку»</t>
  </si>
  <si>
    <t>д196</t>
  </si>
  <si>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</si>
  <si>
    <t>Игра для сортировки «Шарики»</t>
  </si>
  <si>
    <t>д195</t>
  </si>
  <si>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</si>
  <si>
    <t>Игра для развития мелкой моторики (антистресс)</t>
  </si>
  <si>
    <t>д194</t>
  </si>
  <si>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</si>
  <si>
    <t>Игра «Куб-сортировка»</t>
  </si>
  <si>
    <t>д193</t>
  </si>
  <si>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</si>
  <si>
    <t>Игра «Ключи и замки»</t>
  </si>
  <si>
    <t>д192</t>
  </si>
  <si>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</si>
  <si>
    <t>Игра «Катящийся шар. Барабан»</t>
  </si>
  <si>
    <t>д191</t>
  </si>
  <si>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</si>
  <si>
    <t>Игра «Забивалка. Радужные столбики»</t>
  </si>
  <si>
    <t>д190</t>
  </si>
  <si>
    <t>3 Д ұшбұрыш</t>
  </si>
  <si>
    <t>д19</t>
  </si>
  <si>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</si>
  <si>
    <t>Иглы с тупым концом (набор)</t>
  </si>
  <si>
    <t>д189</t>
  </si>
  <si>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</si>
  <si>
    <t>Зона гидропоники</t>
  </si>
  <si>
    <t>д188</t>
  </si>
  <si>
    <t>Знаю ли я своего ребенка? Практикум по детской психологии в помощь родителям</t>
  </si>
  <si>
    <t>д187</t>
  </si>
  <si>
    <t>Адилбеков А.Б.</t>
  </si>
  <si>
    <t>Жыраулардан жыр мұра</t>
  </si>
  <si>
    <t>д186</t>
  </si>
  <si>
    <t>Е.Өтетілеуұлы</t>
  </si>
  <si>
    <t>Жылдар және жаңа жорамалдар (Қазақ оркестрі, Ойыншықтар)</t>
  </si>
  <si>
    <t>д185</t>
  </si>
  <si>
    <t>Жол бағдар</t>
  </si>
  <si>
    <t>д184</t>
  </si>
  <si>
    <t>Жер ғаламшарының антологиясы</t>
  </si>
  <si>
    <t>д183</t>
  </si>
  <si>
    <t>Используется для временной остановки кровотечения и при проведении медицинских процедур.</t>
  </si>
  <si>
    <t>Жгут кровоостанавливающий</t>
  </si>
  <si>
    <t>д182</t>
  </si>
  <si>
    <t>С.Иманасов</t>
  </si>
  <si>
    <t>Жәнібек пен атасы</t>
  </si>
  <si>
    <t>д181</t>
  </si>
  <si>
    <t>Жауапкершілікті сезіну. Как стать ответственным. How to be responsible</t>
  </si>
  <si>
    <t>д180</t>
  </si>
  <si>
    <t>10 историй о принцессах</t>
  </si>
  <si>
    <t>д18</t>
  </si>
  <si>
    <t>Ж Смақов</t>
  </si>
  <si>
    <t>Жаңғырық</t>
  </si>
  <si>
    <t>д179</t>
  </si>
  <si>
    <t>Арлон П.</t>
  </si>
  <si>
    <t>Жануарлар. Энциклопедиясы</t>
  </si>
  <si>
    <t>д178</t>
  </si>
  <si>
    <t>А.Вайнберг</t>
  </si>
  <si>
    <t>Жалықтырмайтын астрономия. Балалар энциклопедиясы</t>
  </si>
  <si>
    <t>д177</t>
  </si>
  <si>
    <t>Сахипова Ф.,Солтанғазина М.</t>
  </si>
  <si>
    <t>Жабайы жануарларды білесің бе? Ақылды боямақ</t>
  </si>
  <si>
    <t>д176</t>
  </si>
  <si>
    <t>А.Пушкин (құрастырушы: Сужикова А.)</t>
  </si>
  <si>
    <t>Ескерткіш орнаттым мен қолдан келмес....</t>
  </si>
  <si>
    <t>д175</t>
  </si>
  <si>
    <t>Құрастырған А.Жусупова</t>
  </si>
  <si>
    <t>Ертегілер. Өзіміз оқимыз (3 бөлім)</t>
  </si>
  <si>
    <t>д174</t>
  </si>
  <si>
    <t>Ертегілер. Өзіміз оқимыз (2 бөлім)</t>
  </si>
  <si>
    <t>д173</t>
  </si>
  <si>
    <t>Ертегілер. Өзіміз оқимыз (1 бөлім)</t>
  </si>
  <si>
    <t>д172</t>
  </si>
  <si>
    <t>Ертегілер. Буынға бөліп оқимыз (3 бөлім)</t>
  </si>
  <si>
    <t>д171</t>
  </si>
  <si>
    <t>Ертегілер. Буынға бөліп оқимыз (2 бөлім)</t>
  </si>
  <si>
    <t>д170</t>
  </si>
  <si>
    <t>10 историй о пиратах</t>
  </si>
  <si>
    <t>д17</t>
  </si>
  <si>
    <t>Ертегілер. Буынға бөліп оқимыз (1 бөлім)</t>
  </si>
  <si>
    <t>д169</t>
  </si>
  <si>
    <t>Ертегілер. Ата-анамен оқимыз (3 бөлім)</t>
  </si>
  <si>
    <t>д168</t>
  </si>
  <si>
    <t>Ертегілер. Ата-анамен оқимыз (2 бөлім)</t>
  </si>
  <si>
    <t>д167</t>
  </si>
  <si>
    <t>Ертегілер. Ата-анамен оқимыз (1 бөлім)</t>
  </si>
  <si>
    <t>д166</t>
  </si>
  <si>
    <t>Ер Тарғын (каз., агылш.)</t>
  </si>
  <si>
    <t>д165</t>
  </si>
  <si>
    <t>Ер Таргын (рус., англ.)</t>
  </si>
  <si>
    <t>д164</t>
  </si>
  <si>
    <t>Баянбай Қ.</t>
  </si>
  <si>
    <t>Егіздер. Өлендер жинағы</t>
  </si>
  <si>
    <t>д163</t>
  </si>
  <si>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</si>
  <si>
    <t>Дыхательный тренажёр «Тучка»</t>
  </si>
  <si>
    <t>д162</t>
  </si>
  <si>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</si>
  <si>
    <t>Душевой комплект для ручной мойки посуды</t>
  </si>
  <si>
    <t>д161</t>
  </si>
  <si>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</si>
  <si>
    <t>Дуги для подлезания</t>
  </si>
  <si>
    <t>д160</t>
  </si>
  <si>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</si>
  <si>
    <t>«Түрлі түсті бөлшектер» (Интеллектум)</t>
  </si>
  <si>
    <t>д16</t>
  </si>
  <si>
    <t>Достарды қалай таңдаймын. Как завести друзей. How to make friends (каз., рус., англ.яз.)</t>
  </si>
  <si>
    <t>д159</t>
  </si>
  <si>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</si>
  <si>
    <t>Доска пробковая</t>
  </si>
  <si>
    <t>д158</t>
  </si>
  <si>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</si>
  <si>
    <t>Доска маркерная</t>
  </si>
  <si>
    <t>д157</t>
  </si>
  <si>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</si>
  <si>
    <t>Доска для работы с эмоциями</t>
  </si>
  <si>
    <t>д156</t>
  </si>
  <si>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</si>
  <si>
    <t>Домино с картинками</t>
  </si>
  <si>
    <t>д155</t>
  </si>
  <si>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</si>
  <si>
    <t>Домино деревянное с картинками (28 фишек)</t>
  </si>
  <si>
    <t>д154</t>
  </si>
  <si>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</si>
  <si>
    <t>Домино деревянное (классическое)</t>
  </si>
  <si>
    <t>д153</t>
  </si>
  <si>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</si>
  <si>
    <t>Домино деревянное «Транспорт» (картинки-половинки)</t>
  </si>
  <si>
    <t>д152</t>
  </si>
  <si>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</si>
  <si>
    <t>Домино деревянное «Транспорт»</t>
  </si>
  <si>
    <t>д151</t>
  </si>
  <si>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</si>
  <si>
    <t>Домино деревянное «На ферме»</t>
  </si>
  <si>
    <t>д150</t>
  </si>
  <si>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</si>
  <si>
    <t>«Таяқшалар» (Интеллектум)</t>
  </si>
  <si>
    <t>д15</t>
  </si>
  <si>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</si>
  <si>
    <t>Домино деревянное «Животные» (28 фишек)</t>
  </si>
  <si>
    <t>д149</t>
  </si>
  <si>
    <t>Добро пожаловать, Наурыз! (книга - сундучок)</t>
  </si>
  <si>
    <t>д148</t>
  </si>
  <si>
    <t>Богаэр К.</t>
  </si>
  <si>
    <t>Динозаврлар. Жалықтырмайтын энциклопедия</t>
  </si>
  <si>
    <t>д147</t>
  </si>
  <si>
    <t>Динмухамед Кунаев. Книга-альбом к 110-летию со дня рождения</t>
  </si>
  <si>
    <t>д146</t>
  </si>
  <si>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</si>
  <si>
    <t>Дидактическое пособие-панно «Моё тело»</t>
  </si>
  <si>
    <t>д145</t>
  </si>
  <si>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</si>
  <si>
    <t>Дидактические материалы для сенсорного развития</t>
  </si>
  <si>
    <t>д144</t>
  </si>
  <si>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</si>
  <si>
    <t>Дидактические материалы (комплект)</t>
  </si>
  <si>
    <t>д143</t>
  </si>
  <si>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</si>
  <si>
    <t>Дидактические игры по формированию представлений (счёт, форма, время, природа)</t>
  </si>
  <si>
    <t>д142</t>
  </si>
  <si>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</si>
  <si>
    <t>Дидактическая фигура человека из изогнутого дерева</t>
  </si>
  <si>
    <t>д141</t>
  </si>
  <si>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</si>
  <si>
    <t>Дидактическая игрушка для развития мелкой моторики</t>
  </si>
  <si>
    <t>д140</t>
  </si>
  <si>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</si>
  <si>
    <t>«Сөйлеуді дамыту және көркем әдебиет»</t>
  </si>
  <si>
    <t>д14</t>
  </si>
  <si>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</si>
  <si>
    <t>Дидактическая игра на липучках «Цифры и количество»</t>
  </si>
  <si>
    <t>д139</t>
  </si>
  <si>
    <t>Детям о Конституции Республики Казахстан</t>
  </si>
  <si>
    <t>д138</t>
  </si>
  <si>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</si>
  <si>
    <t>Детский фартук для творческих занятий</t>
  </si>
  <si>
    <t>д137</t>
  </si>
  <si>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</si>
  <si>
    <t>Детский игровой комплект «Строитель» с жилетом</t>
  </si>
  <si>
    <t>д136</t>
  </si>
  <si>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</si>
  <si>
    <t>Детский горшок пластиковый</t>
  </si>
  <si>
    <t>д135</t>
  </si>
  <si>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</si>
  <si>
    <t>Детская железная дорога (набор)</t>
  </si>
  <si>
    <t>д134</t>
  </si>
  <si>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</si>
  <si>
    <t>Детская железная дорога «Сортировочный центр», комплект 70 элементов</t>
  </si>
  <si>
    <t>д133</t>
  </si>
  <si>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</si>
  <si>
    <t>Деревянный набор Монтессори для математических действий и магнитных заданий</t>
  </si>
  <si>
    <t>д132</t>
  </si>
  <si>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</si>
  <si>
    <t>Деревянный конструктор, 66 деталей</t>
  </si>
  <si>
    <t>д131</t>
  </si>
  <si>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</si>
  <si>
    <t>Деревянный конструктор неокрашенный «Строим сами», 66 деталей</t>
  </si>
  <si>
    <t>д130</t>
  </si>
  <si>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</si>
  <si>
    <t>«Сан сауалдың жауабы. Энциклопедиясы»</t>
  </si>
  <si>
    <t>д13</t>
  </si>
  <si>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</si>
  <si>
    <t>Деревянный балансир для двигательной активности</t>
  </si>
  <si>
    <t>д129</t>
  </si>
  <si>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</si>
  <si>
    <t>Деревянные квадратные блоки для сборки (набор)</t>
  </si>
  <si>
    <t>д128</t>
  </si>
  <si>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</si>
  <si>
    <t>Деревянные 3D-пазлы для сборки фигур животных</t>
  </si>
  <si>
    <t>д127</t>
  </si>
  <si>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</si>
  <si>
    <t>Деревянная дудочка (свистковый духовой инструмент)</t>
  </si>
  <si>
    <t>д126</t>
  </si>
  <si>
    <t>Денсаулықты қалай сақтауға болады. Как сохранить здоровье. How to stay fit (каз., рус., англ.яз.)</t>
  </si>
  <si>
    <t>д125</t>
  </si>
  <si>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</si>
  <si>
    <t>Демонстрационные материалы по формированию математических представлений (электронная версия)</t>
  </si>
  <si>
    <t>д124</t>
  </si>
  <si>
    <t>Стол для опытов и изучения цвета/света</t>
  </si>
  <si>
    <t xml:space="preserve">Световой стол </t>
  </si>
  <si>
    <t>д123</t>
  </si>
  <si>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</si>
  <si>
    <t>Демонстрационные картинки «Ягоды»</t>
  </si>
  <si>
    <t>д122</t>
  </si>
  <si>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</si>
  <si>
    <t>Демонстрационные картинки «Электроприборы»</t>
  </si>
  <si>
    <t>д121</t>
  </si>
  <si>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</si>
  <si>
    <t>Демонстрационные картинки «Цветы садовые»</t>
  </si>
  <si>
    <t>д120</t>
  </si>
  <si>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</si>
  <si>
    <t>«Пішіндер» (Интеллектум)</t>
  </si>
  <si>
    <t>д12</t>
  </si>
  <si>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</si>
  <si>
    <t>Демонстрационные картинки «Цветы полевые»</t>
  </si>
  <si>
    <t>д119</t>
  </si>
  <si>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</si>
  <si>
    <t>Демонстрационные картинки «Фрукты»</t>
  </si>
  <si>
    <t>д118</t>
  </si>
  <si>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</si>
  <si>
    <t>Демонстрационные картинки «Транспорт»</t>
  </si>
  <si>
    <t>д117</t>
  </si>
  <si>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</si>
  <si>
    <t>Демонстрационные картинки «Птицы России»</t>
  </si>
  <si>
    <t>д116</t>
  </si>
  <si>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</si>
  <si>
    <t>Демонстрационные картинки «Птицы разных широт»</t>
  </si>
  <si>
    <t>д115</t>
  </si>
  <si>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</si>
  <si>
    <t>Демонстрационные картинки «Птицы домашние и декоративные»</t>
  </si>
  <si>
    <t>д114</t>
  </si>
  <si>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</si>
  <si>
    <t>Демонстрационные картинки «Профессии»</t>
  </si>
  <si>
    <t>д113</t>
  </si>
  <si>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</si>
  <si>
    <t>Демонстрационные картинки «Продукты питания»</t>
  </si>
  <si>
    <t>д112</t>
  </si>
  <si>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</si>
  <si>
    <t>Демонстрационные картинки «Посуда»</t>
  </si>
  <si>
    <t>д111</t>
  </si>
  <si>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</si>
  <si>
    <t>Демонстрационные картинки «Одежда»</t>
  </si>
  <si>
    <t>д110</t>
  </si>
  <si>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</si>
  <si>
    <t>«Піл мен жолбарыс. Ертегі. Боямақ»</t>
  </si>
  <si>
    <t>д11</t>
  </si>
  <si>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</si>
  <si>
    <t>Демонстрационные картинки «Овощи»</t>
  </si>
  <si>
    <t>д109</t>
  </si>
  <si>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</si>
  <si>
    <t>Демонстрационные картинки «Насекомые»</t>
  </si>
  <si>
    <t>д108</t>
  </si>
  <si>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</si>
  <si>
    <t>Демонстрационные картинки «Музыкальные инструменты»</t>
  </si>
  <si>
    <t>д107</t>
  </si>
  <si>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</si>
  <si>
    <t>Демонстрационные картинки «Мир морей и океанов»</t>
  </si>
  <si>
    <t>д106</t>
  </si>
  <si>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</si>
  <si>
    <t>Демонстрационные картинки «Мебель»</t>
  </si>
  <si>
    <t>д105</t>
  </si>
  <si>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</si>
  <si>
    <t>Демонстрационные картинки «Комнатные растения»</t>
  </si>
  <si>
    <t>д104</t>
  </si>
  <si>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</si>
  <si>
    <t>Демонстрационные картинки «Игрушки»</t>
  </si>
  <si>
    <t>д103</t>
  </si>
  <si>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</si>
  <si>
    <t>Демонстрационные картинки «Животные холодных широт»</t>
  </si>
  <si>
    <t>д102</t>
  </si>
  <si>
    <t>Набор для изучения управлению роботом Кубо</t>
  </si>
  <si>
    <t>д1013</t>
  </si>
  <si>
    <t>Базовый набор Robo wunderkind для начальных классов</t>
  </si>
  <si>
    <t>Robo Wunderkind Extension Kit</t>
  </si>
  <si>
    <t>д1012</t>
  </si>
  <si>
    <t>Базовый набор Robowunderkind для начальных классов</t>
  </si>
  <si>
    <t xml:space="preserve"> Robo Wunderkind Education Kit</t>
  </si>
  <si>
    <t>д1011</t>
  </si>
  <si>
    <t>Конструктор Lego Education FLL Discover</t>
  </si>
  <si>
    <t xml:space="preserve">Базовый набор робототехники для детей,
 </t>
  </si>
  <si>
    <t>д1010</t>
  </si>
  <si>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</si>
  <si>
    <t>Демонстрационные картинки «Животные жарких стран»</t>
  </si>
  <si>
    <t>д101</t>
  </si>
  <si>
    <t>Мягкая зона для запуска мобильных роботов и групповых обсуждений.</t>
  </si>
  <si>
    <t xml:space="preserve">Испытательный полигон </t>
  </si>
  <si>
    <t>д1009</t>
  </si>
  <si>
    <t>Настольный набор для понимания принципов работы механических узлов.</t>
  </si>
  <si>
    <t>Лаборатория шестеренок</t>
  </si>
  <si>
    <t>д1008</t>
  </si>
  <si>
    <t>Игра для развития логического мышления (база перед программированием)</t>
  </si>
  <si>
    <t xml:space="preserve">Основы алгоритмики </t>
  </si>
  <si>
    <t>д1007</t>
  </si>
  <si>
    <t>Интерактивный стенд для изучения передач, вращения и крутящего момента</t>
  </si>
  <si>
    <t>Настенная механика</t>
  </si>
  <si>
    <t>д1006</t>
  </si>
  <si>
    <t>Контейнеры для сортировки конструкторов по типам деталей.</t>
  </si>
  <si>
    <t xml:space="preserve">Глубокие лотки </t>
  </si>
  <si>
    <t>д1005</t>
  </si>
  <si>
    <t>Стеллаж для организации лотков с деталями роботов и микросхемами.</t>
  </si>
  <si>
    <t xml:space="preserve">Система хранения </t>
  </si>
  <si>
    <t>д1004</t>
  </si>
  <si>
    <t>Высота сиденья: 25 – 26 см
Ширина сиденья: 29 см
Глубина сиденья: 27 см
Высота спинки (общая): 52 см</t>
  </si>
  <si>
    <t xml:space="preserve">Стулья </t>
  </si>
  <si>
    <t>д1003</t>
  </si>
  <si>
    <t>Основная рабочая зона для конструирования моделей и работы с инструментами.</t>
  </si>
  <si>
    <t xml:space="preserve">Верстак для сборки </t>
  </si>
  <si>
    <t>д1002</t>
  </si>
  <si>
    <t xml:space="preserve">3D принтер </t>
  </si>
  <si>
    <t>3D принтер A1 Combo</t>
  </si>
  <si>
    <t>д1001</t>
  </si>
  <si>
    <t>Пакет расходных материалов для инструментов Makerspace</t>
  </si>
  <si>
    <t>д1000</t>
  </si>
  <si>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</si>
  <si>
    <t>Демонстрационные картинки «Домашние животные»</t>
  </si>
  <si>
    <t>д100</t>
  </si>
  <si>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</si>
  <si>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«Көркем өрнек» (Интеллектум)</t>
  </si>
  <si>
    <t>д10</t>
  </si>
  <si>
    <t>"Ақылды" боямақ. Жаз. "Умная" раскраска. Раскрась по коду. Лето</t>
  </si>
  <si>
    <t>д1</t>
  </si>
  <si>
    <t>Ролл шторы белые однотонные, ШхВхКв.м2               1310х1650х2160 мм</t>
  </si>
  <si>
    <t>7</t>
  </si>
  <si>
    <t>Ролл шторы белые однотонные, ШхВхКв.м2               910х1650х1500 мм</t>
  </si>
  <si>
    <t>6</t>
  </si>
  <si>
    <t>Ролл шторы белые однотонные, ШхВхКв.м2               2410х3300х7950 мм</t>
  </si>
  <si>
    <t>5</t>
  </si>
  <si>
    <t>Ролл шторы белые однотонные, ШхВхКв.м2               2000х1200х3240 мм</t>
  </si>
  <si>
    <t>4</t>
  </si>
  <si>
    <t>Ролл шторы белые однотонные, ШхВхКв.м2               1210х1810х2190 мм</t>
  </si>
  <si>
    <t>3</t>
  </si>
  <si>
    <t>Ролл шторы белые однотонные, ШхВхКв.м2               1810х1810х3280 мм</t>
  </si>
  <si>
    <t>2</t>
  </si>
  <si>
    <t>Ролл шторы белые однотонные, ШхВхКв.м2               2410х1810х4360 мм</t>
  </si>
  <si>
    <t>1</t>
  </si>
  <si>
    <t/>
  </si>
  <si>
    <t>Помещение камеры охлаждения</t>
  </si>
  <si>
    <t>Оборудование для гончарки</t>
  </si>
  <si>
    <t>Мебель для ИЗО и Ателье</t>
  </si>
  <si>
    <t>Мебель для гончарки</t>
  </si>
  <si>
    <t>Мебель</t>
  </si>
  <si>
    <t>Материалы для гончарки</t>
  </si>
  <si>
    <t>Компьютерная техника и устройства</t>
  </si>
  <si>
    <t>Кладовая овощей</t>
  </si>
  <si>
    <t>Дополнительные товары</t>
  </si>
  <si>
    <t>Групповая</t>
  </si>
  <si>
    <t>Одноразовые стерильные шприцы объёмом 5 мл с иглой 22G (0,7 мм × 30 мм)</t>
  </si>
  <si>
    <t>Шприцы одноразовые с иглами 5,0</t>
  </si>
  <si>
    <t>Стерильные трехкомпонентные шприцы объемом 2 мл с установленной иглой 23G (0, 6 × 30 мм).</t>
  </si>
  <si>
    <t>Шприцы одноразовые с иглами 2,0</t>
  </si>
  <si>
    <t>Стерильные трехкомпонентные шприцы объемом 10 мл с иглой размером 21G (0, 8 × 40 мм).</t>
  </si>
  <si>
    <t>Шприцы одноразовые с иглами 10,0</t>
  </si>
  <si>
    <t>Ширма 2-створчатая (ткань болонь) на колесах</t>
  </si>
  <si>
    <t>Ширмы медицинские (металлический каркас + моющаяся ткань/пластик</t>
  </si>
  <si>
    <t>Шина Крамера при переломах нередко прибегают к способу иммобилизации – креплению бинтами поврежденной верхней конечности к туловищу.</t>
  </si>
  <si>
    <t>Шины Крамера - транспортные проволочные для рук</t>
  </si>
  <si>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</si>
  <si>
    <t>Шины Крамера - транспортные проволочные для ног</t>
  </si>
  <si>
    <t>Халат рабочий.
 Цвет серый.
 Рекомендован для защиты от незначительных загрязнений,бытовой и производственной пыли. Подробнее: https://largo.kz/p75874235-halat-seryj.html</t>
  </si>
  <si>
    <t>Халаты темные для уборки</t>
  </si>
  <si>
    <t>Термометр исп.1 (-20+70С) с
 поверкой (комнатный,скл.помещения) 
  применяется для измерения
 температуры в складских и производственных
 помещениях</t>
  </si>
  <si>
    <t>СТОЛ С 2 МОЙКАМИ CE-TCE120X70</t>
  </si>
  <si>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</si>
  <si>
    <t>Простыни одноразовые</t>
  </si>
  <si>
    <t>Полотенца одноразовые из спанлейса, 35*70 см, 40 г/м2, 50 шт/упак</t>
  </si>
  <si>
    <t>Полотенца одноразовые</t>
  </si>
  <si>
    <t>Перчатки из резины</t>
  </si>
  <si>
    <t>Облучатель ультрафиолетовый
 кварцевый ОУФК-01 Солнышко (Стандартная комплектация)</t>
  </si>
  <si>
    <t>Облучатель ультрафиолетовый (кварцевая лампа) с комплектом тубусов</t>
  </si>
  <si>
    <t>Мойка 120х60 (F147 (L) МОЙКА ДВОЙНАЯ ) (УГЛУБЛЕННАЯ )</t>
  </si>
  <si>
    <t>Мойка двойная</t>
  </si>
  <si>
    <t>Маска на резинках медицинская 3-х слойная</t>
  </si>
  <si>
    <t>Маски одноразовые</t>
  </si>
  <si>
    <t>Бак для сбора медицинских отходов (класс Б) 1 литр</t>
  </si>
  <si>
    <t>Контейнер для отходов класса Б</t>
  </si>
  <si>
    <t>Бак с крышкой для сбора медицинских отходов (класс А) 10 литров</t>
  </si>
  <si>
    <t>Контейнер для отходов класса А</t>
  </si>
  <si>
    <t>Зонт вытяжной вентиляционный размерами 600х300мм</t>
  </si>
  <si>
    <t>Зонт вытяжной вентиляционный размерами 1600х800мм</t>
  </si>
  <si>
    <t>Зонт вытяжной вентиляционный размерами 1200х700мм</t>
  </si>
  <si>
    <t>Зонт вытяжной вентиляционный размерами 1200х700 мм</t>
  </si>
  <si>
    <t>Жгут резиновый</t>
  </si>
  <si>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</si>
  <si>
    <t>Емкость для хранения ветошей</t>
  </si>
  <si>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</si>
  <si>
    <t>Емкость для уничтожения остатков вакцин</t>
  </si>
  <si>
    <t>Емкость-контейнер</t>
  </si>
  <si>
    <t>Емкость для дезинфицирующих растворов</t>
  </si>
  <si>
    <t>Емкость-контейнер для дезинфекции и
 предстерилизационной обработки</t>
  </si>
  <si>
    <t>Емкости для дезинфекции инструментов и поверхностей</t>
  </si>
  <si>
    <t>Дозатор для житкого мыла</t>
  </si>
  <si>
    <t>Медицинский локтевой дозатор для антисептика 1000 мл.</t>
  </si>
  <si>
    <t>Дозатор для антисептика</t>
  </si>
  <si>
    <t>Грелка резиновая - это резиновый баллон с объемом 2000 мл с завинчивающейся крышкой.</t>
  </si>
  <si>
    <t>Грелка резиновая</t>
  </si>
  <si>
    <t>Ткань обтирочная нетканая холстопрошивная
ширина:140см</t>
  </si>
  <si>
    <t xml:space="preserve">Ветоши </t>
  </si>
  <si>
    <t>ведро для воды 10 л</t>
  </si>
  <si>
    <t>Ведро для воды 10 л</t>
  </si>
  <si>
    <t>Аппарат УВЧ-терапии УВЧ - 30 «Мед ТеКо»</t>
  </si>
  <si>
    <t>Аппарат для терапии ультравысокой частоты (УВЧ-терапия)</t>
  </si>
  <si>
    <t>Аппарат для низкочастотной
 магнитотерапии переносной Полюс-101
 Для лечения конечностей больного
 магнитным полем повышенной частоты</t>
  </si>
  <si>
    <t>Аппарат для магнитотерапии (низкочастотной)</t>
  </si>
  <si>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</si>
  <si>
    <t>Аппарат для ингаляционной терапии (небулайзер компрессорный)</t>
  </si>
  <si>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</si>
  <si>
    <t>Аппарат для дарсонвализации (ультратонотерапии)</t>
  </si>
  <si>
    <t>Аппарат электротерапии Поток-1
 предназначен воздействия постоянным
 током на организм человека, а также
 проведения лекарственного
 электрофореза.</t>
  </si>
  <si>
    <t>Аппарат для гальванизации и лекарственного электрофореза (портативный)</t>
  </si>
  <si>
    <t>поисковая маска</t>
  </si>
  <si>
    <t>поисковый текст</t>
  </si>
  <si>
    <t>SUM из Кол-во</t>
  </si>
  <si>
    <t>Цена с НДС, в тенге</t>
  </si>
  <si>
    <t>Описание</t>
  </si>
  <si>
    <t>Наименование товара</t>
  </si>
  <si>
    <t>Код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</si>
</sst>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theme="1"/>
      <name val="Arial"/>
    </font>
    <font>
      <b/>
      <sz val="10"/>
      <color rgb="FF000000"/>
      <name val="Arial"/>
    </font>
    <font>
      <b/>
      <sz val="10"/>
      <color theme="1"/>
      <name val="Arial"/>
    </font>
  </fonts>
  <fills count="3">
    <fill>
      <patternFill patternType="none"/>
    </fill>
    <fill>
      <patternFill patternType="gray125"/>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wrapText="1"/>
    </xf>
    <xf numFmtId="0" fontId="1" fillId="0" borderId="0" xfId="0" applyFont="1" applyAlignment="1">
      <alignment vertical="center"/>
    </xf>
    <xf numFmtId="0" fontId="2" fillId="0" borderId="0" xfId="0" applyFont="1"/>
    <xf numFmtId="0" fontId="1" fillId="0" borderId="1" xfId="0" applyFont="1" applyBorder="1" applyAlignment="1">
      <alignment vertical="center"/>
    </xf>
    <xf numFmtId="3" fontId="2" fillId="0" borderId="1" xfId="0" applyNumberFormat="1" applyFont="1" applyBorder="1" applyAlignment="1">
      <alignment horizontal="right" vertical="center" wrapText="1"/>
    </xf>
    <xf numFmtId="4" fontId="2" fillId="0" borderId="1" xfId="0" applyNumberFormat="1" applyFont="1" applyBorder="1" applyAlignment="1">
      <alignment horizontal="right" vertical="center" wrapText="1"/>
    </xf>
    <xf numFmtId="0" fontId="2" fillId="0" borderId="1" xfId="0" applyFont="1" applyBorder="1" applyAlignment="1">
      <alignment vertical="center" wrapText="1"/>
    </xf>
    <xf numFmtId="49" fontId="2" fillId="0" borderId="1" xfId="0" applyNumberFormat="1" applyFont="1" applyBorder="1" applyAlignment="1">
      <alignment vertical="center" wrapText="1"/>
    </xf>
    <xf numFmtId="4" fontId="2" fillId="0" borderId="1" xfId="0" applyNumberFormat="1" applyFont="1" applyBorder="1" applyAlignment="1">
      <alignment vertical="center" wrapText="1"/>
    </xf>
    <xf numFmtId="3" fontId="2" fillId="0" borderId="1" xfId="0" applyNumberFormat="1" applyFont="1" applyBorder="1" applyAlignment="1">
      <alignment vertical="center" wrapText="1"/>
    </xf>
    <xf numFmtId="2" fontId="2" fillId="0" borderId="1" xfId="0" applyNumberFormat="1" applyFont="1" applyBorder="1" applyAlignment="1">
      <alignment horizontal="right" vertical="center" wrapText="1"/>
    </xf>
    <xf numFmtId="0" fontId="2" fillId="0" borderId="1" xfId="0" applyFont="1" applyBorder="1" applyAlignment="1">
      <alignment horizontal="right" vertical="center" wrapText="1"/>
    </xf>
    <xf numFmtId="0" fontId="3" fillId="2" borderId="1" xfId="0"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7E73B-0F13-446C-9630-064D10FA3276}">
  <sheetPr>
    <outlinePr summaryBelow="0" summaryRight="0"/>
  </sheetPr>
  <dimension ref="A1:J2885"/>
  <sheetViews>
    <sheetView showGridLines="0" tabSelected="1" workbookViewId="0">
      <pane ySplit="1" topLeftCell="A476" activePane="bottomLeft" state="frozen"/>
      <selection pane="bottomLeft" activeCell="B3" sqref="B3"/>
    </sheetView>
  </sheetViews>
  <sheetFormatPr defaultColWidth="12.5703125" defaultRowHeight="15.75" customHeight="1" x14ac:dyDescent="0.2"/>
  <cols>
    <col min="1" max="1" width="13.140625" customWidth="1"/>
    <col min="2" max="2" width="41.42578125" customWidth="1"/>
    <col min="3" max="3" width="102.28515625" customWidth="1"/>
    <col min="6" max="6" width="13.85546875" customWidth="1"/>
    <col min="7" max="7" width="14.42578125" customWidth="1"/>
    <col min="8" max="8" width="24.42578125" customWidth="1"/>
    <col min="9" max="10" width="55" customWidth="1"/>
  </cols>
  <sheetData>
    <row r="1" spans="1:10" x14ac:dyDescent="0.2">
      <c r="A1" s="16" t="s">
        <v>3502</v>
      </c>
      <c r="B1" s="15" t="s">
        <v>3501</v>
      </c>
      <c r="C1" s="15" t="s">
        <v>3500</v>
      </c>
      <c r="D1" s="14" t="s">
        <v>3499</v>
      </c>
      <c r="E1" s="13" t="s">
        <v>3498</v>
      </c>
      <c r="F1" s="2" t="s">
        <v>3497</v>
      </c>
      <c r="G1" s="2" t="s">
        <v>3496</v>
      </c>
      <c r="I1" s="1"/>
      <c r="J1" s="1"/>
    </row>
    <row r="2" spans="1:10" x14ac:dyDescent="0.2">
      <c r="A2" s="7"/>
      <c r="B2" s="7" t="s">
        <v>3495</v>
      </c>
      <c r="C2" s="7" t="s">
        <v>3494</v>
      </c>
      <c r="D2" s="6">
        <v>300900</v>
      </c>
      <c r="E2" s="5">
        <v>1</v>
      </c>
      <c r="F2" s="4" t="str">
        <f ca="1">IFERROR(__xludf.DUMMYFUNCTION("REGEXREPLACE(B2&amp;"" ""&amp;C2,""[^а-яa-z0-9 ]"","" "")"),"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f>
        <v xml:space="preserve">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v>
      </c>
      <c r="G2" s="4" t="str">
        <f ca="1">IFERROR(__xludf.DUMMYFUNCTION("TEXTJOIN(""|"",TRUE,UNIQUE(FILTER(SPLIT(F2,"" ""),LEN(SPLIT(F2,"" ""))&gt;2)))"),"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f>
        <v>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v>
      </c>
      <c r="I2" s="1"/>
      <c r="J2" s="1"/>
    </row>
    <row r="3" spans="1:10" x14ac:dyDescent="0.2">
      <c r="A3" s="7"/>
      <c r="B3" s="7" t="s">
        <v>3493</v>
      </c>
      <c r="C3" s="7" t="s">
        <v>3492</v>
      </c>
      <c r="D3" s="6">
        <v>1627750</v>
      </c>
      <c r="E3" s="5">
        <v>1</v>
      </c>
      <c r="F3" s="4" t="str">
        <f ca="1">IFERROR(__xludf.DUMMYFUNCTION("LOWER(REGEXREPLACE(B3&amp;"" ""&amp;C3,""[^а-яa-z0-9 ]"","" ""))"),"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f>
        <v xml:space="preserve">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v>
      </c>
      <c r="G3" s="4" t="str">
        <f ca="1">IFERROR(__xludf.DUMMYFUNCTION("TEXTJOIN(""|"",TRUE,UNIQUE(FILTER(SPLIT(F3,"" ""),LEN(SPLIT(F3,"" ""))&gt;2)))"),"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f>
        <v>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v>
      </c>
      <c r="I3" s="1"/>
      <c r="J3" s="1"/>
    </row>
    <row r="4" spans="1:10" x14ac:dyDescent="0.2">
      <c r="A4" s="7"/>
      <c r="B4" s="7" t="s">
        <v>3491</v>
      </c>
      <c r="C4" s="7" t="s">
        <v>3490</v>
      </c>
      <c r="D4" s="6">
        <v>104210</v>
      </c>
      <c r="E4" s="12">
        <v>1</v>
      </c>
      <c r="F4" s="4" t="str">
        <f ca="1">IFERROR(__xludf.DUMMYFUNCTION("LOWER(REGEXREPLACE(B4&amp;"" ""&amp;C4,""[^а-яa-z0-9 ]"","" ""))"),"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f>
        <v xml:space="preserve">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v>
      </c>
      <c r="G4" s="4" t="str">
        <f ca="1">IFERROR(__xludf.DUMMYFUNCTION("TEXTJOIN(""|"",TRUE,UNIQUE(FILTER(SPLIT(F4,"" ""),LEN(SPLIT(F4,"" ""))&gt;2)))"),"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f>
        <v>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v>
      </c>
      <c r="I4" s="1"/>
      <c r="J4" s="1"/>
    </row>
    <row r="5" spans="1:10" x14ac:dyDescent="0.2">
      <c r="A5" s="7"/>
      <c r="B5" s="7" t="s">
        <v>3489</v>
      </c>
      <c r="C5" s="7" t="s">
        <v>3488</v>
      </c>
      <c r="D5" s="6">
        <v>2419100</v>
      </c>
      <c r="E5" s="5">
        <v>1</v>
      </c>
      <c r="F5" s="4" t="str">
        <f ca="1">IFERROR(__xludf.DUMMYFUNCTION("LOWER(REGEXREPLACE(B5&amp;"" ""&amp;C5,""[^а-яa-z0-9 ]"","" ""))"),"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f>
        <v xml:space="preserve">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v>
      </c>
      <c r="G5" s="4" t="str">
        <f ca="1">IFERROR(__xludf.DUMMYFUNCTION("TEXTJOIN(""|"",TRUE,UNIQUE(FILTER(SPLIT(F5,"" ""),LEN(SPLIT(F5,"" ""))&gt;2)))"),"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f>
        <v>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v>
      </c>
      <c r="I5" s="1"/>
      <c r="J5" s="1"/>
    </row>
    <row r="6" spans="1:10" x14ac:dyDescent="0.2">
      <c r="A6" s="7"/>
      <c r="B6" s="7" t="s">
        <v>3487</v>
      </c>
      <c r="C6" s="7" t="s">
        <v>3486</v>
      </c>
      <c r="D6" s="6">
        <v>2023000</v>
      </c>
      <c r="E6" s="5">
        <v>1</v>
      </c>
      <c r="F6" s="4" t="str">
        <f ca="1">IFERROR(__xludf.DUMMYFUNCTION("LOWER(REGEXREPLACE(B6&amp;"" ""&amp;C6,""[^а-яa-z0-9 ]"","" ""))")," ппарат для терапии ультравысокой частоты      терапия   ппарат     терапии       30   ед  е о ")</f>
        <v xml:space="preserve"> ппарат для терапии ультравысокой частоты      терапия   ппарат     терапии       30   ед  е о </v>
      </c>
      <c r="G6" s="4" t="str">
        <f ca="1">IFERROR(__xludf.DUMMYFUNCTION("TEXTJOIN(""|"",TRUE,UNIQUE(FILTER(SPLIT(F6,"" ""),LEN(SPLIT(F6,"" ""))&gt;2)))"),"ппарат|для|терапии|ультравысокой|частоты|терапия|ппарат|терапии")</f>
        <v>ппарат|для|терапии|ультравысокой|частоты|терапия|ппарат|терапии</v>
      </c>
      <c r="I6" s="1"/>
      <c r="J6" s="1"/>
    </row>
    <row r="7" spans="1:10" x14ac:dyDescent="0.2">
      <c r="A7" s="7"/>
      <c r="B7" s="7" t="s">
        <v>3485</v>
      </c>
      <c r="C7" s="7" t="s">
        <v>3484</v>
      </c>
      <c r="D7" s="6">
        <v>1800</v>
      </c>
      <c r="E7" s="5">
        <v>1</v>
      </c>
      <c r="F7" s="4" t="str">
        <f ca="1">IFERROR(__xludf.DUMMYFUNCTION("LOWER(REGEXREPLACE(B7&amp;"" ""&amp;C7,""[^а-яa-z0-9 ]"","" ""))")," едро для воды 10 л ведро для воды 10 л")</f>
        <v xml:space="preserve"> едро для воды 10 л ведро для воды 10 л</v>
      </c>
      <c r="G7" s="4" t="str">
        <f ca="1">IFERROR(__xludf.DUMMYFUNCTION("TEXTJOIN(""|"",TRUE,UNIQUE(FILTER(SPLIT(F7,"" ""),LEN(SPLIT(F7,"" ""))&gt;2)))"),"едро|для|воды|ведро|для|воды")</f>
        <v>едро|для|воды|ведро|для|воды</v>
      </c>
      <c r="I7" s="1"/>
      <c r="J7" s="1"/>
    </row>
    <row r="8" spans="1:10" x14ac:dyDescent="0.2">
      <c r="A8" s="7"/>
      <c r="B8" s="7" t="s">
        <v>3483</v>
      </c>
      <c r="C8" s="7" t="s">
        <v>3482</v>
      </c>
      <c r="D8" s="6">
        <v>61200</v>
      </c>
      <c r="E8" s="5">
        <v>10</v>
      </c>
      <c r="F8" s="4" t="str">
        <f ca="1">IFERROR(__xludf.DUMMYFUNCTION("LOWER(REGEXREPLACE(B8&amp;"" ""&amp;C8,""[^а-яa-z0-9 ]"","" ""))")," етоши   кань обтирочная нетканая холстопрошивная  ширина 140см")</f>
        <v xml:space="preserve"> етоши   кань обтирочная нетканая холстопрошивная  ширина 140см</v>
      </c>
      <c r="G8" s="4" t="str">
        <f ca="1">IFERROR(__xludf.DUMMYFUNCTION("TEXTJOIN(""|"",TRUE,UNIQUE(FILTER(SPLIT(F8,"" ""),LEN(SPLIT(F8,"" ""))&gt;2)))"),"етоши|кань|обтирочная|нетканая|холстопрошивная|ширина|140см")</f>
        <v>етоши|кань|обтирочная|нетканая|холстопрошивная|ширина|140см</v>
      </c>
      <c r="I8" s="1"/>
      <c r="J8" s="1"/>
    </row>
    <row r="9" spans="1:10" x14ac:dyDescent="0.2">
      <c r="A9" s="7"/>
      <c r="B9" s="7" t="s">
        <v>3481</v>
      </c>
      <c r="C9" s="7" t="s">
        <v>3480</v>
      </c>
      <c r="D9" s="6">
        <v>4900</v>
      </c>
      <c r="E9" s="5">
        <v>2</v>
      </c>
      <c r="F9" s="4" t="str">
        <f ca="1">IFERROR(__xludf.DUMMYFUNCTION("LOWER(REGEXREPLACE(B9&amp;"" ""&amp;C9,""[^а-яa-z0-9 ]"","" ""))")," релка резиновая  релка резиновая   это резиновый баллон с объемом 2000 мл с завинчивающейся крышкой ")</f>
        <v xml:space="preserve"> релка резиновая  релка резиновая   это резиновый баллон с объемом 2000 мл с завинчивающейся крышкой </v>
      </c>
      <c r="G9" s="4" t="str">
        <f ca="1">IFERROR(__xludf.DUMMYFUNCTION("TEXTJOIN(""|"",TRUE,UNIQUE(FILTER(SPLIT(F9,"" ""),LEN(SPLIT(F9,"" ""))&gt;2)))"),"релка|резиновая|релка|резиновая|это|резиновый|баллон|объемом|2000|завинчивающейся|крышкой")</f>
        <v>релка|резиновая|релка|резиновая|это|резиновый|баллон|объемом|2000|завинчивающейся|крышкой</v>
      </c>
      <c r="I9" s="1"/>
      <c r="J9" s="1"/>
    </row>
    <row r="10" spans="1:10" x14ac:dyDescent="0.2">
      <c r="A10" s="7"/>
      <c r="B10" s="7" t="s">
        <v>3479</v>
      </c>
      <c r="C10" s="7" t="s">
        <v>3478</v>
      </c>
      <c r="D10" s="6">
        <v>13500</v>
      </c>
      <c r="E10" s="5">
        <v>2</v>
      </c>
      <c r="F10" s="4" t="str">
        <f ca="1">IFERROR(__xludf.DUMMYFUNCTION("LOWER(REGEXREPLACE(B10&amp;"" ""&amp;C10,""[^а-яa-z0-9 ]"","" ""))")," озатор для антисептика  едицинский локтевой дозатор для антисептика 1000 мл ")</f>
        <v xml:space="preserve"> озатор для антисептика  едицинский локтевой дозатор для антисептика 1000 мл </v>
      </c>
      <c r="G10" s="4" t="str">
        <f ca="1">IFERROR(__xludf.DUMMYFUNCTION("TEXTJOIN(""|"",TRUE,UNIQUE(FILTER(SPLIT(F10,"" ""),LEN(SPLIT(F10,"" ""))&gt;2)))"),"озатор|для|антисептика|едицинский|локтевой|дозатор|для|антисептика|1000")</f>
        <v>озатор|для|антисептика|едицинский|локтевой|дозатор|для|антисептика|1000</v>
      </c>
      <c r="I10" s="1"/>
      <c r="J10" s="1"/>
    </row>
    <row r="11" spans="1:10" x14ac:dyDescent="0.2">
      <c r="A11" s="7"/>
      <c r="B11" s="7" t="s">
        <v>3477</v>
      </c>
      <c r="C11" s="7" t="s">
        <v>646</v>
      </c>
      <c r="D11" s="6">
        <v>12000</v>
      </c>
      <c r="E11" s="5">
        <v>2</v>
      </c>
      <c r="F11" s="4" t="str">
        <f ca="1">IFERROR(__xludf.DUMMYFUNCTION("LOWER(REGEXREPLACE(B11&amp;"" ""&amp;C11,""[^а-яa-z0-9 ]"","" ""))")," озатор для житкого мыла  озатор для жидкого мыла")</f>
        <v xml:space="preserve"> озатор для житкого мыла  озатор для жидкого мыла</v>
      </c>
      <c r="G11" s="4" t="str">
        <f ca="1">IFERROR(__xludf.DUMMYFUNCTION("TEXTJOIN(""|"",TRUE,UNIQUE(FILTER(SPLIT(F11,"" ""),LEN(SPLIT(F11,"" ""))&gt;2)))"),"озатор|для|житкого|мыла|озатор|для|жидкого|мыла")</f>
        <v>озатор|для|житкого|мыла|озатор|для|жидкого|мыла</v>
      </c>
      <c r="I11" s="1"/>
      <c r="J11" s="1"/>
    </row>
    <row r="12" spans="1:10" x14ac:dyDescent="0.2">
      <c r="A12" s="7"/>
      <c r="B12" s="7" t="s">
        <v>3476</v>
      </c>
      <c r="C12" s="7" t="s">
        <v>3475</v>
      </c>
      <c r="D12" s="6">
        <v>14490</v>
      </c>
      <c r="E12" s="5">
        <v>1</v>
      </c>
      <c r="F12" s="4" t="str">
        <f ca="1">IFERROR(__xludf.DUMMYFUNCTION("LOWER(REGEXREPLACE(B12&amp;"" ""&amp;C12,""[^а-яa-z0-9 ]"","" ""))")," мкости для дезинфекции инструментов и поверхностей  мкость контейнер для дезинфекции и  предстерилизационной обработки")</f>
        <v xml:space="preserve"> мкости для дезинфекции инструментов и поверхностей  мкость контейнер для дезинфекции и  предстерилизационной обработки</v>
      </c>
      <c r="G12" s="4" t="str">
        <f ca="1">IFERROR(__xludf.DUMMYFUNCTION("TEXTJOIN(""|"",TRUE,UNIQUE(FILTER(SPLIT(F12,"" ""),LEN(SPLIT(F12,"" ""))&gt;2)))"),"мкости|для|дезинфекции|инструментов|поверхностей|мкость|контейнер|для|дезинфекции|предстерилизационной|обработки")</f>
        <v>мкости|для|дезинфекции|инструментов|поверхностей|мкость|контейнер|для|дезинфекции|предстерилизационной|обработки</v>
      </c>
      <c r="I12" s="1"/>
      <c r="J12" s="1"/>
    </row>
    <row r="13" spans="1:10" x14ac:dyDescent="0.2">
      <c r="A13" s="7"/>
      <c r="B13" s="7" t="s">
        <v>3474</v>
      </c>
      <c r="C13" s="7" t="s">
        <v>3473</v>
      </c>
      <c r="D13" s="6">
        <v>14220</v>
      </c>
      <c r="E13" s="5">
        <v>1</v>
      </c>
      <c r="F13" s="4" t="str">
        <f ca="1">IFERROR(__xludf.DUMMYFUNCTION("LOWER(REGEXREPLACE(B13&amp;"" ""&amp;C13,""[^а-яa-z0-9 ]"","" ""))")," мкость для дезинфицирующих растворов  мкость контейнер")</f>
        <v xml:space="preserve"> мкость для дезинфицирующих растворов  мкость контейнер</v>
      </c>
      <c r="G13" s="4" t="str">
        <f ca="1">IFERROR(__xludf.DUMMYFUNCTION("TEXTJOIN(""|"",TRUE,UNIQUE(FILTER(SPLIT(F13,"" ""),LEN(SPLIT(F13,"" ""))&gt;2)))"),"мкость|для|дезинфицирующих|растворов|мкость|контейнер")</f>
        <v>мкость|для|дезинфицирующих|растворов|мкость|контейнер</v>
      </c>
      <c r="I13" s="1"/>
      <c r="J13" s="1"/>
    </row>
    <row r="14" spans="1:10" x14ac:dyDescent="0.2">
      <c r="A14" s="7"/>
      <c r="B14" s="7" t="s">
        <v>3472</v>
      </c>
      <c r="C14" s="7" t="s">
        <v>3471</v>
      </c>
      <c r="D14" s="6">
        <v>31860</v>
      </c>
      <c r="E14" s="5">
        <v>2</v>
      </c>
      <c r="F14" s="4" t="str">
        <f ca="1">IFERROR(__xludf.DUMMYFUNCTION("LOWER(REGEXREPLACE(B14&amp;"" ""&amp;C14,""[^а-яa-z0-9 ]"","" ""))"),"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ли"&amp;"тров")</f>
        <v xml:space="preserve">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v>
      </c>
      <c r="G14" s="4" t="str">
        <f ca="1">IFERROR(__xludf.DUMMYFUNCTION("TEXTJOIN(""|"",TRUE,UNIQUE(FILTER(SPLIT(F14,"" ""),LEN(SPLIT(F14,"" ""))&gt;2)))"),"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f>
        <v>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v>
      </c>
      <c r="I14" s="1"/>
      <c r="J14" s="1"/>
    </row>
    <row r="15" spans="1:10" x14ac:dyDescent="0.2">
      <c r="A15" s="7"/>
      <c r="B15" s="7" t="s">
        <v>3470</v>
      </c>
      <c r="C15" s="7" t="s">
        <v>3469</v>
      </c>
      <c r="D15" s="6">
        <v>198000</v>
      </c>
      <c r="E15" s="5">
        <v>1</v>
      </c>
      <c r="F15" s="4" t="str">
        <f ca="1">IFERROR(__xludf.DUMMYFUNCTION("LOWER(REGEXREPLACE(B15&amp;"" ""&amp;C15,""[^а-яa-z0-9 ]"","" ""))"),"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f>
        <v xml:space="preserve">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v>
      </c>
      <c r="G15" s="4" t="str">
        <f ca="1">IFERROR(__xludf.DUMMYFUNCTION("TEXTJOIN(""|"",TRUE,UNIQUE(FILTER(SPLIT(F15,"" ""),LEN(SPLIT(F15,"" ""))&gt;2)))"),"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f>
        <v>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v>
      </c>
      <c r="I15" s="1"/>
      <c r="J15" s="1"/>
    </row>
    <row r="16" spans="1:10" x14ac:dyDescent="0.2">
      <c r="A16" s="7"/>
      <c r="B16" s="7" t="s">
        <v>3468</v>
      </c>
      <c r="C16" s="7" t="s">
        <v>3108</v>
      </c>
      <c r="D16" s="6">
        <v>2810</v>
      </c>
      <c r="E16" s="5">
        <v>2</v>
      </c>
      <c r="F16" s="4" t="str">
        <f ca="1">IFERROR(__xludf.DUMMYFUNCTION("LOWER(REGEXREPLACE(B16&amp;"" ""&amp;C16,""[^а-яa-z0-9 ]"","" ""))")," гут резиновый  спользуется для временной остановки кровотечения и при проведении медицинских процедур ")</f>
        <v xml:space="preserve"> гут резиновый  спользуется для временной остановки кровотечения и при проведении медицинских процедур </v>
      </c>
      <c r="G16" s="4" t="str">
        <f ca="1">IFERROR(__xludf.DUMMYFUNCTION("TEXTJOIN(""|"",TRUE,UNIQUE(FILTER(SPLIT(F16,"" ""),LEN(SPLIT(F16,"" ""))&gt;2)))"),"гут|резиновый|спользуется|для|временной|остановки|кровотечения|при|проведении|медицинских|процедур")</f>
        <v>гут|резиновый|спользуется|для|временной|остановки|кровотечения|при|проведении|медицинских|процедур</v>
      </c>
      <c r="I16" s="1"/>
      <c r="J16" s="1"/>
    </row>
    <row r="17" spans="1:10" x14ac:dyDescent="0.2">
      <c r="A17" s="7"/>
      <c r="B17" s="7" t="s">
        <v>6</v>
      </c>
      <c r="C17" s="7" t="s">
        <v>3467</v>
      </c>
      <c r="D17" s="6">
        <v>204000</v>
      </c>
      <c r="E17" s="5">
        <v>1</v>
      </c>
      <c r="F17" s="4" t="str">
        <f ca="1">IFERROR(__xludf.DUMMYFUNCTION("LOWER(REGEXREPLACE(B17&amp;"" ""&amp;C17,""[^а-яa-z0-9 ]"","" ""))")," онт вытяжной вентиляционный  онт вытяжной вентиляционный размерами 1200х700 мм")</f>
        <v xml:space="preserve"> онт вытяжной вентиляционный  онт вытяжной вентиляционный размерами 1200х700 мм</v>
      </c>
      <c r="G17" s="4" t="str">
        <f ca="1">IFERROR(__xludf.DUMMYFUNCTION("TEXTJOIN(""|"",TRUE,UNIQUE(FILTER(SPLIT(F17,"" ""),LEN(SPLIT(F17,"" ""))&gt;2)))"),"онт|вытяжной|вентиляционный|онт|вытяжной|вентиляционный|размерами|1200х700")</f>
        <v>онт|вытяжной|вентиляционный|онт|вытяжной|вентиляционный|размерами|1200х700</v>
      </c>
      <c r="I17" s="1"/>
      <c r="J17" s="1"/>
    </row>
    <row r="18" spans="1:10" x14ac:dyDescent="0.2">
      <c r="A18" s="7"/>
      <c r="B18" s="7"/>
      <c r="C18" s="7" t="s">
        <v>3466</v>
      </c>
      <c r="D18" s="6">
        <v>674900</v>
      </c>
      <c r="E18" s="12">
        <v>1</v>
      </c>
      <c r="F18" s="4" t="str">
        <f ca="1">IFERROR(__xludf.DUMMYFUNCTION("LOWER(REGEXREPLACE(B18&amp;"" ""&amp;C18,""[^а-яa-z0-9 ]"","" ""))"),"  онт вытяжной вентиляционный размерами 1200х700мм")</f>
        <v xml:space="preserve">  онт вытяжной вентиляционный размерами 1200х700мм</v>
      </c>
      <c r="G18" s="4" t="str">
        <f ca="1">IFERROR(__xludf.DUMMYFUNCTION("TEXTJOIN(""|"",TRUE,UNIQUE(FILTER(SPLIT(F18,"" ""),LEN(SPLIT(F18,"" ""))&gt;2)))"),"онт|вытяжной|вентиляционный|размерами|1200х700мм")</f>
        <v>онт|вытяжной|вентиляционный|размерами|1200х700мм</v>
      </c>
      <c r="I18" s="1"/>
      <c r="J18" s="1"/>
    </row>
    <row r="19" spans="1:10" x14ac:dyDescent="0.2">
      <c r="A19" s="7"/>
      <c r="B19" s="7"/>
      <c r="C19" s="7" t="s">
        <v>3465</v>
      </c>
      <c r="D19" s="6">
        <v>807500</v>
      </c>
      <c r="E19" s="12">
        <v>1</v>
      </c>
      <c r="F19" s="4" t="str">
        <f ca="1">IFERROR(__xludf.DUMMYFUNCTION("LOWER(REGEXREPLACE(B19&amp;"" ""&amp;C19,""[^а-яa-z0-9 ]"","" ""))"),"  онт вытяжной вентиляционный размерами 1600х800мм")</f>
        <v xml:space="preserve">  онт вытяжной вентиляционный размерами 1600х800мм</v>
      </c>
      <c r="G19" s="4" t="str">
        <f ca="1">IFERROR(__xludf.DUMMYFUNCTION("TEXTJOIN(""|"",TRUE,UNIQUE(FILTER(SPLIT(F19,"" ""),LEN(SPLIT(F19,"" ""))&gt;2)))"),"онт|вытяжной|вентиляционный|размерами|1600х800мм")</f>
        <v>онт|вытяжной|вентиляционный|размерами|1600х800мм</v>
      </c>
      <c r="I19" s="1"/>
      <c r="J19" s="1"/>
    </row>
    <row r="20" spans="1:10" x14ac:dyDescent="0.2">
      <c r="A20" s="7"/>
      <c r="B20" s="7"/>
      <c r="C20" s="7" t="s">
        <v>3464</v>
      </c>
      <c r="D20" s="6">
        <v>491300</v>
      </c>
      <c r="E20" s="12">
        <v>13</v>
      </c>
      <c r="F20" s="4" t="str">
        <f ca="1">IFERROR(__xludf.DUMMYFUNCTION("LOWER(REGEXREPLACE(B20&amp;"" ""&amp;C20,""[^а-яa-z0-9 ]"","" ""))"),"  онт вытяжной вентиляционный размерами 600х300мм")</f>
        <v xml:space="preserve">  онт вытяжной вентиляционный размерами 600х300мм</v>
      </c>
      <c r="G20" s="4" t="str">
        <f ca="1">IFERROR(__xludf.DUMMYFUNCTION("TEXTJOIN(""|"",TRUE,UNIQUE(FILTER(SPLIT(F20,"" ""),LEN(SPLIT(F20,"" ""))&gt;2)))"),"онт|вытяжной|вентиляционный|размерами|600х300мм")</f>
        <v>онт|вытяжной|вентиляционный|размерами|600х300мм</v>
      </c>
      <c r="I20" s="1"/>
      <c r="J20" s="1"/>
    </row>
    <row r="21" spans="1:10" x14ac:dyDescent="0.2">
      <c r="A21" s="7"/>
      <c r="B21" s="7" t="s">
        <v>3463</v>
      </c>
      <c r="C21" s="7" t="s">
        <v>3462</v>
      </c>
      <c r="D21" s="6">
        <v>2500</v>
      </c>
      <c r="E21" s="5">
        <v>1</v>
      </c>
      <c r="F21" s="4" t="str">
        <f ca="1">IFERROR(__xludf.DUMMYFUNCTION("LOWER(REGEXREPLACE(B21&amp;"" ""&amp;C21,""[^а-яa-z0-9 ]"","" ""))")," онтейнер для отходов класса    ак с крышкой для сбора медицинских отходов  класс    10 литров")</f>
        <v xml:space="preserve"> онтейнер для отходов класса    ак с крышкой для сбора медицинских отходов  класс    10 литров</v>
      </c>
      <c r="G21" s="4" t="str">
        <f ca="1">IFERROR(__xludf.DUMMYFUNCTION("TEXTJOIN(""|"",TRUE,UNIQUE(FILTER(SPLIT(F21,"" ""),LEN(SPLIT(F21,"" ""))&gt;2)))"),"онтейнер|для|отходов|класса|крышкой|для|сбора|медицинских|отходов|класс|литров")</f>
        <v>онтейнер|для|отходов|класса|крышкой|для|сбора|медицинских|отходов|класс|литров</v>
      </c>
      <c r="I21" s="1"/>
      <c r="J21" s="1"/>
    </row>
    <row r="22" spans="1:10" x14ac:dyDescent="0.2">
      <c r="A22" s="7"/>
      <c r="B22" s="7" t="s">
        <v>3461</v>
      </c>
      <c r="C22" s="7" t="s">
        <v>3460</v>
      </c>
      <c r="D22" s="6">
        <v>4900</v>
      </c>
      <c r="E22" s="5">
        <v>1</v>
      </c>
      <c r="F22" s="4" t="str">
        <f ca="1">IFERROR(__xludf.DUMMYFUNCTION("LOWER(REGEXREPLACE(B22&amp;"" ""&amp;C22,""[^а-яa-z0-9 ]"","" ""))")," онтейнер для отходов класса    ак для сбора медицинских отходов  класс    1 литр")</f>
        <v xml:space="preserve"> онтейнер для отходов класса    ак для сбора медицинских отходов  класс    1 литр</v>
      </c>
      <c r="G22" s="4" t="str">
        <f ca="1">IFERROR(__xludf.DUMMYFUNCTION("TEXTJOIN(""|"",TRUE,UNIQUE(FILTER(SPLIT(F22,"" ""),LEN(SPLIT(F22,"" ""))&gt;2)))"),"онтейнер|для|отходов|класса|для|сбора|медицинских|отходов|класс|литр")</f>
        <v>онтейнер|для|отходов|класса|для|сбора|медицинских|отходов|класс|литр</v>
      </c>
      <c r="I22" s="1"/>
      <c r="J22" s="1"/>
    </row>
    <row r="23" spans="1:10" x14ac:dyDescent="0.2">
      <c r="A23" s="7"/>
      <c r="B23" s="7" t="s">
        <v>2604</v>
      </c>
      <c r="C23" s="7" t="s">
        <v>2603</v>
      </c>
      <c r="D23" s="6">
        <v>35100</v>
      </c>
      <c r="E23" s="5">
        <v>1</v>
      </c>
      <c r="F23" s="4" t="str">
        <f ca="1">IFERROR(__xludf.DUMMYFUNCTION("LOWER(REGEXREPLACE(B23&amp;"" ""&amp;C23,""[^а-яa-z0-9 ]"",""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G23" s="4" t="str">
        <f ca="1">IFERROR(__xludf.DUMMYFUNCTION("TEXTJOIN(""|"",TRUE,UNIQUE(FILTER(SPLIT(F23,"" ""),LEN(SPLIT(F23,""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I23" s="1"/>
      <c r="J23" s="1"/>
    </row>
    <row r="24" spans="1:10" x14ac:dyDescent="0.2">
      <c r="A24" s="7"/>
      <c r="B24" s="7" t="s">
        <v>2298</v>
      </c>
      <c r="C24" s="7" t="s">
        <v>2297</v>
      </c>
      <c r="D24" s="6">
        <v>8200</v>
      </c>
      <c r="E24" s="5">
        <v>3</v>
      </c>
      <c r="F24" s="4" t="str">
        <f ca="1">IFERROR(__xludf.DUMMYFUNCTION("LOWER(REGEXREPLACE(B24&amp;"" ""&amp;C24,""[^а-яa-z0-9 ]"",""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G24" s="4" t="str">
        <f ca="1">IFERROR(__xludf.DUMMYFUNCTION("TEXTJOIN(""|"",TRUE,UNIQUE(FILTER(SPLIT(F24,"" ""),LEN(SPLIT(F24,""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I24" s="1"/>
      <c r="J24" s="1"/>
    </row>
    <row r="25" spans="1:10" x14ac:dyDescent="0.2">
      <c r="A25" s="7"/>
      <c r="B25" s="7" t="s">
        <v>3459</v>
      </c>
      <c r="C25" s="7" t="s">
        <v>3458</v>
      </c>
      <c r="D25" s="6">
        <v>40</v>
      </c>
      <c r="E25" s="5">
        <v>100</v>
      </c>
      <c r="F25" s="4" t="str">
        <f ca="1">IFERROR(__xludf.DUMMYFUNCTION("LOWER(REGEXREPLACE(B25&amp;"" ""&amp;C25,""[^а-яa-z0-9 ]"","" ""))")," аски одноразовые  аска на резинках медицинская 3 х слойная")</f>
        <v xml:space="preserve"> аски одноразовые  аска на резинках медицинская 3 х слойная</v>
      </c>
      <c r="G25" s="4" t="str">
        <f ca="1">IFERROR(__xludf.DUMMYFUNCTION("TEXTJOIN(""|"",TRUE,UNIQUE(FILTER(SPLIT(F25,"" ""),LEN(SPLIT(F25,"" ""))&gt;2)))"),"аски|одноразовые|аска|резинках|медицинская|слойная")</f>
        <v>аски|одноразовые|аска|резинках|медицинская|слойная</v>
      </c>
      <c r="I25" s="1"/>
      <c r="J25" s="1"/>
    </row>
    <row r="26" spans="1:10" x14ac:dyDescent="0.2">
      <c r="A26" s="7"/>
      <c r="B26" s="7" t="s">
        <v>3457</v>
      </c>
      <c r="C26" s="7" t="s">
        <v>3456</v>
      </c>
      <c r="D26" s="6">
        <v>220710</v>
      </c>
      <c r="E26" s="5">
        <v>1</v>
      </c>
      <c r="F26" s="4" t="str">
        <f ca="1">IFERROR(__xludf.DUMMYFUNCTION("LOWER(REGEXREPLACE(B26&amp;"" ""&amp;C26,""[^а-яa-z0-9 ]"","" ""))")," ойка двойная  ойка 120х60   147                                   ")</f>
        <v xml:space="preserve"> ойка двойная  ойка 120х60   147                                   </v>
      </c>
      <c r="G26" s="4" t="str">
        <f ca="1">IFERROR(__xludf.DUMMYFUNCTION("TEXTJOIN(""|"",TRUE,UNIQUE(FILTER(SPLIT(F26,"" ""),LEN(SPLIT(F26,"" ""))&gt;2)))"),"ойка|двойная|ойка|120х60|147")</f>
        <v>ойка|двойная|ойка|120х60|147</v>
      </c>
      <c r="I26" s="1"/>
      <c r="J26" s="1"/>
    </row>
    <row r="27" spans="1:10" x14ac:dyDescent="0.2">
      <c r="A27" s="7"/>
      <c r="B27" s="7" t="s">
        <v>3455</v>
      </c>
      <c r="C27" s="7" t="s">
        <v>3454</v>
      </c>
      <c r="D27" s="6">
        <v>43690</v>
      </c>
      <c r="E27" s="5">
        <v>1</v>
      </c>
      <c r="F27" s="4" t="str">
        <f ca="1">IFERROR(__xludf.DUMMYFUNCTION("LOWER(REGEXREPLACE(B27&amp;"" ""&amp;C27,""[^а-яa-z0-9 ]"","" ""))")," блучатель ультрафиолетовый  кварцевая лампа  с комплектом тубусов  блучатель ультрафиолетовый  кварцевый      01  олнышко   тандартная комплектация ")</f>
        <v xml:space="preserve"> блучатель ультрафиолетовый  кварцевая лампа  с комплектом тубусов  блучатель ультрафиолетовый  кварцевый      01  олнышко   тандартная комплектация </v>
      </c>
      <c r="G27" s="4" t="str">
        <f ca="1">IFERROR(__xludf.DUMMYFUNCTION("TEXTJOIN(""|"",TRUE,UNIQUE(FILTER(SPLIT(F27,"" ""),LEN(SPLIT(F27,"" ""))&gt;2)))"),"блучатель|ультрафиолетовый|кварцевая|лампа|комплектом|тубусов|блучатель|ультрафиолетовый|кварцевый|олнышко|тандартная|комплектация")</f>
        <v>блучатель|ультрафиолетовый|кварцевая|лампа|комплектом|тубусов|блучатель|ультрафиолетовый|кварцевый|олнышко|тандартная|комплектация</v>
      </c>
      <c r="I27" s="1"/>
      <c r="J27" s="1"/>
    </row>
    <row r="28" spans="1:10" x14ac:dyDescent="0.2">
      <c r="A28" s="7"/>
      <c r="B28" s="7" t="s">
        <v>3453</v>
      </c>
      <c r="C28" s="7"/>
      <c r="D28" s="6">
        <v>2520</v>
      </c>
      <c r="E28" s="5">
        <v>20</v>
      </c>
      <c r="F28" s="4" t="str">
        <f ca="1">IFERROR(__xludf.DUMMYFUNCTION("LOWER(REGEXREPLACE(B28&amp;"" ""&amp;C28,""[^а-яa-z0-9 ]"","" ""))")," ерчатки из резины ")</f>
        <v xml:space="preserve"> ерчатки из резины </v>
      </c>
      <c r="G28" s="4" t="str">
        <f ca="1">IFERROR(__xludf.DUMMYFUNCTION("TEXTJOIN(""|"",TRUE,UNIQUE(FILTER(SPLIT(F28,"" ""),LEN(SPLIT(F28,"" ""))&gt;2)))"),"ерчатки|резины")</f>
        <v>ерчатки|резины</v>
      </c>
      <c r="I28" s="1"/>
      <c r="J28" s="1"/>
    </row>
    <row r="29" spans="1:10" x14ac:dyDescent="0.2">
      <c r="A29" s="7"/>
      <c r="B29" s="7" t="s">
        <v>3452</v>
      </c>
      <c r="C29" s="7" t="s">
        <v>3451</v>
      </c>
      <c r="D29" s="6">
        <v>11750</v>
      </c>
      <c r="E29" s="5">
        <v>20</v>
      </c>
      <c r="F29" s="4" t="str">
        <f ca="1">IFERROR(__xludf.DUMMYFUNCTION("LOWER(REGEXREPLACE(B29&amp;"" ""&amp;C29,""[^а-яa-z0-9 ]"","" ""))")," олотенца одноразовые  олотенца одноразовые из спанлейса  35 70 см  40 г м2  50 шт упак")</f>
        <v xml:space="preserve"> олотенца одноразовые  олотенца одноразовые из спанлейса  35 70 см  40 г м2  50 шт упак</v>
      </c>
      <c r="G29" s="4" t="str">
        <f ca="1">IFERROR(__xludf.DUMMYFUNCTION("TEXTJOIN(""|"",TRUE,UNIQUE(FILTER(SPLIT(F29,"" ""),LEN(SPLIT(F29,"" ""))&gt;2)))"),"олотенца|одноразовые|олотенца|одноразовые|спанлейса|упак")</f>
        <v>олотенца|одноразовые|олотенца|одноразовые|спанлейса|упак</v>
      </c>
      <c r="I29" s="1"/>
      <c r="J29" s="1"/>
    </row>
    <row r="30" spans="1:10" x14ac:dyDescent="0.2">
      <c r="A30" s="7"/>
      <c r="B30" s="7" t="s">
        <v>3450</v>
      </c>
      <c r="C30" s="7" t="s">
        <v>3449</v>
      </c>
      <c r="D30" s="6">
        <v>15930</v>
      </c>
      <c r="E30" s="5">
        <v>20</v>
      </c>
      <c r="F30" s="4" t="str">
        <f ca="1">IFERROR(__xludf.DUMMYFUNCTION("LOWER(REGEXREPLACE(B30&amp;"" ""&amp;C30,""[^а-яa-z0-9 ]"","" ""))"),"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f>
        <v xml:space="preserve">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v>
      </c>
      <c r="G30" s="4" t="str">
        <f ca="1">IFERROR(__xludf.DUMMYFUNCTION("TEXTJOIN(""|"",TRUE,UNIQUE(FILTER(SPLIT(F30,"" ""),LEN(SPLIT(F30,"" ""))&gt;2)))"),"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f>
        <v>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v>
      </c>
      <c r="I30" s="1"/>
      <c r="J30" s="1"/>
    </row>
    <row r="31" spans="1:10" x14ac:dyDescent="0.2">
      <c r="A31" s="7"/>
      <c r="B31" s="7" t="s">
        <v>3448</v>
      </c>
      <c r="C31" s="7" t="s">
        <v>583</v>
      </c>
      <c r="D31" s="6">
        <v>729360</v>
      </c>
      <c r="E31" s="5">
        <v>6</v>
      </c>
      <c r="F31" s="4" t="str">
        <f ca="1">IFERROR(__xludf.DUMMYFUNCTION("LOWER(REGEXREPLACE(B31&amp;"" ""&amp;C31,""[^а-яa-z0-9 ]"","" ""))"),"       2               120 70  ержавеющая сталь      430    бортиком без полки   ойка  50x40x25 см   араметры  1200x700x850 мм")</f>
        <v xml:space="preserve">       2               120 70  ержавеющая сталь      430    бортиком без полки   ойка  50x40x25 см   араметры  1200x700x850 мм</v>
      </c>
      <c r="G31" s="4" t="str">
        <f ca="1">IFERROR(__xludf.DUMMYFUNCTION("TEXTJOIN(""|"",TRUE,UNIQUE(FILTER(SPLIT(F31,"" ""),LEN(SPLIT(F31,"" ""))&gt;2)))"),"120|ержавеющая|сталь|430|бортиком|без|полки|ойка|50x40x25|араметры|1200x700x850")</f>
        <v>120|ержавеющая|сталь|430|бортиком|без|полки|ойка|50x40x25|араметры|1200x700x850</v>
      </c>
      <c r="I31" s="1"/>
      <c r="J31" s="1"/>
    </row>
    <row r="32" spans="1:10" x14ac:dyDescent="0.2">
      <c r="A32" s="7"/>
      <c r="B32" s="7" t="s">
        <v>996</v>
      </c>
      <c r="C32" s="7" t="s">
        <v>3447</v>
      </c>
      <c r="D32" s="6">
        <v>3800</v>
      </c>
      <c r="E32" s="5">
        <v>37</v>
      </c>
      <c r="F32" s="4" t="str">
        <f ca="1">IFERROR(__xludf.DUMMYFUNCTION("LOWER(REGEXREPLACE(B32&amp;"" ""&amp;C32,""[^а-яa-z0-9 ]"","" ""))")," ермометр  ермометр исп 1   20 70   с  поверкой  комнатный скл помещения     применяется для измерения  температуры в складских и производственных  помещениях")</f>
        <v xml:space="preserve"> ермометр  ермометр исп 1   20 70   с  поверкой  комнатный скл помещения     применяется для измерения  температуры в складских и производственных  помещениях</v>
      </c>
      <c r="G32" s="4" t="str">
        <f ca="1">IFERROR(__xludf.DUMMYFUNCTION("TEXTJOIN(""|"",TRUE,UNIQUE(FILTER(SPLIT(F32,"" ""),LEN(SPLIT(F32,"" ""))&gt;2)))"),"ермометр|ермометр|исп|поверкой|комнатный|скл|помещения|применяется|для|измерения|температуры|складских|производственных|помещениях")</f>
        <v>ермометр|ермометр|исп|поверкой|комнатный|скл|помещения|применяется|для|измерения|температуры|складских|производственных|помещениях</v>
      </c>
      <c r="I32" s="1"/>
      <c r="J32" s="1"/>
    </row>
    <row r="33" spans="1:10" x14ac:dyDescent="0.2">
      <c r="A33" s="7"/>
      <c r="B33" s="7" t="s">
        <v>3446</v>
      </c>
      <c r="C33" s="7" t="s">
        <v>3445</v>
      </c>
      <c r="D33" s="6">
        <v>19000</v>
      </c>
      <c r="E33" s="5">
        <v>2</v>
      </c>
      <c r="F33" s="4" t="str">
        <f ca="1">IFERROR(__xludf.DUMMYFUNCTION("LOWER(REGEXREPLACE(B33&amp;"" ""&amp;C33,""[^а-яa-z0-9 ]"","" ""))"),"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f>
        <v xml:space="preserve">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v>
      </c>
      <c r="G33" s="4" t="str">
        <f ca="1">IFERROR(__xludf.DUMMYFUNCTION("TEXTJOIN(""|"",TRUE,UNIQUE(FILTER(SPLIT(F33,"" ""),LEN(SPLIT(F33,"" ""))&gt;2)))"),"алаты|темные|для|уборки|алат|рабочий|вет|серый|екомендован|для|защиты|незначительных|загрязнений|бытовой|производственной|пыли|одробнее|https|largo|p75874235|halat|seryj|html")</f>
        <v>алаты|темные|для|уборки|алат|рабочий|вет|серый|екомендован|для|защиты|незначительных|загрязнений|бытовой|производственной|пыли|одробнее|https|largo|p75874235|halat|seryj|html</v>
      </c>
      <c r="I33" s="1"/>
      <c r="J33" s="1"/>
    </row>
    <row r="34" spans="1:10" x14ac:dyDescent="0.2">
      <c r="A34" s="7"/>
      <c r="B34" s="7" t="s">
        <v>3444</v>
      </c>
      <c r="C34" s="7" t="s">
        <v>3443</v>
      </c>
      <c r="D34" s="6">
        <v>41040</v>
      </c>
      <c r="E34" s="5">
        <v>5</v>
      </c>
      <c r="F34" s="4" t="str">
        <f ca="1">IFERROR(__xludf.DUMMYFUNCTION("LOWER(REGEXREPLACE(B34&amp;"" ""&amp;C34,""[^а-яa-z0-9 ]"","" ""))"),"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f>
        <v xml:space="preserve">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v>
      </c>
      <c r="G34" s="4" t="str">
        <f ca="1">IFERROR(__xludf.DUMMYFUNCTION("TEXTJOIN(""|"",TRUE,UNIQUE(FILTER(SPLIT(F34,"" ""),LEN(SPLIT(F34,"" ""))&gt;2)))"),"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f>
        <v>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v>
      </c>
      <c r="I34" s="1"/>
      <c r="J34" s="1"/>
    </row>
    <row r="35" spans="1:10" x14ac:dyDescent="0.2">
      <c r="A35" s="7"/>
      <c r="B35" s="7" t="s">
        <v>3442</v>
      </c>
      <c r="C35" s="7" t="s">
        <v>3441</v>
      </c>
      <c r="D35" s="6">
        <v>41040</v>
      </c>
      <c r="E35" s="5">
        <v>5</v>
      </c>
      <c r="F35" s="4" t="str">
        <f ca="1">IFERROR(__xludf.DUMMYFUNCTION("LOWER(REGEXREPLACE(B35&amp;"" ""&amp;C35,""[^а-яa-z0-9 ]"","" ""))"),"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f>
        <v xml:space="preserve">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v>
      </c>
      <c r="G35" s="4" t="str">
        <f ca="1">IFERROR(__xludf.DUMMYFUNCTION("TEXTJOIN(""|"",TRUE,UNIQUE(FILTER(SPLIT(F35,"" ""),LEN(SPLIT(F35,"" ""))&gt;2)))"),"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f>
        <v>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v>
      </c>
      <c r="I35" s="1"/>
      <c r="J35" s="1"/>
    </row>
    <row r="36" spans="1:10" x14ac:dyDescent="0.2">
      <c r="A36" s="7"/>
      <c r="B36" s="7" t="s">
        <v>3440</v>
      </c>
      <c r="C36" s="7" t="s">
        <v>3439</v>
      </c>
      <c r="D36" s="6">
        <v>132800</v>
      </c>
      <c r="E36" s="5">
        <v>2</v>
      </c>
      <c r="F36" s="4" t="str">
        <f ca="1">IFERROR(__xludf.DUMMYFUNCTION("LOWER(REGEXREPLACE(B36&amp;"" ""&amp;C36,""[^а-яa-z0-9 ]"","" ""))")," ирмы медицинские  металлический каркас   моющаяся ткань пластик  ирма 2 створчатая  ткань болонь  на колесах")</f>
        <v xml:space="preserve"> ирмы медицинские  металлический каркас   моющаяся ткань пластик  ирма 2 створчатая  ткань болонь  на колесах</v>
      </c>
      <c r="G36" s="4" t="str">
        <f ca="1">IFERROR(__xludf.DUMMYFUNCTION("TEXTJOIN(""|"",TRUE,UNIQUE(FILTER(SPLIT(F36,"" ""),LEN(SPLIT(F36,"" ""))&gt;2)))"),"ирмы|медицинские|металлический|каркас|моющаяся|ткань|пластик|ирма|створчатая|ткань|болонь|колесах")</f>
        <v>ирмы|медицинские|металлический|каркас|моющаяся|ткань|пластик|ирма|створчатая|ткань|болонь|колесах</v>
      </c>
      <c r="I36" s="1"/>
      <c r="J36" s="1"/>
    </row>
    <row r="37" spans="1:10" x14ac:dyDescent="0.2">
      <c r="A37" s="7"/>
      <c r="B37" s="7" t="s">
        <v>3438</v>
      </c>
      <c r="C37" s="7" t="s">
        <v>3437</v>
      </c>
      <c r="D37" s="6">
        <v>67</v>
      </c>
      <c r="E37" s="5">
        <v>100</v>
      </c>
      <c r="F37" s="4" t="str">
        <f ca="1">IFERROR(__xludf.DUMMYFUNCTION("LOWER(REGEXREPLACE(B37&amp;"" ""&amp;C37,""[^а-яa-z0-9 ]"","" ""))")," прицы одноразовые с иглами 10 0  терильные трехкомпонентные шприцы объемом 10 мл с иглой размером 21   0  8   40 мм  ")</f>
        <v xml:space="preserve"> прицы одноразовые с иглами 10 0  терильные трехкомпонентные шприцы объемом 10 мл с иглой размером 21   0  8   40 мм  </v>
      </c>
      <c r="G37" s="4" t="str">
        <f ca="1">IFERROR(__xludf.DUMMYFUNCTION("TEXTJOIN(""|"",TRUE,UNIQUE(FILTER(SPLIT(F37,"" ""),LEN(SPLIT(F37,"" ""))&gt;2)))"),"прицы|одноразовые|иглами|терильные|трехкомпонентные|шприцы|объемом|иглой|размером")</f>
        <v>прицы|одноразовые|иглами|терильные|трехкомпонентные|шприцы|объемом|иглой|размером</v>
      </c>
      <c r="I37" s="1"/>
      <c r="J37" s="1"/>
    </row>
    <row r="38" spans="1:10" x14ac:dyDescent="0.2">
      <c r="A38" s="7"/>
      <c r="B38" s="7" t="s">
        <v>3436</v>
      </c>
      <c r="C38" s="7" t="s">
        <v>3435</v>
      </c>
      <c r="D38" s="6">
        <v>40</v>
      </c>
      <c r="E38" s="5">
        <v>100</v>
      </c>
      <c r="F38" s="4" t="str">
        <f ca="1">IFERROR(__xludf.DUMMYFUNCTION("LOWER(REGEXREPLACE(B38&amp;"" ""&amp;C38,""[^а-яa-z0-9 ]"","" ""))")," прицы одноразовые с иглами 2 0  терильные трехкомпонентные шприцы объемом 2 мл с установленной иглой 23   0  6   30 мм  ")</f>
        <v xml:space="preserve"> прицы одноразовые с иглами 2 0  терильные трехкомпонентные шприцы объемом 2 мл с установленной иглой 23   0  6   30 мм  </v>
      </c>
      <c r="G38" s="4" t="str">
        <f ca="1">IFERROR(__xludf.DUMMYFUNCTION("TEXTJOIN(""|"",TRUE,UNIQUE(FILTER(SPLIT(F38,"" ""),LEN(SPLIT(F38,"" ""))&gt;2)))"),"прицы|одноразовые|иглами|терильные|трехкомпонентные|шприцы|объемом|установленной|иглой")</f>
        <v>прицы|одноразовые|иглами|терильные|трехкомпонентные|шприцы|объемом|установленной|иглой</v>
      </c>
      <c r="I38" s="1"/>
      <c r="J38" s="1"/>
    </row>
    <row r="39" spans="1:10" x14ac:dyDescent="0.2">
      <c r="A39" s="7"/>
      <c r="B39" s="7" t="s">
        <v>3434</v>
      </c>
      <c r="C39" s="7" t="s">
        <v>3433</v>
      </c>
      <c r="D39" s="6">
        <v>45</v>
      </c>
      <c r="E39" s="5">
        <v>100</v>
      </c>
      <c r="F39" s="4" t="str">
        <f ca="1">IFERROR(__xludf.DUMMYFUNCTION("LOWER(REGEXREPLACE(B39&amp;"" ""&amp;C39,""[^а-яa-z0-9 ]"","" ""))")," прицы одноразовые с иглами 5 0  дноразовые стерильные шприцы объ мом 5 мл с иглой 22   0 7 мм   30 мм ")</f>
        <v xml:space="preserve"> прицы одноразовые с иглами 5 0  дноразовые стерильные шприцы объ мом 5 мл с иглой 22   0 7 мм   30 мм </v>
      </c>
      <c r="G39" s="4" t="str">
        <f ca="1">IFERROR(__xludf.DUMMYFUNCTION("TEXTJOIN(""|"",TRUE,UNIQUE(FILTER(SPLIT(F39,"" ""),LEN(SPLIT(F39,"" ""))&gt;2)))"),"прицы|одноразовые|иглами|дноразовые|стерильные|шприцы|объ|мом|иглой")</f>
        <v>прицы|одноразовые|иглами|дноразовые|стерильные|шприцы|объ|мом|иглой</v>
      </c>
      <c r="I39" s="1"/>
      <c r="J39" s="1"/>
    </row>
    <row r="40" spans="1:10" x14ac:dyDescent="0.2">
      <c r="A40" s="8" t="s">
        <v>3422</v>
      </c>
      <c r="B40" s="7"/>
      <c r="C40" s="7" t="s">
        <v>3422</v>
      </c>
      <c r="D40" s="7"/>
      <c r="E40" s="5">
        <v>0</v>
      </c>
      <c r="F40" s="4" t="str">
        <f ca="1">IFERROR(__xludf.DUMMYFUNCTION("LOWER(REGEXREPLACE(B40&amp;"" ""&amp;C40,""[^а-яa-z0-9 ]"","" ""))")," ")</f>
        <v xml:space="preserve"> </v>
      </c>
      <c r="G40" s="4" t="str">
        <f ca="1">IFERROR(__xludf.DUMMYFUNCTION("TEXTJOIN(""|"",TRUE,UNIQUE(FILTER(SPLIT(F40,"" ""),LEN(SPLIT(F40,"" ""))&gt;2)))"),"#N/A")</f>
        <v>#N/A</v>
      </c>
      <c r="I40" s="1"/>
      <c r="J40" s="1"/>
    </row>
    <row r="41" spans="1:10" x14ac:dyDescent="0.2">
      <c r="A41" s="7"/>
      <c r="B41" s="7" t="s">
        <v>3432</v>
      </c>
      <c r="C41" s="7" t="s">
        <v>3422</v>
      </c>
      <c r="D41" s="7"/>
      <c r="E41" s="5">
        <v>0</v>
      </c>
      <c r="F41" s="4" t="str">
        <f ca="1">IFERROR(__xludf.DUMMYFUNCTION("LOWER(REGEXREPLACE(B41&amp;"" ""&amp;C41,""[^а-яa-z0-9 ]"","" ""))")," рупповая ")</f>
        <v xml:space="preserve"> рупповая </v>
      </c>
      <c r="G41" s="4" t="str">
        <f ca="1">IFERROR(__xludf.DUMMYFUNCTION("TEXTJOIN(""|"",TRUE,UNIQUE(FILTER(SPLIT(F41,"" ""),LEN(SPLIT(F41,"" ""))&gt;2)))"),"рупповая")</f>
        <v>рупповая</v>
      </c>
      <c r="I41" s="1"/>
      <c r="J41" s="1"/>
    </row>
    <row r="42" spans="1:10" x14ac:dyDescent="0.2">
      <c r="A42" s="7"/>
      <c r="B42" s="7" t="s">
        <v>3431</v>
      </c>
      <c r="C42" s="7" t="s">
        <v>3422</v>
      </c>
      <c r="D42" s="7"/>
      <c r="E42" s="5">
        <v>0</v>
      </c>
      <c r="F42" s="4" t="str">
        <f ca="1">IFERROR(__xludf.DUMMYFUNCTION("LOWER(REGEXREPLACE(B42&amp;"" ""&amp;C42,""[^а-яa-z0-9 ]"","" ""))")," ополнительные товары ")</f>
        <v xml:space="preserve"> ополнительные товары </v>
      </c>
      <c r="G42" s="4" t="str">
        <f ca="1">IFERROR(__xludf.DUMMYFUNCTION("TEXTJOIN(""|"",TRUE,UNIQUE(FILTER(SPLIT(F42,"" ""),LEN(SPLIT(F42,"" ""))&gt;2)))"),"ополнительные|товары")</f>
        <v>ополнительные|товары</v>
      </c>
      <c r="I42" s="1"/>
      <c r="J42" s="1"/>
    </row>
    <row r="43" spans="1:10" x14ac:dyDescent="0.2">
      <c r="A43" s="7"/>
      <c r="B43" s="7" t="s">
        <v>3430</v>
      </c>
      <c r="C43" s="7" t="s">
        <v>3422</v>
      </c>
      <c r="D43" s="7"/>
      <c r="E43" s="5">
        <v>0</v>
      </c>
      <c r="F43" s="4" t="str">
        <f ca="1">IFERROR(__xludf.DUMMYFUNCTION("LOWER(REGEXREPLACE(B43&amp;"" ""&amp;C43,""[^а-яa-z0-9 ]"","" ""))")," ладовая овощей ")</f>
        <v xml:space="preserve"> ладовая овощей </v>
      </c>
      <c r="G43" s="4" t="str">
        <f ca="1">IFERROR(__xludf.DUMMYFUNCTION("TEXTJOIN(""|"",TRUE,UNIQUE(FILTER(SPLIT(F43,"" ""),LEN(SPLIT(F43,"" ""))&gt;2)))"),"ладовая|овощей")</f>
        <v>ладовая|овощей</v>
      </c>
      <c r="I43" s="1"/>
      <c r="J43" s="1"/>
    </row>
    <row r="44" spans="1:10" x14ac:dyDescent="0.2">
      <c r="A44" s="7"/>
      <c r="B44" s="7" t="s">
        <v>3429</v>
      </c>
      <c r="C44" s="7" t="s">
        <v>3422</v>
      </c>
      <c r="D44" s="7"/>
      <c r="E44" s="5">
        <v>0</v>
      </c>
      <c r="F44" s="4" t="str">
        <f ca="1">IFERROR(__xludf.DUMMYFUNCTION("LOWER(REGEXREPLACE(B44&amp;"" ""&amp;C44,""[^а-яa-z0-9 ]"","" ""))")," омпьютерная техника и устройства ")</f>
        <v xml:space="preserve"> омпьютерная техника и устройства </v>
      </c>
      <c r="G44" s="4" t="str">
        <f ca="1">IFERROR(__xludf.DUMMYFUNCTION("TEXTJOIN(""|"",TRUE,UNIQUE(FILTER(SPLIT(F44,"" ""),LEN(SPLIT(F44,"" ""))&gt;2)))"),"омпьютерная|техника|устройства")</f>
        <v>омпьютерная|техника|устройства</v>
      </c>
      <c r="I44" s="1"/>
      <c r="J44" s="1"/>
    </row>
    <row r="45" spans="1:10" x14ac:dyDescent="0.2">
      <c r="A45" s="7"/>
      <c r="B45" s="7" t="s">
        <v>3428</v>
      </c>
      <c r="C45" s="7" t="s">
        <v>3422</v>
      </c>
      <c r="D45" s="7"/>
      <c r="E45" s="5">
        <v>0</v>
      </c>
      <c r="F45" s="4" t="str">
        <f ca="1">IFERROR(__xludf.DUMMYFUNCTION("LOWER(REGEXREPLACE(B45&amp;"" ""&amp;C45,""[^а-яa-z0-9 ]"","" ""))")," атериалы для гончарки ")</f>
        <v xml:space="preserve"> атериалы для гончарки </v>
      </c>
      <c r="G45" s="4" t="str">
        <f ca="1">IFERROR(__xludf.DUMMYFUNCTION("TEXTJOIN(""|"",TRUE,UNIQUE(FILTER(SPLIT(F45,"" ""),LEN(SPLIT(F45,"" ""))&gt;2)))"),"атериалы|для|гончарки")</f>
        <v>атериалы|для|гончарки</v>
      </c>
      <c r="I45" s="1"/>
      <c r="J45" s="1"/>
    </row>
    <row r="46" spans="1:10" x14ac:dyDescent="0.2">
      <c r="A46" s="7"/>
      <c r="B46" s="7" t="s">
        <v>3427</v>
      </c>
      <c r="C46" s="7" t="s">
        <v>3422</v>
      </c>
      <c r="D46" s="7"/>
      <c r="E46" s="5">
        <v>0</v>
      </c>
      <c r="F46" s="4" t="str">
        <f ca="1">IFERROR(__xludf.DUMMYFUNCTION("LOWER(REGEXREPLACE(B46&amp;"" ""&amp;C46,""[^а-яa-z0-9 ]"","" ""))")," ебель ")</f>
        <v xml:space="preserve"> ебель </v>
      </c>
      <c r="G46" s="4" t="str">
        <f ca="1">IFERROR(__xludf.DUMMYFUNCTION("TEXTJOIN(""|"",TRUE,UNIQUE(FILTER(SPLIT(F46,"" ""),LEN(SPLIT(F46,"" ""))&gt;2)))"),"ебель")</f>
        <v>ебель</v>
      </c>
      <c r="I46" s="1"/>
      <c r="J46" s="1"/>
    </row>
    <row r="47" spans="1:10" x14ac:dyDescent="0.2">
      <c r="A47" s="7"/>
      <c r="B47" s="7" t="s">
        <v>3426</v>
      </c>
      <c r="C47" s="7" t="s">
        <v>3422</v>
      </c>
      <c r="D47" s="7"/>
      <c r="E47" s="5">
        <v>0</v>
      </c>
      <c r="F47" s="4" t="str">
        <f ca="1">IFERROR(__xludf.DUMMYFUNCTION("LOWER(REGEXREPLACE(B47&amp;"" ""&amp;C47,""[^а-яa-z0-9 ]"","" ""))")," ебель для гончарки ")</f>
        <v xml:space="preserve"> ебель для гончарки </v>
      </c>
      <c r="G47" s="4" t="str">
        <f ca="1">IFERROR(__xludf.DUMMYFUNCTION("TEXTJOIN(""|"",TRUE,UNIQUE(FILTER(SPLIT(F47,"" ""),LEN(SPLIT(F47,"" ""))&gt;2)))"),"ебель|для|гончарки")</f>
        <v>ебель|для|гончарки</v>
      </c>
      <c r="I47" s="1"/>
      <c r="J47" s="1"/>
    </row>
    <row r="48" spans="1:10" x14ac:dyDescent="0.2">
      <c r="A48" s="7"/>
      <c r="B48" s="7" t="s">
        <v>3425</v>
      </c>
      <c r="C48" s="7" t="s">
        <v>3422</v>
      </c>
      <c r="D48" s="7"/>
      <c r="E48" s="5">
        <v>0</v>
      </c>
      <c r="F48" s="4" t="str">
        <f ca="1">IFERROR(__xludf.DUMMYFUNCTION("LOWER(REGEXREPLACE(B48&amp;"" ""&amp;C48,""[^а-яa-z0-9 ]"","" ""))")," ебель для     и  телье ")</f>
        <v xml:space="preserve"> ебель для     и  телье </v>
      </c>
      <c r="G48" s="4" t="str">
        <f ca="1">IFERROR(__xludf.DUMMYFUNCTION("TEXTJOIN(""|"",TRUE,UNIQUE(FILTER(SPLIT(F48,"" ""),LEN(SPLIT(F48,"" ""))&gt;2)))"),"ебель|для|телье")</f>
        <v>ебель|для|телье</v>
      </c>
      <c r="I48" s="1"/>
      <c r="J48" s="1"/>
    </row>
    <row r="49" spans="1:10" x14ac:dyDescent="0.2">
      <c r="A49" s="7"/>
      <c r="B49" s="7" t="s">
        <v>3424</v>
      </c>
      <c r="C49" s="7" t="s">
        <v>3422</v>
      </c>
      <c r="D49" s="7"/>
      <c r="E49" s="5">
        <v>0</v>
      </c>
      <c r="F49" s="4" t="str">
        <f ca="1">IFERROR(__xludf.DUMMYFUNCTION("LOWER(REGEXREPLACE(B49&amp;"" ""&amp;C49,""[^а-яa-z0-9 ]"","" ""))")," борудование для гончарки ")</f>
        <v xml:space="preserve"> борудование для гончарки </v>
      </c>
      <c r="G49" s="4" t="str">
        <f ca="1">IFERROR(__xludf.DUMMYFUNCTION("TEXTJOIN(""|"",TRUE,UNIQUE(FILTER(SPLIT(F49,"" ""),LEN(SPLIT(F49,"" ""))&gt;2)))"),"борудование|для|гончарки")</f>
        <v>борудование|для|гончарки</v>
      </c>
      <c r="I49" s="1"/>
      <c r="J49" s="1"/>
    </row>
    <row r="50" spans="1:10" x14ac:dyDescent="0.2">
      <c r="A50" s="7"/>
      <c r="B50" s="7" t="s">
        <v>3423</v>
      </c>
      <c r="C50" s="7" t="s">
        <v>3422</v>
      </c>
      <c r="D50" s="7"/>
      <c r="E50" s="12">
        <v>0</v>
      </c>
      <c r="F50" s="4" t="str">
        <f ca="1">IFERROR(__xludf.DUMMYFUNCTION("LOWER(REGEXREPLACE(B50&amp;"" ""&amp;C50,""[^а-яa-z0-9 ]"","" ""))")," омещение камеры охлаждения ")</f>
        <v xml:space="preserve"> омещение камеры охлаждения </v>
      </c>
      <c r="G50" s="4" t="str">
        <f ca="1">IFERROR(__xludf.DUMMYFUNCTION("TEXTJOIN(""|"",TRUE,UNIQUE(FILTER(SPLIT(F50,"" ""),LEN(SPLIT(F50,"" ""))&gt;2)))"),"омещение|камеры|охлаждения")</f>
        <v>омещение|камеры|охлаждения</v>
      </c>
      <c r="I50" s="1"/>
      <c r="J50" s="1"/>
    </row>
    <row r="51" spans="1:10" x14ac:dyDescent="0.2">
      <c r="A51" s="8" t="s">
        <v>3421</v>
      </c>
      <c r="B51" s="7" t="s">
        <v>487</v>
      </c>
      <c r="C51" s="7" t="s">
        <v>3420</v>
      </c>
      <c r="D51" s="11">
        <v>55386.789120000009</v>
      </c>
      <c r="E51" s="5">
        <v>59</v>
      </c>
      <c r="F51" s="4" t="str">
        <f ca="1">IFERROR(__xludf.DUMMYFUNCTION("LOWER(REGEXREPLACE(B51&amp;"" ""&amp;C51,""[^а-яa-z0-9 ]"","" ""))")," олл шторы  олл шторы белые однотонные   х х в м2               2410х1810х4360 мм")</f>
        <v xml:space="preserve"> олл шторы  олл шторы белые однотонные   х х в м2               2410х1810х4360 мм</v>
      </c>
      <c r="G51" s="4" t="str">
        <f ca="1">IFERROR(__xludf.DUMMYFUNCTION("TEXTJOIN(""|"",TRUE,UNIQUE(FILTER(SPLIT(F51,"" ""),LEN(SPLIT(F51,"" ""))&gt;2)))"),"олл|шторы|олл|шторы|белые|однотонные|2410х1810х4360")</f>
        <v>олл|шторы|олл|шторы|белые|однотонные|2410х1810х4360</v>
      </c>
      <c r="I51" s="1"/>
      <c r="J51" s="1"/>
    </row>
    <row r="52" spans="1:10" x14ac:dyDescent="0.2">
      <c r="A52" s="8" t="s">
        <v>3419</v>
      </c>
      <c r="B52" s="7" t="s">
        <v>487</v>
      </c>
      <c r="C52" s="7" t="s">
        <v>3418</v>
      </c>
      <c r="D52" s="11">
        <v>41667.125759999995</v>
      </c>
      <c r="E52" s="5">
        <v>49</v>
      </c>
      <c r="F52" s="4" t="str">
        <f ca="1">IFERROR(__xludf.DUMMYFUNCTION("LOWER(REGEXREPLACE(B52&amp;"" ""&amp;C52,""[^а-яa-z0-9 ]"","" ""))")," олл шторы  олл шторы белые однотонные   х х в м2               1810х1810х3280 мм")</f>
        <v xml:space="preserve"> олл шторы  олл шторы белые однотонные   х х в м2               1810х1810х3280 мм</v>
      </c>
      <c r="G52" s="4" t="str">
        <f ca="1">IFERROR(__xludf.DUMMYFUNCTION("TEXTJOIN(""|"",TRUE,UNIQUE(FILTER(SPLIT(F52,"" ""),LEN(SPLIT(F52,"" ""))&gt;2)))"),"олл|шторы|олл|шторы|белые|однотонные|1810х1810х3280")</f>
        <v>олл|шторы|олл|шторы|белые|однотонные|1810х1810х3280</v>
      </c>
      <c r="I52" s="1"/>
      <c r="J52" s="1"/>
    </row>
    <row r="53" spans="1:10" x14ac:dyDescent="0.2">
      <c r="A53" s="8" t="s">
        <v>3417</v>
      </c>
      <c r="B53" s="7" t="s">
        <v>487</v>
      </c>
      <c r="C53" s="7" t="s">
        <v>3416</v>
      </c>
      <c r="D53" s="11">
        <v>27820.428479999999</v>
      </c>
      <c r="E53" s="5">
        <v>3</v>
      </c>
      <c r="F53" s="4" t="str">
        <f ca="1">IFERROR(__xludf.DUMMYFUNCTION("LOWER(REGEXREPLACE(B53&amp;"" ""&amp;C53,""[^а-яa-z0-9 ]"","" ""))")," олл шторы  олл шторы белые однотонные   х х в м2               1210х1810х2190 мм")</f>
        <v xml:space="preserve"> олл шторы  олл шторы белые однотонные   х х в м2               1210х1810х2190 мм</v>
      </c>
      <c r="G53" s="4" t="str">
        <f ca="1">IFERROR(__xludf.DUMMYFUNCTION("TEXTJOIN(""|"",TRUE,UNIQUE(FILTER(SPLIT(F53,"" ""),LEN(SPLIT(F53,"" ""))&gt;2)))"),"олл|шторы|олл|шторы|белые|однотонные|1210х1810х2190")</f>
        <v>олл|шторы|олл|шторы|белые|однотонные|1210х1810х2190</v>
      </c>
      <c r="I53" s="1"/>
      <c r="J53" s="1"/>
    </row>
    <row r="54" spans="1:10" x14ac:dyDescent="0.2">
      <c r="A54" s="8" t="s">
        <v>3415</v>
      </c>
      <c r="B54" s="7" t="s">
        <v>487</v>
      </c>
      <c r="C54" s="7" t="s">
        <v>3414</v>
      </c>
      <c r="D54" s="11">
        <v>41158.990079999996</v>
      </c>
      <c r="E54" s="5">
        <v>2</v>
      </c>
      <c r="F54" s="4" t="str">
        <f ca="1">IFERROR(__xludf.DUMMYFUNCTION("LOWER(REGEXREPLACE(B54&amp;"" ""&amp;C54,""[^а-яa-z0-9 ]"","" ""))")," олл шторы  олл шторы белые однотонные   х х в м2               2000х1200х3240 мм")</f>
        <v xml:space="preserve"> олл шторы  олл шторы белые однотонные   х х в м2               2000х1200х3240 мм</v>
      </c>
      <c r="G54" s="4" t="str">
        <f ca="1">IFERROR(__xludf.DUMMYFUNCTION("TEXTJOIN(""|"",TRUE,UNIQUE(FILTER(SPLIT(F54,"" ""),LEN(SPLIT(F54,"" ""))&gt;2)))"),"олл|шторы|олл|шторы|белые|однотонные|2000х1200х3240")</f>
        <v>олл|шторы|олл|шторы|белые|однотонные|2000х1200х3240</v>
      </c>
      <c r="I54" s="1"/>
      <c r="J54" s="1"/>
    </row>
    <row r="55" spans="1:10" x14ac:dyDescent="0.2">
      <c r="A55" s="8" t="s">
        <v>3413</v>
      </c>
      <c r="B55" s="7" t="s">
        <v>487</v>
      </c>
      <c r="C55" s="7" t="s">
        <v>3412</v>
      </c>
      <c r="D55" s="11">
        <v>100991.9664</v>
      </c>
      <c r="E55" s="5">
        <v>6</v>
      </c>
      <c r="F55" s="4" t="str">
        <f ca="1">IFERROR(__xludf.DUMMYFUNCTION("LOWER(REGEXREPLACE(B55&amp;"" ""&amp;C55,""[^а-яa-z0-9 ]"","" ""))")," олл шторы  олл шторы белые однотонные   х х в м2               2410х3300х7950 мм")</f>
        <v xml:space="preserve"> олл шторы  олл шторы белые однотонные   х х в м2               2410х3300х7950 мм</v>
      </c>
      <c r="G55" s="4" t="str">
        <f ca="1">IFERROR(__xludf.DUMMYFUNCTION("TEXTJOIN(""|"",TRUE,UNIQUE(FILTER(SPLIT(F55,"" ""),LEN(SPLIT(F55,"" ""))&gt;2)))"),"олл|шторы|олл|шторы|белые|однотонные|2410х3300х7950")</f>
        <v>олл|шторы|олл|шторы|белые|однотонные|2410х3300х7950</v>
      </c>
      <c r="I55" s="1"/>
      <c r="J55" s="1"/>
    </row>
    <row r="56" spans="1:10" x14ac:dyDescent="0.2">
      <c r="A56" s="8" t="s">
        <v>3411</v>
      </c>
      <c r="B56" s="7" t="s">
        <v>487</v>
      </c>
      <c r="C56" s="7" t="s">
        <v>3410</v>
      </c>
      <c r="D56" s="11">
        <v>19055.088</v>
      </c>
      <c r="E56" s="5">
        <v>4</v>
      </c>
      <c r="F56" s="4" t="str">
        <f ca="1">IFERROR(__xludf.DUMMYFUNCTION("LOWER(REGEXREPLACE(B56&amp;"" ""&amp;C56,""[^а-яa-z0-9 ]"","" ""))")," олл шторы  олл шторы белые однотонные   х х в м2               910х1650х1500 мм")</f>
        <v xml:space="preserve"> олл шторы  олл шторы белые однотонные   х х в м2               910х1650х1500 мм</v>
      </c>
      <c r="G56" s="4" t="str">
        <f ca="1">IFERROR(__xludf.DUMMYFUNCTION("TEXTJOIN(""|"",TRUE,UNIQUE(FILTER(SPLIT(F56,"" ""),LEN(SPLIT(F56,"" ""))&gt;2)))"),"олл|шторы|олл|шторы|белые|однотонные|910х1650х1500")</f>
        <v>олл|шторы|олл|шторы|белые|однотонные|910х1650х1500</v>
      </c>
      <c r="I56" s="1"/>
      <c r="J56" s="1"/>
    </row>
    <row r="57" spans="1:10" x14ac:dyDescent="0.2">
      <c r="A57" s="8" t="s">
        <v>3409</v>
      </c>
      <c r="B57" s="7" t="s">
        <v>487</v>
      </c>
      <c r="C57" s="7" t="s">
        <v>3408</v>
      </c>
      <c r="D57" s="11">
        <v>27439.326720000005</v>
      </c>
      <c r="E57" s="5">
        <v>6</v>
      </c>
      <c r="F57" s="4" t="str">
        <f ca="1">IFERROR(__xludf.DUMMYFUNCTION("LOWER(REGEXREPLACE(B57&amp;"" ""&amp;C57,""[^а-яa-z0-9 ]"","" ""))")," олл шторы  олл шторы белые однотонные   х х в м2               1310х1650х2160 мм")</f>
        <v xml:space="preserve"> олл шторы  олл шторы белые однотонные   х х в м2               1310х1650х2160 мм</v>
      </c>
      <c r="G57" s="4" t="str">
        <f ca="1">IFERROR(__xludf.DUMMYFUNCTION("TEXTJOIN(""|"",TRUE,UNIQUE(FILTER(SPLIT(F57,"" ""),LEN(SPLIT(F57,"" ""))&gt;2)))"),"олл|шторы|олл|шторы|белые|однотонные|1310х1650х2160")</f>
        <v>олл|шторы|олл|шторы|белые|однотонные|1310х1650х2160</v>
      </c>
      <c r="I57" s="1"/>
      <c r="J57" s="1"/>
    </row>
    <row r="58" spans="1:10" x14ac:dyDescent="0.2">
      <c r="A58" s="8" t="s">
        <v>3407</v>
      </c>
      <c r="B58" s="7" t="s">
        <v>3406</v>
      </c>
      <c r="C58" s="7" t="s">
        <v>2414</v>
      </c>
      <c r="D58" s="6">
        <v>1400</v>
      </c>
      <c r="E58" s="5">
        <v>1</v>
      </c>
      <c r="F58" s="4" t="str">
        <f ca="1">IFERROR(__xludf.DUMMYFUNCTION("LOWER(REGEXREPLACE(B58&amp;"" ""&amp;C58,""[^а-яa-z0-9 ]"","" ""))"),"   ылды  бояма    аз    мная  раскраска   аскрась по коду   ето  енаги   ")</f>
        <v xml:space="preserve">   ылды  бояма    аз    мная  раскраска   аскрась по коду   ето  енаги   </v>
      </c>
      <c r="G58" s="4" t="str">
        <f ca="1">IFERROR(__xludf.DUMMYFUNCTION("TEXTJOIN(""|"",TRUE,UNIQUE(FILTER(SPLIT(F58,"" ""),LEN(SPLIT(F58,"" ""))&gt;2)))"),"ылды|бояма|мная|раскраска|аскрась|коду|ето|енаги")</f>
        <v>ылды|бояма|мная|раскраска|аскрась|коду|ето|енаги</v>
      </c>
      <c r="I58" s="1"/>
      <c r="J58" s="1"/>
    </row>
    <row r="59" spans="1:10" x14ac:dyDescent="0.2">
      <c r="A59" s="8" t="s">
        <v>3405</v>
      </c>
      <c r="B59" s="7" t="s">
        <v>3404</v>
      </c>
      <c r="C59" s="7" t="s">
        <v>3403</v>
      </c>
      <c r="D59" s="6">
        <v>16000</v>
      </c>
      <c r="E59" s="5">
        <v>50</v>
      </c>
      <c r="F59" s="4" t="str">
        <f ca="1">IFERROR(__xludf.DUMMYFUNCTION("LOWER(REGEXREPLACE(B59&amp;"" ""&amp;C59,""[^а-яa-z0-9 ]"","" ""))"),"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v>
      </c>
      <c r="G59" s="4" t="str">
        <f ca="1">IFERROR(__xludf.DUMMYFUNCTION("TEXTJOIN(""|"",TRUE,UNIQUE(FILTER(SPLIT(F59,"" ""),LEN(SPLIT(F59,"" ""))&gt;2)))"),"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f>
        <v>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v>
      </c>
      <c r="I59" s="1"/>
      <c r="J59" s="1"/>
    </row>
    <row r="60" spans="1:10" x14ac:dyDescent="0.2">
      <c r="A60" s="8" t="s">
        <v>3402</v>
      </c>
      <c r="B60" s="7" t="s">
        <v>3401</v>
      </c>
      <c r="C60" s="7" t="s">
        <v>3400</v>
      </c>
      <c r="D60" s="6">
        <v>6700</v>
      </c>
      <c r="E60" s="5">
        <v>5</v>
      </c>
      <c r="F60" s="4" t="str">
        <f ca="1">IFERROR(__xludf.DUMMYFUNCTION("LOWER(REGEXREPLACE(B60&amp;"" ""&amp;C60,""[^а-яa-z0-9 ]"","" ""))"),"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демонстрацион"&amp;"ных картинок и 16 раздаточных карточек ")</f>
        <v xml:space="preserve">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v>
      </c>
      <c r="G60" s="4" t="str">
        <f ca="1">IFERROR(__xludf.DUMMYFUNCTION("TEXTJOIN(""|"",TRUE,UNIQUE(FILTER(SPLIT(F60,"" ""),LEN(SPLIT(F60,"" ""))&gt;2)))"),"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amp;"очных|карточек")</f>
        <v>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v>
      </c>
      <c r="I60" s="1"/>
      <c r="J60" s="1"/>
    </row>
    <row r="61" spans="1:10" x14ac:dyDescent="0.2">
      <c r="A61" s="8" t="s">
        <v>3399</v>
      </c>
      <c r="B61" s="7" t="s">
        <v>3398</v>
      </c>
      <c r="C61" s="7" t="s">
        <v>3398</v>
      </c>
      <c r="D61" s="6">
        <v>229300</v>
      </c>
      <c r="E61" s="5">
        <v>5</v>
      </c>
      <c r="F61" s="4" t="str">
        <f ca="1">IFERROR(__xludf.DUMMYFUNCTION("LOWER(REGEXREPLACE(B61&amp;"" ""&amp;C61,""[^а-яa-z0-9 ]"","" ""))")," акет расходных материалов для инструментов  akerspace  акет расходных материалов для инструментов  akerspace")</f>
        <v xml:space="preserve"> акет расходных материалов для инструментов  akerspace  акет расходных материалов для инструментов  akerspace</v>
      </c>
      <c r="G61" s="4" t="str">
        <f ca="1">IFERROR(__xludf.DUMMYFUNCTION("TEXTJOIN(""|"",TRUE,UNIQUE(FILTER(SPLIT(F61,"" ""),LEN(SPLIT(F61,"" ""))&gt;2)))"),"акет|расходных|материалов|для|инструментов|akerspace|акет|расходных|материалов|для|инструментов|akerspace")</f>
        <v>акет|расходных|материалов|для|инструментов|akerspace|акет|расходных|материалов|для|инструментов|akerspace</v>
      </c>
      <c r="I61" s="1"/>
      <c r="J61" s="1"/>
    </row>
    <row r="62" spans="1:10" x14ac:dyDescent="0.2">
      <c r="A62" s="8" t="s">
        <v>3397</v>
      </c>
      <c r="B62" s="7" t="s">
        <v>3396</v>
      </c>
      <c r="C62" s="7" t="s">
        <v>3395</v>
      </c>
      <c r="D62" s="6">
        <v>567000</v>
      </c>
      <c r="E62" s="5">
        <v>0</v>
      </c>
      <c r="F62" s="4" t="str">
        <f ca="1">IFERROR(__xludf.DUMMYFUNCTION("LOWER(REGEXREPLACE(B62&amp;"" ""&amp;C62,""[^а-яa-z0-9 ]"","" ""))"),"3  принтер  1  ombo 3  принтер ")</f>
        <v xml:space="preserve">3  принтер  1  ombo 3  принтер </v>
      </c>
      <c r="G62" s="4" t="str">
        <f ca="1">IFERROR(__xludf.DUMMYFUNCTION("TEXTJOIN(""|"",TRUE,UNIQUE(FILTER(SPLIT(F62,"" ""),LEN(SPLIT(F62,"" ""))&gt;2)))"),"принтер|ombo|принтер")</f>
        <v>принтер|ombo|принтер</v>
      </c>
      <c r="I62" s="1"/>
      <c r="J62" s="1"/>
    </row>
    <row r="63" spans="1:10" x14ac:dyDescent="0.2">
      <c r="A63" s="8" t="s">
        <v>3394</v>
      </c>
      <c r="B63" s="8" t="s">
        <v>3393</v>
      </c>
      <c r="C63" s="7" t="s">
        <v>3392</v>
      </c>
      <c r="D63" s="6">
        <v>1429200</v>
      </c>
      <c r="E63" s="5">
        <v>3</v>
      </c>
      <c r="F63" s="4" t="str">
        <f ca="1">IFERROR(__xludf.DUMMYFUNCTION("LOWER(REGEXREPLACE(B63&amp;"" ""&amp;C63,""[^а-яa-z0-9 ]"","" ""))")," ерстак для сборки   сновная рабочая зона для конструирования моделей и работы с инструментами ")</f>
        <v xml:space="preserve"> ерстак для сборки   сновная рабочая зона для конструирования моделей и работы с инструментами </v>
      </c>
      <c r="G63" s="4" t="str">
        <f ca="1">IFERROR(__xludf.DUMMYFUNCTION("TEXTJOIN(""|"",TRUE,UNIQUE(FILTER(SPLIT(F63,"" ""),LEN(SPLIT(F63,"" ""))&gt;2)))"),"ерстак|для|сборки|сновная|рабочая|зона|для|конструирования|моделей|работы|инструментами")</f>
        <v>ерстак|для|сборки|сновная|рабочая|зона|для|конструирования|моделей|работы|инструментами</v>
      </c>
      <c r="I63" s="1"/>
      <c r="J63" s="1"/>
    </row>
    <row r="64" spans="1:10" x14ac:dyDescent="0.2">
      <c r="A64" s="8" t="s">
        <v>3391</v>
      </c>
      <c r="B64" s="8" t="s">
        <v>3390</v>
      </c>
      <c r="C64" s="7" t="s">
        <v>3389</v>
      </c>
      <c r="D64" s="6">
        <v>163000</v>
      </c>
      <c r="E64" s="5">
        <v>15</v>
      </c>
      <c r="F64" s="4" t="str">
        <f ca="1">IFERROR(__xludf.DUMMYFUNCTION("LOWER(REGEXREPLACE(B64&amp;"" ""&amp;C64,""[^а-яa-z0-9 ]"","" ""))")," тулья   ысота сиденья  25   26 см  ирина сиденья  29 см  лубина сиденья  27 см  ысота спинки  общая   52 см")</f>
        <v xml:space="preserve"> тулья   ысота сиденья  25   26 см  ирина сиденья  29 см  лубина сиденья  27 см  ысота спинки  общая   52 см</v>
      </c>
      <c r="G64" s="4" t="str">
        <f ca="1">IFERROR(__xludf.DUMMYFUNCTION("TEXTJOIN(""|"",TRUE,UNIQUE(FILTER(SPLIT(F64,"" ""),LEN(SPLIT(F64,"" ""))&gt;2)))"),"тулья|ысота|сиденья|ирина|сиденья|лубина|сиденья|ысота|спинки|общая")</f>
        <v>тулья|ысота|сиденья|ирина|сиденья|лубина|сиденья|ысота|спинки|общая</v>
      </c>
      <c r="I64" s="1"/>
      <c r="J64" s="1"/>
    </row>
    <row r="65" spans="1:10" x14ac:dyDescent="0.2">
      <c r="A65" s="8" t="s">
        <v>3388</v>
      </c>
      <c r="B65" s="8" t="s">
        <v>3387</v>
      </c>
      <c r="C65" s="7" t="s">
        <v>3386</v>
      </c>
      <c r="D65" s="6">
        <v>722400</v>
      </c>
      <c r="E65" s="5">
        <v>3</v>
      </c>
      <c r="F65" s="4" t="str">
        <f ca="1">IFERROR(__xludf.DUMMYFUNCTION("LOWER(REGEXREPLACE(B65&amp;"" ""&amp;C65,""[^а-яa-z0-9 ]"","" ""))")," истема хранения   теллаж для организации лотков с деталями роботов и микросхемами ")</f>
        <v xml:space="preserve"> истема хранения   теллаж для организации лотков с деталями роботов и микросхемами </v>
      </c>
      <c r="G65" s="4" t="str">
        <f ca="1">IFERROR(__xludf.DUMMYFUNCTION("TEXTJOIN(""|"",TRUE,UNIQUE(FILTER(SPLIT(F65,"" ""),LEN(SPLIT(F65,"" ""))&gt;2)))"),"истема|хранения|теллаж|для|организации|лотков|деталями|роботов|микросхемами")</f>
        <v>истема|хранения|теллаж|для|организации|лотков|деталями|роботов|микросхемами</v>
      </c>
      <c r="I65" s="1"/>
      <c r="J65" s="1"/>
    </row>
    <row r="66" spans="1:10" x14ac:dyDescent="0.2">
      <c r="A66" s="8" t="s">
        <v>3385</v>
      </c>
      <c r="B66" s="8" t="s">
        <v>3384</v>
      </c>
      <c r="C66" s="7" t="s">
        <v>3383</v>
      </c>
      <c r="D66" s="6">
        <v>166600</v>
      </c>
      <c r="E66" s="5">
        <v>3</v>
      </c>
      <c r="F66" s="4" t="str">
        <f ca="1">IFERROR(__xludf.DUMMYFUNCTION("LOWER(REGEXREPLACE(B66&amp;"" ""&amp;C66,""[^а-яa-z0-9 ]"","" ""))")," лубокие лотки   онтейнеры для сортировки конструкторов по типам деталей ")</f>
        <v xml:space="preserve"> лубокие лотки   онтейнеры для сортировки конструкторов по типам деталей </v>
      </c>
      <c r="G66" s="4" t="str">
        <f ca="1">IFERROR(__xludf.DUMMYFUNCTION("TEXTJOIN(""|"",TRUE,UNIQUE(FILTER(SPLIT(F66,"" ""),LEN(SPLIT(F66,"" ""))&gt;2)))"),"лубокие|лотки|онтейнеры|для|сортировки|конструкторов|типам|деталей")</f>
        <v>лубокие|лотки|онтейнеры|для|сортировки|конструкторов|типам|деталей</v>
      </c>
      <c r="I66" s="1"/>
      <c r="J66" s="1"/>
    </row>
    <row r="67" spans="1:10" x14ac:dyDescent="0.2">
      <c r="A67" s="8" t="s">
        <v>3382</v>
      </c>
      <c r="B67" s="8" t="s">
        <v>3381</v>
      </c>
      <c r="C67" s="7" t="s">
        <v>3380</v>
      </c>
      <c r="D67" s="6">
        <v>1826200</v>
      </c>
      <c r="E67" s="5">
        <v>1</v>
      </c>
      <c r="F67" s="4" t="str">
        <f ca="1">IFERROR(__xludf.DUMMYFUNCTION("LOWER(REGEXREPLACE(B67&amp;"" ""&amp;C67,""[^а-яa-z0-9 ]"","" ""))")," астенная механика  нтерактивный стенд для изучения передач  вращения и крутящего момента")</f>
        <v xml:space="preserve"> астенная механика  нтерактивный стенд для изучения передач  вращения и крутящего момента</v>
      </c>
      <c r="G67" s="4" t="str">
        <f ca="1">IFERROR(__xludf.DUMMYFUNCTION("TEXTJOIN(""|"",TRUE,UNIQUE(FILTER(SPLIT(F67,"" ""),LEN(SPLIT(F67,"" ""))&gt;2)))"),"астенная|механика|нтерактивный|стенд|для|изучения|передач|вращения|крутящего|момента")</f>
        <v>астенная|механика|нтерактивный|стенд|для|изучения|передач|вращения|крутящего|момента</v>
      </c>
      <c r="I67" s="1"/>
      <c r="J67" s="1"/>
    </row>
    <row r="68" spans="1:10" x14ac:dyDescent="0.2">
      <c r="A68" s="8" t="s">
        <v>3379</v>
      </c>
      <c r="B68" s="8" t="s">
        <v>3378</v>
      </c>
      <c r="C68" s="7" t="s">
        <v>3377</v>
      </c>
      <c r="D68" s="6">
        <v>338900</v>
      </c>
      <c r="E68" s="5">
        <v>4</v>
      </c>
      <c r="F68" s="4" t="str">
        <f ca="1">IFERROR(__xludf.DUMMYFUNCTION("LOWER(REGEXREPLACE(B68&amp;"" ""&amp;C68,""[^а-яa-z0-9 ]"","" ""))")," сновы алгоритмики   гра для развития логического мышления  база перед программированием ")</f>
        <v xml:space="preserve"> сновы алгоритмики   гра для развития логического мышления  база перед программированием </v>
      </c>
      <c r="G68" s="4" t="str">
        <f ca="1">IFERROR(__xludf.DUMMYFUNCTION("TEXTJOIN(""|"",TRUE,UNIQUE(FILTER(SPLIT(F68,"" ""),LEN(SPLIT(F68,"" ""))&gt;2)))"),"сновы|алгоритмики|гра|для|развития|логического|мышления|база|перед|программированием")</f>
        <v>сновы|алгоритмики|гра|для|развития|логического|мышления|база|перед|программированием</v>
      </c>
      <c r="I68" s="1"/>
      <c r="J68" s="1"/>
    </row>
    <row r="69" spans="1:10" x14ac:dyDescent="0.2">
      <c r="A69" s="8" t="s">
        <v>3376</v>
      </c>
      <c r="B69" s="8" t="s">
        <v>3375</v>
      </c>
      <c r="C69" s="7" t="s">
        <v>3374</v>
      </c>
      <c r="D69" s="6">
        <v>104900</v>
      </c>
      <c r="E69" s="5">
        <v>5</v>
      </c>
      <c r="F69" s="4" t="str">
        <f ca="1">IFERROR(__xludf.DUMMYFUNCTION("LOWER(REGEXREPLACE(B69&amp;"" ""&amp;C69,""[^а-яa-z0-9 ]"","" ""))")," аборатория шестеренок  астольный набор для понимания принципов работы механических узлов ")</f>
        <v xml:space="preserve"> аборатория шестеренок  астольный набор для понимания принципов работы механических узлов </v>
      </c>
      <c r="G69" s="4" t="str">
        <f ca="1">IFERROR(__xludf.DUMMYFUNCTION("TEXTJOIN(""|"",TRUE,UNIQUE(FILTER(SPLIT(F69,"" ""),LEN(SPLIT(F69,"" ""))&gt;2)))"),"аборатория|шестеренок|астольный|набор|для|понимания|принципов|работы|механических|узлов")</f>
        <v>аборатория|шестеренок|астольный|набор|для|понимания|принципов|работы|механических|узлов</v>
      </c>
      <c r="I69" s="1"/>
      <c r="J69" s="1"/>
    </row>
    <row r="70" spans="1:10" x14ac:dyDescent="0.2">
      <c r="A70" s="8" t="s">
        <v>3373</v>
      </c>
      <c r="B70" s="8" t="s">
        <v>3372</v>
      </c>
      <c r="C70" s="7" t="s">
        <v>3371</v>
      </c>
      <c r="D70" s="6">
        <v>777000</v>
      </c>
      <c r="E70" s="5">
        <v>1</v>
      </c>
      <c r="F70" s="4" t="str">
        <f ca="1">IFERROR(__xludf.DUMMYFUNCTION("LOWER(REGEXREPLACE(B70&amp;"" ""&amp;C70,""[^а-яa-z0-9 ]"","" ""))")," спытательный полигон   ягкая зона для запуска мобильных роботов и групповых обсуждений ")</f>
        <v xml:space="preserve"> спытательный полигон   ягкая зона для запуска мобильных роботов и групповых обсуждений </v>
      </c>
      <c r="G70" s="4" t="str">
        <f ca="1">IFERROR(__xludf.DUMMYFUNCTION("TEXTJOIN(""|"",TRUE,UNIQUE(FILTER(SPLIT(F70,"" ""),LEN(SPLIT(F70,"" ""))&gt;2)))"),"спытательный|полигон|ягкая|зона|для|запуска|мобильных|роботов|групповых|обсуждений")</f>
        <v>спытательный|полигон|ягкая|зона|для|запуска|мобильных|роботов|групповых|обсуждений</v>
      </c>
      <c r="I70" s="1"/>
      <c r="J70" s="1"/>
    </row>
    <row r="71" spans="1:10" x14ac:dyDescent="0.2">
      <c r="A71" s="8" t="s">
        <v>3370</v>
      </c>
      <c r="B71" s="7" t="s">
        <v>3369</v>
      </c>
      <c r="C71" s="7" t="s">
        <v>3368</v>
      </c>
      <c r="D71" s="6">
        <v>6700</v>
      </c>
      <c r="E71" s="5">
        <v>5</v>
      </c>
      <c r="F71" s="4" t="str">
        <f ca="1">IFERROR(__xludf.DUMMYFUNCTION("LOWER(REGEXREPLACE(B71&amp;"" ""&amp;C71,""[^а-яa-z0-9 ]"","" ""))"),"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16"&amp;" демонстрационных и 16 раздаточных карточек ")</f>
        <v xml:space="preserve">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v>
      </c>
      <c r="G71" s="4" t="str">
        <f ca="1">IFERROR(__xludf.DUMMYFUNCTION("TEXTJOIN(""|"",TRUE,UNIQUE(FILTER(SPLIT(F71,"" ""),LEN(SPLIT(F71,"" ""))&gt;2)))"),"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amp;"|раздаточных|карточек")</f>
        <v>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v>
      </c>
      <c r="I71" s="1"/>
      <c r="J71" s="1"/>
    </row>
    <row r="72" spans="1:10" x14ac:dyDescent="0.2">
      <c r="A72" s="8" t="s">
        <v>3367</v>
      </c>
      <c r="B72" s="8" t="s">
        <v>3366</v>
      </c>
      <c r="C72" s="7" t="s">
        <v>3365</v>
      </c>
      <c r="D72" s="6">
        <v>94800</v>
      </c>
      <c r="E72" s="5">
        <v>2</v>
      </c>
      <c r="F72" s="4" t="str">
        <f ca="1">IFERROR(__xludf.DUMMYFUNCTION("LOWER(REGEXREPLACE(B72&amp;"" ""&amp;C72,""[^а-яa-z0-9 ]"","" ""))")," азовый набор робототехники для детей     онструктор  ego  ducation      iscover")</f>
        <v xml:space="preserve"> азовый набор робототехники для детей     онструктор  ego  ducation      iscover</v>
      </c>
      <c r="G72" s="4" t="str">
        <f ca="1">IFERROR(__xludf.DUMMYFUNCTION("TEXTJOIN(""|"",TRUE,UNIQUE(FILTER(SPLIT(F72,"" ""),LEN(SPLIT(F72,"" ""))&gt;2)))"),"азовый|набор|робототехники|для|детей|онструктор|ego|ducation|iscover")</f>
        <v>азовый|набор|робототехники|для|детей|онструктор|ego|ducation|iscover</v>
      </c>
      <c r="I72" s="1"/>
      <c r="J72" s="1"/>
    </row>
    <row r="73" spans="1:10" x14ac:dyDescent="0.2">
      <c r="A73" s="8" t="s">
        <v>3364</v>
      </c>
      <c r="B73" s="8" t="s">
        <v>3363</v>
      </c>
      <c r="C73" s="7" t="s">
        <v>3362</v>
      </c>
      <c r="D73" s="6">
        <v>453300</v>
      </c>
      <c r="E73" s="5">
        <v>4</v>
      </c>
      <c r="F73" s="4" t="str">
        <f ca="1">IFERROR(__xludf.DUMMYFUNCTION("LOWER(REGEXREPLACE(B73&amp;"" ""&amp;C73,""[^а-яa-z0-9 ]"","" ""))"),"  obo  underkind  ducation  it  азовый набор  obowunderkind для начальных классов")</f>
        <v xml:space="preserve">  obo  underkind  ducation  it  азовый набор  obowunderkind для начальных классов</v>
      </c>
      <c r="G73" s="4" t="str">
        <f ca="1">IFERROR(__xludf.DUMMYFUNCTION("TEXTJOIN(""|"",TRUE,UNIQUE(FILTER(SPLIT(F73,"" ""),LEN(SPLIT(F73,"" ""))&gt;2)))"),"obo|underkind|ducation|азовый|набор|obowunderkind|для|начальных|классов")</f>
        <v>obo|underkind|ducation|азовый|набор|obowunderkind|для|начальных|классов</v>
      </c>
      <c r="I73" s="1"/>
      <c r="J73" s="1"/>
    </row>
    <row r="74" spans="1:10" x14ac:dyDescent="0.2">
      <c r="A74" s="8" t="s">
        <v>3361</v>
      </c>
      <c r="B74" s="8" t="s">
        <v>3360</v>
      </c>
      <c r="C74" s="7" t="s">
        <v>3359</v>
      </c>
      <c r="D74" s="6">
        <v>313400</v>
      </c>
      <c r="E74" s="5">
        <v>4</v>
      </c>
      <c r="F74" s="4" t="str">
        <f ca="1">IFERROR(__xludf.DUMMYFUNCTION("LOWER(REGEXREPLACE(B74&amp;"" ""&amp;C74,""[^а-яa-z0-9 ]"","" ""))")," obo  underkind  xtension  it  азовый набор  obo wunderkind для начальных классов")</f>
        <v xml:space="preserve"> obo  underkind  xtension  it  азовый набор  obo wunderkind для начальных классов</v>
      </c>
      <c r="G74" s="4" t="str">
        <f ca="1">IFERROR(__xludf.DUMMYFUNCTION("TEXTJOIN(""|"",TRUE,UNIQUE(FILTER(SPLIT(F74,"" ""),LEN(SPLIT(F74,"" ""))&gt;2)))"),"obo|underkind|xtension|азовый|набор|obo|wunderkind|для|начальных|классов")</f>
        <v>obo|underkind|xtension|азовый|набор|obo|wunderkind|для|начальных|классов</v>
      </c>
      <c r="I74" s="1"/>
      <c r="J74" s="1"/>
    </row>
    <row r="75" spans="1:10" x14ac:dyDescent="0.2">
      <c r="A75" s="8" t="s">
        <v>3358</v>
      </c>
      <c r="B75" s="8" t="s">
        <v>3357</v>
      </c>
      <c r="C75" s="7" t="s">
        <v>3357</v>
      </c>
      <c r="D75" s="6">
        <v>965600</v>
      </c>
      <c r="E75" s="5">
        <v>1</v>
      </c>
      <c r="F75" s="4" t="str">
        <f ca="1">IFERROR(__xludf.DUMMYFUNCTION("LOWER(REGEXREPLACE(B75&amp;"" ""&amp;C75,""[^а-яa-z0-9 ]"","" ""))")," абор для изучения управлению роботом  убо  абор для изучения управлению роботом  убо")</f>
        <v xml:space="preserve"> абор для изучения управлению роботом  убо  абор для изучения управлению роботом  убо</v>
      </c>
      <c r="G75" s="4" t="str">
        <f ca="1">IFERROR(__xludf.DUMMYFUNCTION("TEXTJOIN(""|"",TRUE,UNIQUE(FILTER(SPLIT(F75,"" ""),LEN(SPLIT(F75,"" ""))&gt;2)))"),"абор|для|изучения|управлению|роботом|убо|абор|для|изучения|управлению|роботом|убо")</f>
        <v>абор|для|изучения|управлению|роботом|убо|абор|для|изучения|управлению|роботом|убо</v>
      </c>
      <c r="I75" s="1"/>
      <c r="J75" s="1"/>
    </row>
    <row r="76" spans="1:10" x14ac:dyDescent="0.2">
      <c r="A76" s="8" t="s">
        <v>3356</v>
      </c>
      <c r="B76" s="7" t="s">
        <v>3355</v>
      </c>
      <c r="C76" s="7" t="s">
        <v>3354</v>
      </c>
      <c r="D76" s="6">
        <v>6700</v>
      </c>
      <c r="E76" s="5">
        <v>5</v>
      </c>
      <c r="F76" s="4" t="str">
        <f ca="1">IFERROR(__xludf.DUMMYFUNCTION("LOWER(REGEXREPLACE(B76&amp;"" ""&amp;C76,""[^а-яa-z0-9 ]"","" ""))"),"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"&amp;"входит 16 демонстрационных и 16 раздаточных карточек ")</f>
        <v xml:space="preserve">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v>
      </c>
      <c r="G76" s="4" t="str">
        <f ca="1">IFERROR(__xludf.DUMMYFUNCTION("TEXTJOIN(""|"",TRUE,UNIQUE(FILTER(SPLIT(F76,"" ""),LEN(SPLIT(F76,"" ""))&gt;2)))"),"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amp;"нных|раздаточных|карточек")</f>
        <v>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v>
      </c>
      <c r="I76" s="1"/>
      <c r="J76" s="1"/>
    </row>
    <row r="77" spans="1:10" x14ac:dyDescent="0.2">
      <c r="A77" s="8" t="s">
        <v>3353</v>
      </c>
      <c r="B77" s="7" t="s">
        <v>3352</v>
      </c>
      <c r="C77" s="7" t="s">
        <v>3351</v>
      </c>
      <c r="D77" s="6">
        <v>6700</v>
      </c>
      <c r="E77" s="5">
        <v>5</v>
      </c>
      <c r="F77" s="4" t="str">
        <f ca="1">IFERROR(__xludf.DUMMYFUNCTION("LOWER(REGEXREPLACE(B77&amp;"" ""&amp;C77,""[^а-яa-z0-9 ]"","" ""))"),"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разда"&amp;"точных карточек ")</f>
        <v xml:space="preserve">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v>
      </c>
      <c r="G77" s="4" t="str">
        <f ca="1">IFERROR(__xludf.DUMMYFUNCTION("TEXTJOIN(""|"",TRUE,UNIQUE(FILTER(SPLIT(F77,"" ""),LEN(SPLIT(F77,"" ""))&gt;2)))"),"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f>
        <v>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v>
      </c>
      <c r="I77" s="1"/>
      <c r="J77" s="1"/>
    </row>
    <row r="78" spans="1:10" x14ac:dyDescent="0.2">
      <c r="A78" s="8" t="s">
        <v>3350</v>
      </c>
      <c r="B78" s="7" t="s">
        <v>3349</v>
      </c>
      <c r="C78" s="7" t="s">
        <v>3348</v>
      </c>
      <c r="D78" s="6">
        <v>6700</v>
      </c>
      <c r="E78" s="5">
        <v>5</v>
      </c>
      <c r="F78" s="4" t="str">
        <f ca="1">IFERROR(__xludf.DUMMYFUNCTION("LOWER(REGEXREPLACE(B78&amp;"" ""&amp;C78,""[^а-яa-z0-9 ]"","" ""))"),"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раздат"&amp;"очных карточек ")</f>
        <v xml:space="preserve">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v>
      </c>
      <c r="G78" s="4" t="str">
        <f ca="1">IFERROR(__xludf.DUMMYFUNCTION("TEXTJOIN(""|"",TRUE,UNIQUE(FILTER(SPLIT(F78,"" ""),LEN(SPLIT(F78,"" ""))&gt;2)))"),"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f>
        <v>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v>
      </c>
      <c r="I78" s="1"/>
      <c r="J78" s="1"/>
    </row>
    <row r="79" spans="1:10" x14ac:dyDescent="0.2">
      <c r="A79" s="8" t="s">
        <v>3347</v>
      </c>
      <c r="B79" s="7" t="s">
        <v>3346</v>
      </c>
      <c r="C79" s="7" t="s">
        <v>3345</v>
      </c>
      <c r="D79" s="6">
        <v>6700</v>
      </c>
      <c r="E79" s="5">
        <v>5</v>
      </c>
      <c r="F79" s="4" t="str">
        <f ca="1">IFERROR(__xludf.DUMMYFUNCTION("LOWER(REGEXREPLACE(B79&amp;"" ""&amp;C79,""[^а-яa-z0-9 ]"","" ""))"),"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карт"&amp;"очек ")</f>
        <v xml:space="preserve">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v>
      </c>
      <c r="G79" s="4" t="str">
        <f ca="1">IFERROR(__xludf.DUMMYFUNCTION("TEXTJOIN(""|"",TRUE,UNIQUE(FILTER(SPLIT(F79,"" ""),LEN(SPLIT(F79,"" ""))&gt;2)))"),"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f>
        <v>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v>
      </c>
      <c r="I79" s="1"/>
      <c r="J79" s="1"/>
    </row>
    <row r="80" spans="1:10" x14ac:dyDescent="0.2">
      <c r="A80" s="8" t="s">
        <v>3344</v>
      </c>
      <c r="B80" s="7" t="s">
        <v>3343</v>
      </c>
      <c r="C80" s="7" t="s">
        <v>3342</v>
      </c>
      <c r="D80" s="6">
        <v>6700</v>
      </c>
      <c r="E80" s="5">
        <v>5</v>
      </c>
      <c r="F80" s="4" t="str">
        <f ca="1">IFERROR(__xludf.DUMMYFUNCTION("LOWER(REGEXREPLACE(B80&amp;"" ""&amp;C80,""[^а-яa-z0-9 ]"","" ""))"),"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"&amp;"16 раздаточных карточек ")</f>
        <v xml:space="preserve">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v>
      </c>
      <c r="G80" s="4" t="str">
        <f ca="1">IFERROR(__xludf.DUMMYFUNCTION("TEXTJOIN(""|"",TRUE,UNIQUE(FILTER(SPLIT(F80,"" ""),LEN(SPLIT(F80,"" ""))&gt;2)))"),"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f>
        <v>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v>
      </c>
      <c r="I80" s="1"/>
      <c r="J80" s="1"/>
    </row>
    <row r="81" spans="1:10" x14ac:dyDescent="0.2">
      <c r="A81" s="8" t="s">
        <v>3341</v>
      </c>
      <c r="B81" s="7" t="s">
        <v>3340</v>
      </c>
      <c r="C81" s="7" t="s">
        <v>3339</v>
      </c>
      <c r="D81" s="6">
        <v>6700</v>
      </c>
      <c r="E81" s="5">
        <v>5</v>
      </c>
      <c r="F81" s="4" t="str">
        <f ca="1">IFERROR(__xludf.DUMMYFUNCTION("LOWER(REGEXREPLACE(B81&amp;"" ""&amp;C81,""[^а-яa-z0-9 ]"","" ""))"),"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входи"&amp;"т 16 демонстрационных и 16 раздаточных карточек ")</f>
        <v xml:space="preserve">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v>
      </c>
      <c r="G81" s="4" t="str">
        <f ca="1">IFERROR(__xludf.DUMMYFUNCTION("TEXTJOIN(""|"",TRUE,UNIQUE(FILTER(SPLIT(F81,"" ""),LEN(SPLIT(F81,"" ""))&gt;2)))"),"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amp;"нных|раздаточных|карточек")</f>
        <v>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v>
      </c>
      <c r="I81" s="1"/>
      <c r="J81" s="1"/>
    </row>
    <row r="82" spans="1:10" x14ac:dyDescent="0.2">
      <c r="A82" s="8" t="s">
        <v>3338</v>
      </c>
      <c r="B82" s="7" t="s">
        <v>3337</v>
      </c>
      <c r="C82" s="7" t="s">
        <v>3336</v>
      </c>
      <c r="D82" s="6">
        <v>6700</v>
      </c>
      <c r="E82" s="5">
        <v>5</v>
      </c>
      <c r="F82" s="4" t="str">
        <f ca="1">IFERROR(__xludf.DUMMYFUNCTION("LOWER(REGEXREPLACE(B82&amp;"" ""&amp;C82,""[^а-яa-z0-9 ]"","" ""))"),"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карт"&amp;"очек ")</f>
        <v xml:space="preserve">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v>
      </c>
      <c r="G82" s="4" t="str">
        <f ca="1">IFERROR(__xludf.DUMMYFUNCTION("TEXTJOIN(""|"",TRUE,UNIQUE(FILTER(SPLIT(F82,"" ""),LEN(SPLIT(F82,"" ""))&gt;2)))"),"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f>
        <v>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v>
      </c>
      <c r="I82" s="1"/>
      <c r="J82" s="1"/>
    </row>
    <row r="83" spans="1:10" x14ac:dyDescent="0.2">
      <c r="A83" s="8" t="s">
        <v>3335</v>
      </c>
      <c r="B83" s="7" t="s">
        <v>3334</v>
      </c>
      <c r="C83" s="7" t="s">
        <v>3333</v>
      </c>
      <c r="D83" s="6">
        <v>6700</v>
      </c>
      <c r="E83" s="5">
        <v>5</v>
      </c>
      <c r="F83" s="4" t="str">
        <f ca="1">IFERROR(__xludf.DUMMYFUNCTION("LOWER(REGEXREPLACE(B83&amp;"" ""&amp;C83,""[^а-яa-z0-9 ]"","" ""))"),"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f>
        <v xml:space="preserve">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v>
      </c>
      <c r="G83" s="4" t="str">
        <f ca="1">IFERROR(__xludf.DUMMYFUNCTION("TEXTJOIN(""|"",TRUE,UNIQUE(FILTER(SPLIT(F83,"" ""),LEN(SPLIT(F83,"" ""))&gt;2)))"),"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f>
        <v>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v>
      </c>
      <c r="I83" s="1"/>
      <c r="J83" s="1"/>
    </row>
    <row r="84" spans="1:10" x14ac:dyDescent="0.2">
      <c r="A84" s="8" t="s">
        <v>3332</v>
      </c>
      <c r="B84" s="7" t="s">
        <v>3331</v>
      </c>
      <c r="C84" s="7" t="s">
        <v>3330</v>
      </c>
      <c r="D84" s="6">
        <v>3500</v>
      </c>
      <c r="E84" s="5">
        <v>5</v>
      </c>
      <c r="F84" s="4" t="str">
        <f ca="1">IFERROR(__xludf.DUMMYFUNCTION("LOWER(REGEXREPLACE(B84&amp;"" ""&amp;C84,""[^а-яa-z0-9 ]"","" ""))"),"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дошкольн"&amp;"иков  а также для ознакомления с художественной литературой ")</f>
        <v xml:space="preserve">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v>
      </c>
      <c r="G84" s="4" t="str">
        <f ca="1">IFERROR(__xludf.DUMMYFUNCTION("TEXTJOIN(""|"",TRUE,UNIQUE(FILTER(SPLIT(F84,"" ""),LEN(SPLIT(F84,"" ""))&gt;2)))"),"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amp;"я|художественной|литературой")</f>
        <v>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v>
      </c>
      <c r="I84" s="1"/>
      <c r="J84" s="1"/>
    </row>
    <row r="85" spans="1:10" x14ac:dyDescent="0.2">
      <c r="A85" s="8" t="s">
        <v>3329</v>
      </c>
      <c r="B85" s="7" t="s">
        <v>3328</v>
      </c>
      <c r="C85" s="7" t="s">
        <v>3327</v>
      </c>
      <c r="D85" s="6">
        <v>6700</v>
      </c>
      <c r="E85" s="5">
        <v>5</v>
      </c>
      <c r="F85" s="4" t="str">
        <f ca="1">IFERROR(__xludf.DUMMYFUNCTION("LOWER(REGEXREPLACE(B85&amp;"" ""&amp;C85,""[^а-яa-z0-9 ]"","" ""))"),"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f>
        <v xml:space="preserve">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v>
      </c>
      <c r="G85" s="4" t="str">
        <f ca="1">IFERROR(__xludf.DUMMYFUNCTION("TEXTJOIN(""|"",TRUE,UNIQUE(FILTER(SPLIT(F85,"" ""),LEN(SPLIT(F85,"" ""))&gt;2)))"),"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f>
        <v>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v>
      </c>
      <c r="I85" s="1"/>
      <c r="J85" s="1"/>
    </row>
    <row r="86" spans="1:10" x14ac:dyDescent="0.2">
      <c r="A86" s="8" t="s">
        <v>3326</v>
      </c>
      <c r="B86" s="7" t="s">
        <v>3325</v>
      </c>
      <c r="C86" s="7" t="s">
        <v>3324</v>
      </c>
      <c r="D86" s="6">
        <v>6700</v>
      </c>
      <c r="E86" s="5">
        <v>5</v>
      </c>
      <c r="F86" s="4" t="str">
        <f ca="1">IFERROR(__xludf.DUMMYFUNCTION("LOWER(REGEXREPLACE(B86&amp;"" ""&amp;C86,""[^а-яa-z0-9 ]"","" ""))"),"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карточе"&amp;"к ")</f>
        <v xml:space="preserve">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v>
      </c>
      <c r="G86" s="4" t="str">
        <f ca="1">IFERROR(__xludf.DUMMYFUNCTION("TEXTJOIN(""|"",TRUE,UNIQUE(FILTER(SPLIT(F86,"" ""),LEN(SPLIT(F86,"" ""))&gt;2)))"),"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v>
      </c>
      <c r="I86" s="1"/>
      <c r="J86" s="1"/>
    </row>
    <row r="87" spans="1:10" x14ac:dyDescent="0.2">
      <c r="A87" s="8" t="s">
        <v>3323</v>
      </c>
      <c r="B87" s="7" t="s">
        <v>3322</v>
      </c>
      <c r="C87" s="7" t="s">
        <v>3321</v>
      </c>
      <c r="D87" s="6">
        <v>6700</v>
      </c>
      <c r="E87" s="5">
        <v>5</v>
      </c>
      <c r="F87" s="4" t="str">
        <f ca="1">IFERROR(__xludf.DUMMYFUNCTION("LOWER(REGEXREPLACE(B87&amp;"" ""&amp;C87,""[^а-яa-z0-9 ]"","" ""))"),"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карточе"&amp;"к ")</f>
        <v xml:space="preserve">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v>
      </c>
      <c r="G87" s="4" t="str">
        <f ca="1">IFERROR(__xludf.DUMMYFUNCTION("TEXTJOIN(""|"",TRUE,UNIQUE(FILTER(SPLIT(F87,"" ""),LEN(SPLIT(F87,"" ""))&gt;2)))"),"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f>
        <v>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v>
      </c>
      <c r="I87" s="1"/>
      <c r="J87" s="1"/>
    </row>
    <row r="88" spans="1:10" x14ac:dyDescent="0.2">
      <c r="A88" s="8" t="s">
        <v>3320</v>
      </c>
      <c r="B88" s="7" t="s">
        <v>3319</v>
      </c>
      <c r="C88" s="7" t="s">
        <v>3318</v>
      </c>
      <c r="D88" s="6">
        <v>6700</v>
      </c>
      <c r="E88" s="5">
        <v>5</v>
      </c>
      <c r="F88" s="4" t="str">
        <f ca="1">IFERROR(__xludf.DUMMYFUNCTION("LOWER(REGEXREPLACE(B88&amp;"" ""&amp;C88,""[^а-яa-z0-9 ]"","" ""))"),"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раздат"&amp;"очных карточек ")</f>
        <v xml:space="preserve">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v>
      </c>
      <c r="G88" s="4" t="str">
        <f ca="1">IFERROR(__xludf.DUMMYFUNCTION("TEXTJOIN(""|"",TRUE,UNIQUE(FILTER(SPLIT(F88,"" ""),LEN(SPLIT(F88,"" ""))&gt;2)))"),"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f>
        <v>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v>
      </c>
      <c r="I88" s="1"/>
      <c r="J88" s="1"/>
    </row>
    <row r="89" spans="1:10" x14ac:dyDescent="0.2">
      <c r="A89" s="8" t="s">
        <v>3317</v>
      </c>
      <c r="B89" s="7" t="s">
        <v>3316</v>
      </c>
      <c r="C89" s="7" t="s">
        <v>3315</v>
      </c>
      <c r="D89" s="6">
        <v>6700</v>
      </c>
      <c r="E89" s="5">
        <v>5</v>
      </c>
      <c r="F89" s="4" t="str">
        <f ca="1">IFERROR(__xludf.DUMMYFUNCTION("LOWER(REGEXREPLACE(B89&amp;"" ""&amp;C89,""[^а-яa-z0-9 ]"","" ""))"),"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демонстраци"&amp;"онных и 16 раздаточных карточек ")</f>
        <v xml:space="preserve">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v>
      </c>
      <c r="G89" s="4" t="str">
        <f ca="1">IFERROR(__xludf.DUMMYFUNCTION("TEXTJOIN(""|"",TRUE,UNIQUE(FILTER(SPLIT(F89,"" ""),LEN(SPLIT(F89,"" ""))&gt;2)))"),"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amp;"рточек")</f>
        <v>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v>
      </c>
      <c r="I89" s="1"/>
      <c r="J89" s="1"/>
    </row>
    <row r="90" spans="1:10" x14ac:dyDescent="0.2">
      <c r="A90" s="8" t="s">
        <v>3314</v>
      </c>
      <c r="B90" s="7" t="s">
        <v>3313</v>
      </c>
      <c r="C90" s="7" t="s">
        <v>3312</v>
      </c>
      <c r="D90" s="6">
        <v>6700</v>
      </c>
      <c r="E90" s="5">
        <v>5</v>
      </c>
      <c r="F90" s="4" t="str">
        <f ca="1">IFERROR(__xludf.DUMMYFUNCTION("LOWER(REGEXREPLACE(B90&amp;"" ""&amp;C90,""[^а-яa-z0-9 ]"","" ""))"),"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раздаточ"&amp;"ных карточек ")</f>
        <v xml:space="preserve">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v>
      </c>
      <c r="G90" s="4" t="str">
        <f ca="1">IFERROR(__xludf.DUMMYFUNCTION("TEXTJOIN(""|"",TRUE,UNIQUE(FILTER(SPLIT(F90,"" ""),LEN(SPLIT(F90,"" ""))&gt;2)))"),"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f>
        <v>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v>
      </c>
      <c r="I90" s="1"/>
      <c r="J90" s="1"/>
    </row>
    <row r="91" spans="1:10" x14ac:dyDescent="0.2">
      <c r="A91" s="8" t="s">
        <v>3311</v>
      </c>
      <c r="B91" s="7" t="s">
        <v>3310</v>
      </c>
      <c r="C91" s="7" t="s">
        <v>3309</v>
      </c>
      <c r="D91" s="6">
        <v>7600</v>
      </c>
      <c r="E91" s="5">
        <v>5</v>
      </c>
      <c r="F91" s="4" t="str">
        <f ca="1">IFERROR(__xludf.DUMMYFUNCTION("LOWER(REGEXREPLACE(B91&amp;"" ""&amp;C91,""[^а-яa-z0-9 ]"","" ""))"),"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1"&amp;"6 раздаточных карточек ")</f>
        <v xml:space="preserve">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v>
      </c>
      <c r="G91" s="4" t="str">
        <f ca="1">IFERROR(__xludf.DUMMYFUNCTION("TEXTJOIN(""|"",TRUE,UNIQUE(FILTER(SPLIT(F91,"" ""),LEN(SPLIT(F91,"" ""))&gt;2)))"),"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f>
        <v>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v>
      </c>
      <c r="I91" s="1"/>
      <c r="J91" s="1"/>
    </row>
    <row r="92" spans="1:10" x14ac:dyDescent="0.2">
      <c r="A92" s="8" t="s">
        <v>3308</v>
      </c>
      <c r="B92" s="7" t="s">
        <v>3307</v>
      </c>
      <c r="C92" s="7" t="s">
        <v>3306</v>
      </c>
      <c r="D92" s="6">
        <v>7600</v>
      </c>
      <c r="E92" s="5">
        <v>5</v>
      </c>
      <c r="F92" s="4" t="str">
        <f ca="1">IFERROR(__xludf.DUMMYFUNCTION("LOWER(REGEXREPLACE(B92&amp;"" ""&amp;C92,""[^а-яa-z0-9 ]"","" ""))"),"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р"&amp;"аздаточных карточек ")</f>
        <v xml:space="preserve">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v>
      </c>
      <c r="G92" s="4" t="str">
        <f ca="1">IFERROR(__xludf.DUMMYFUNCTION("TEXTJOIN(""|"",TRUE,UNIQUE(FILTER(SPLIT(F92,"" ""),LEN(SPLIT(F92,"" ""))&gt;2)))"),"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f>
        <v>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v>
      </c>
      <c r="I92" s="1"/>
      <c r="J92" s="1"/>
    </row>
    <row r="93" spans="1:10" x14ac:dyDescent="0.2">
      <c r="A93" s="8" t="s">
        <v>3305</v>
      </c>
      <c r="B93" s="7" t="s">
        <v>3304</v>
      </c>
      <c r="C93" s="7" t="s">
        <v>3303</v>
      </c>
      <c r="D93" s="6">
        <v>7600</v>
      </c>
      <c r="E93" s="5">
        <v>5</v>
      </c>
      <c r="F93" s="4" t="str">
        <f ca="1">IFERROR(__xludf.DUMMYFUNCTION("LOWER(REGEXREPLACE(B93&amp;"" ""&amp;C93,""[^а-яa-z0-9 ]"","" ""))"),"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v>
      </c>
      <c r="G93" s="4" t="str">
        <f ca="1">IFERROR(__xludf.DUMMYFUNCTION("TEXTJOIN(""|"",TRUE,UNIQUE(FILTER(SPLIT(F93,"" ""),LEN(SPLIT(F93,"" ""))&gt;2)))"),"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v>
      </c>
      <c r="I93" s="1"/>
      <c r="J93" s="1"/>
    </row>
    <row r="94" spans="1:10" x14ac:dyDescent="0.2">
      <c r="A94" s="8" t="s">
        <v>3302</v>
      </c>
      <c r="B94" s="7" t="s">
        <v>3301</v>
      </c>
      <c r="C94" s="7" t="s">
        <v>3300</v>
      </c>
      <c r="D94" s="6">
        <v>7600</v>
      </c>
      <c r="E94" s="5">
        <v>5</v>
      </c>
      <c r="F94" s="4" t="str">
        <f ca="1">IFERROR(__xludf.DUMMYFUNCTION("LOWER(REGEXREPLACE(B94&amp;"" ""&amp;C94,""[^а-яa-z0-9 ]"","" ""))"),"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раз"&amp;"даточных карточек ")</f>
        <v xml:space="preserve">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v>
      </c>
      <c r="G94" s="4" t="str">
        <f ca="1">IFERROR(__xludf.DUMMYFUNCTION("TEXTJOIN(""|"",TRUE,UNIQUE(FILTER(SPLIT(F94,"" ""),LEN(SPLIT(F94,"" ""))&gt;2)))"),"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f>
        <v>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v>
      </c>
      <c r="I94" s="1"/>
      <c r="J94" s="1"/>
    </row>
    <row r="95" spans="1:10" x14ac:dyDescent="0.2">
      <c r="A95" s="8" t="s">
        <v>3299</v>
      </c>
      <c r="B95" s="7" t="s">
        <v>3298</v>
      </c>
      <c r="C95" s="7" t="s">
        <v>3297</v>
      </c>
      <c r="D95" s="6">
        <v>10400</v>
      </c>
      <c r="E95" s="5">
        <v>125</v>
      </c>
      <c r="F95" s="4" t="str">
        <f ca="1">IFERROR(__xludf.DUMMYFUNCTION("LOWER(REGEXREPLACE(B95&amp;"" ""&amp;C95,""[^а-яa-z0-9 ]"","" ""))"),"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образ"&amp;"овательной деятельности дошкольного учреждения ")</f>
        <v xml:space="preserve">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v>
      </c>
      <c r="G95" s="4" t="str">
        <f ca="1">IFERROR(__xludf.DUMMYFUNCTION("TEXTJOIN(""|"",TRUE,UNIQUE(FILTER(SPLIT(F95,"" ""),LEN(SPLIT(F95,"" ""))&gt;2)))"),"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amp;"и|дошкольного|учреждения")</f>
        <v>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v>
      </c>
      <c r="I95" s="1"/>
      <c r="J95" s="1"/>
    </row>
    <row r="96" spans="1:10" x14ac:dyDescent="0.2">
      <c r="A96" s="8" t="s">
        <v>3296</v>
      </c>
      <c r="B96" s="7" t="s">
        <v>3295</v>
      </c>
      <c r="C96" s="7" t="s">
        <v>3294</v>
      </c>
      <c r="D96" s="6">
        <v>6700</v>
      </c>
      <c r="E96" s="5">
        <v>5</v>
      </c>
      <c r="F96" s="4" t="str">
        <f ca="1">IFERROR(__xludf.DUMMYFUNCTION("LOWER(REGEXREPLACE(B96&amp;"" ""&amp;C96,""[^а-яa-z0-9 ]"","" ""))"),"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карточ"&amp;"ек ")</f>
        <v xml:space="preserve">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v>
      </c>
      <c r="G96" s="4" t="str">
        <f ca="1">IFERROR(__xludf.DUMMYFUNCTION("TEXTJOIN(""|"",TRUE,UNIQUE(FILTER(SPLIT(F96,"" ""),LEN(SPLIT(F96,"" ""))&gt;2)))"),"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f>
        <v>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v>
      </c>
      <c r="I96" s="1"/>
      <c r="J96" s="1"/>
    </row>
    <row r="97" spans="1:10" x14ac:dyDescent="0.2">
      <c r="A97" s="8" t="s">
        <v>3293</v>
      </c>
      <c r="B97" s="7" t="s">
        <v>3292</v>
      </c>
      <c r="C97" s="7" t="s">
        <v>3291</v>
      </c>
      <c r="D97" s="6">
        <v>6700</v>
      </c>
      <c r="E97" s="5">
        <v>5</v>
      </c>
      <c r="F97" s="4" t="str">
        <f ca="1">IFERROR(__xludf.DUMMYFUNCTION("LOWER(REGEXREPLACE(B97&amp;"" ""&amp;C97,""[^а-яa-z0-9 ]"","" ""))"),"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16"&amp;" раздаточных карточек ")</f>
        <v xml:space="preserve">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v>
      </c>
      <c r="G97" s="4" t="str">
        <f ca="1">IFERROR(__xludf.DUMMYFUNCTION("TEXTJOIN(""|"",TRUE,UNIQUE(FILTER(SPLIT(F97,"" ""),LEN(SPLIT(F97,"" ""))&gt;2)))"),"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v>
      </c>
      <c r="I97" s="1"/>
      <c r="J97" s="1"/>
    </row>
    <row r="98" spans="1:10" x14ac:dyDescent="0.2">
      <c r="A98" s="8" t="s">
        <v>3290</v>
      </c>
      <c r="B98" s="7" t="s">
        <v>3289</v>
      </c>
      <c r="C98" s="7" t="s">
        <v>3288</v>
      </c>
      <c r="D98" s="6">
        <v>6700</v>
      </c>
      <c r="E98" s="5">
        <v>5</v>
      </c>
      <c r="F98" s="4" t="str">
        <f ca="1">IFERROR(__xludf.DUMMYFUNCTION("LOWER(REGEXREPLACE(B98&amp;"" ""&amp;C98,""[^а-яa-z0-9 ]"","" ""))"),"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v>
      </c>
      <c r="G98" s="4" t="str">
        <f ca="1">IFERROR(__xludf.DUMMYFUNCTION("TEXTJOIN(""|"",TRUE,UNIQUE(FILTER(SPLIT(F98,"" ""),LEN(SPLIT(F98,"" ""))&gt;2)))"),"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v>
      </c>
      <c r="I98" s="1"/>
      <c r="J98" s="1"/>
    </row>
    <row r="99" spans="1:10" x14ac:dyDescent="0.2">
      <c r="A99" s="8" t="s">
        <v>3287</v>
      </c>
      <c r="B99" s="8" t="s">
        <v>3286</v>
      </c>
      <c r="C99" s="7" t="s">
        <v>3285</v>
      </c>
      <c r="D99" s="6">
        <v>1110200</v>
      </c>
      <c r="E99" s="5">
        <v>2</v>
      </c>
      <c r="F99" s="4" t="str">
        <f ca="1">IFERROR(__xludf.DUMMYFUNCTION("LOWER(REGEXREPLACE(B99&amp;"" ""&amp;C99,""[^а-яa-z0-9 ]"","" ""))")," ветовой стол   тол для опытов и изучения цвета света")</f>
        <v xml:space="preserve"> ветовой стол   тол для опытов и изучения цвета света</v>
      </c>
      <c r="G99" s="4" t="str">
        <f ca="1">IFERROR(__xludf.DUMMYFUNCTION("TEXTJOIN(""|"",TRUE,UNIQUE(FILTER(SPLIT(F99,"" ""),LEN(SPLIT(F99,"" ""))&gt;2)))"),"ветовой|стол|тол|для|опытов|изучения|цвета|света")</f>
        <v>ветовой|стол|тол|для|опытов|изучения|цвета|света</v>
      </c>
      <c r="I99" s="1"/>
      <c r="J99" s="1"/>
    </row>
    <row r="100" spans="1:10" x14ac:dyDescent="0.2">
      <c r="A100" s="8" t="s">
        <v>3284</v>
      </c>
      <c r="B100" s="7" t="s">
        <v>3283</v>
      </c>
      <c r="C100" s="7" t="s">
        <v>3282</v>
      </c>
      <c r="D100" s="6">
        <v>14300</v>
      </c>
      <c r="E100" s="5">
        <v>7</v>
      </c>
      <c r="F100" s="4" t="str">
        <f ca="1">IFERROR(__xludf.DUMMYFUNCTION("LOWER(REGEXREPLACE(B100&amp;"" ""&amp;C100,""[^а-яa-z0-9 ]"","" ""))"),"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в"&amp;"еличин и соотношений   рименяются при объяснении и закреплении учебного материала   атериалы представлены в электронном формате ")</f>
        <v xml:space="preserve">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v>
      </c>
      <c r="G100" s="4" t="str">
        <f ca="1">IFERROR(__xludf.DUMMYFUNCTION("TEXTJOIN(""|"",TRUE,UNIQUE(FILTER(SPLIT(F100,"" ""),LEN(SPLIT(F100,"" ""))&gt;2)))"),"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amp;"ений|рименяются|при|объяснении|закреплении|учебного|материала|атериалы|представлены|электронном|формате")</f>
        <v>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v>
      </c>
      <c r="I100" s="1"/>
      <c r="J100" s="1"/>
    </row>
    <row r="101" spans="1:10" x14ac:dyDescent="0.2">
      <c r="A101" s="8" t="s">
        <v>3281</v>
      </c>
      <c r="B101" s="7" t="s">
        <v>3280</v>
      </c>
      <c r="C101" s="7"/>
      <c r="D101" s="6">
        <v>1700</v>
      </c>
      <c r="E101" s="5">
        <v>1</v>
      </c>
      <c r="F101" s="4" t="str">
        <f ca="1">IFERROR(__xludf.DUMMYFUNCTION("LOWER(REGEXREPLACE(B101&amp;"" ""&amp;C101,""[^а-яa-z0-9 ]"","" ""))")," енсаулы ты  алай са тау а болады   ак сохранить здоровье   ow to stay fit  каз   рус   англ яз   ")</f>
        <v xml:space="preserve"> енсаулы ты  алай са тау а болады   ак сохранить здоровье   ow to stay fit  каз   рус   англ яз   </v>
      </c>
      <c r="G101" s="4" t="str">
        <f ca="1">IFERROR(__xludf.DUMMYFUNCTION("TEXTJOIN(""|"",TRUE,UNIQUE(FILTER(SPLIT(F101,"" ""),LEN(SPLIT(F101,"" ""))&gt;2)))"),"енсаулы|алай|тау|болады|сохранить|здоровье|stay|fit|каз|рус|англ")</f>
        <v>енсаулы|алай|тау|болады|сохранить|здоровье|stay|fit|каз|рус|англ</v>
      </c>
      <c r="I101" s="1"/>
      <c r="J101" s="1"/>
    </row>
    <row r="102" spans="1:10" x14ac:dyDescent="0.2">
      <c r="A102" s="8" t="s">
        <v>3279</v>
      </c>
      <c r="B102" s="7" t="s">
        <v>3278</v>
      </c>
      <c r="C102" s="7" t="s">
        <v>3277</v>
      </c>
      <c r="D102" s="6">
        <v>5700</v>
      </c>
      <c r="E102" s="5">
        <v>1</v>
      </c>
      <c r="F102" s="4" t="str">
        <f ca="1">IFERROR(__xludf.DUMMYFUNCTION("LOWER(REGEXREPLACE(B102&amp;"" ""&amp;C102,""[^а-яa-z0-9 ]"","" ""))"),"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формир"&amp;"ованием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f>
        <v xml:space="preserve">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v>
      </c>
      <c r="G102" s="4" t="str">
        <f ca="1">IFERROR(__xludf.DUMMYFUNCTION("TEXTJOIN(""|"",TRUE,UNIQUE(FILTER(SPLIT(F102,"" ""),LEN(SPLIT(F102,"" ""))&gt;2)))"),"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amp;"ьных|навыков|слухового|восприятия|зделие|изготовлено|дерева|лина|дудочки|составляет|менее|редназначена|для|многократного|использования")</f>
        <v>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v>
      </c>
      <c r="I102" s="1"/>
      <c r="J102" s="1"/>
    </row>
    <row r="103" spans="1:10" x14ac:dyDescent="0.2">
      <c r="A103" s="8" t="s">
        <v>3276</v>
      </c>
      <c r="B103" s="7" t="s">
        <v>3275</v>
      </c>
      <c r="C103" s="7" t="s">
        <v>3274</v>
      </c>
      <c r="D103" s="6">
        <v>7800</v>
      </c>
      <c r="E103" s="5">
        <v>15</v>
      </c>
      <c r="F103" s="4" t="str">
        <f ca="1">IFERROR(__xludf.DUMMYFUNCTION("LOWER(REGEXREPLACE(B103&amp;"" ""&amp;C103,""[^а-яa-z0-9 ]"","" ""))"),"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развитию"&amp;" пространственного мышления  координации движений и навыков анализа формы    комплект входит не менее 4 пазлов   атериал изготовления   дерево ")</f>
        <v xml:space="preserve">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v>
      </c>
      <c r="G103" s="4" t="str">
        <f ca="1">IFERROR(__xludf.DUMMYFUNCTION("TEXTJOIN(""|"",TRUE,UNIQUE(FILTER(SPLIT(F103,"" ""),LEN(SPLIT(F103,"" ""))&gt;2)))"),"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amp;"ышления|координации|движений|навыков|анализа|формы|комплект|входит|менее|пазлов|атериал|изготовления|дерево")</f>
        <v>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v>
      </c>
      <c r="I103" s="1"/>
      <c r="J103" s="1"/>
    </row>
    <row r="104" spans="1:10" x14ac:dyDescent="0.2">
      <c r="A104" s="8" t="s">
        <v>3273</v>
      </c>
      <c r="B104" s="7" t="s">
        <v>3272</v>
      </c>
      <c r="C104" s="7" t="s">
        <v>3271</v>
      </c>
      <c r="D104" s="6">
        <v>47500</v>
      </c>
      <c r="E104" s="5">
        <v>7</v>
      </c>
      <c r="F104" s="4" t="str">
        <f ca="1">IFERROR(__xludf.DUMMYFUNCTION("LOWER(REGEXREPLACE(B104&amp;"" ""&amp;C104,""[^а-яa-z0-9 ]"","" ""))"),"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"&amp;"пространственные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f>
        <v xml:space="preserve">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v>
      </c>
      <c r="G104" s="4" t="str">
        <f ca="1">IFERROR(__xludf.DUMMYFUNCTION("TEXTJOIN(""|"",TRUE,UNIQUE(FILTER(SPLIT(F104,"" ""),LEN(SPLIT(F104,"" ""))&gt;2)))"),"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amp;"|представления|координацию|движений|омплект|включает|блоки|размеров|менее|менее|менее|атериал|изготовления|дерево")</f>
        <v>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v>
      </c>
      <c r="I104" s="1"/>
      <c r="J104" s="1"/>
    </row>
    <row r="105" spans="1:10" x14ac:dyDescent="0.2">
      <c r="A105" s="8" t="s">
        <v>3270</v>
      </c>
      <c r="B105" s="7" t="s">
        <v>3269</v>
      </c>
      <c r="C105" s="7" t="s">
        <v>3268</v>
      </c>
      <c r="D105" s="6">
        <v>61200</v>
      </c>
      <c r="E105" s="5">
        <v>1</v>
      </c>
      <c r="F105" s="4" t="str">
        <f ca="1">IFERROR(__xludf.DUMMYFUNCTION("LOWER(REGEXREPLACE(B105&amp;"" ""&amp;C105,""[^а-яa-z0-9 ]"","" ""))"),"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активн"&amp;"ость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f>
        <v xml:space="preserve">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v>
      </c>
      <c r="G105" s="4" t="str">
        <f ca="1">IFERROR(__xludf.DUMMYFUNCTION("TEXTJOIN(""|"",TRUE,UNIQUE(FILTER(SPLIT(F105,"" ""),LEN(SPLIT(F105,"" ""))&gt;2)))"),"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amp;"ет|развитию|координации|концентрации|внимания|пространственного|восприятия|зделие|выполнено|дерева|предназначено|для|напольного|использования")</f>
        <v>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v>
      </c>
      <c r="I105" s="1"/>
      <c r="J105" s="1"/>
    </row>
    <row r="106" spans="1:10" x14ac:dyDescent="0.2">
      <c r="A106" s="8" t="s">
        <v>3267</v>
      </c>
      <c r="B106" s="7" t="s">
        <v>3266</v>
      </c>
      <c r="C106" s="7" t="s">
        <v>3265</v>
      </c>
      <c r="D106" s="6">
        <v>28000</v>
      </c>
      <c r="E106" s="5">
        <v>5</v>
      </c>
      <c r="F106" s="4" t="str">
        <f ca="1">IFERROR(__xludf.DUMMYFUNCTION("LOWER(REGEXREPLACE(B106&amp;"" ""&amp;C106,""[^а-яa-z0-9 ]"","" ""))"),"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f>
        <v xml:space="preserve">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v>
      </c>
      <c r="G106" s="4" t="str">
        <f ca="1">IFERROR(__xludf.DUMMYFUNCTION("TEXTJOIN(""|"",TRUE,UNIQUE(FILTER(SPLIT(F106,"" ""),LEN(SPLIT(F106,"" ""))&gt;2)))"),"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f>
        <v>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v>
      </c>
      <c r="I106" s="1"/>
      <c r="J106" s="1"/>
    </row>
    <row r="107" spans="1:10" x14ac:dyDescent="0.2">
      <c r="A107" s="8" t="s">
        <v>3264</v>
      </c>
      <c r="B107" s="7" t="s">
        <v>3263</v>
      </c>
      <c r="C107" s="7" t="s">
        <v>3262</v>
      </c>
      <c r="D107" s="6">
        <v>21200</v>
      </c>
      <c r="E107" s="5">
        <v>5</v>
      </c>
      <c r="F107" s="4" t="str">
        <f ca="1">IFERROR(__xludf.DUMMYFUNCTION("LOWER(REGEXREPLACE(B107&amp;"" ""&amp;C107,""[^а-яa-z0-9 ]"","" ""))"),"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деятел"&amp;"ьность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f>
        <v xml:space="preserve">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v>
      </c>
      <c r="G107" s="4" t="str">
        <f ca="1">IFERROR(__xludf.DUMMYFUNCTION("TEXTJOIN(""|"",TRUE,UNIQUE(FILTER(SPLIT(F107,"" ""),LEN(SPLIT(F107,"" ""))&gt;2)))"),"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amp;"азвитию|пространственного|мышления|аккуратности|выполнения|действий|комплект|входит|менее|деталей|атериал|изготовления|дерево")</f>
        <v>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v>
      </c>
      <c r="I107" s="1"/>
      <c r="J107" s="1"/>
    </row>
    <row r="108" spans="1:10" x14ac:dyDescent="0.2">
      <c r="A108" s="8" t="s">
        <v>3261</v>
      </c>
      <c r="B108" s="7" t="s">
        <v>3260</v>
      </c>
      <c r="C108" s="7" t="s">
        <v>3259</v>
      </c>
      <c r="D108" s="6">
        <v>21200</v>
      </c>
      <c r="E108" s="5">
        <v>7</v>
      </c>
      <c r="F108" s="4" t="str">
        <f ca="1">IFERROR(__xludf.DUMMYFUNCTION("LOWER(REGEXREPLACE(B108&amp;"" ""&amp;C108,""[^а-яa-z0-9 ]"","" ""))"),"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представл"&amp;"ения и навыки планирования действий    комплект входит не менее 66 деталей   азмер упаковки   не менее 34 29 5 6 см   атериал изготовления   дерево ")</f>
        <v xml:space="preserve">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v>
      </c>
      <c r="G108" s="4" t="str">
        <f ca="1">IFERROR(__xludf.DUMMYFUNCTION("TEXTJOIN(""|"",TRUE,UNIQUE(FILTER(SPLIT(F108,"" ""),LEN(SPLIT(F108,"" ""))&gt;2)))"),"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amp;"ования|действий|комплект|входит|менее|деталей|азмер|упаковки|менее|атериал|изготовления|дерево")</f>
        <v>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v>
      </c>
      <c r="I108" s="1"/>
      <c r="J108" s="1"/>
    </row>
    <row r="109" spans="1:10" x14ac:dyDescent="0.2">
      <c r="A109" s="8" t="s">
        <v>3258</v>
      </c>
      <c r="B109" s="7" t="s">
        <v>3257</v>
      </c>
      <c r="C109" s="7" t="s">
        <v>3256</v>
      </c>
      <c r="D109" s="6">
        <v>2300</v>
      </c>
      <c r="E109" s="5">
        <v>14</v>
      </c>
      <c r="F109" s="4" t="str">
        <f ca="1">IFERROR(__xludf.DUMMYFUNCTION("LOWER(REGEXREPLACE(B109&amp;"" ""&amp;C109,""[^а-яa-z0-9 ]"","" ""))"),"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подбор"&amp;"у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f>
        <v xml:space="preserve">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v>
      </c>
      <c r="G109" s="4" t="str">
        <f ca="1">IFERROR(__xludf.DUMMYFUNCTION("TEXTJOIN(""|"",TRUE,UNIQUE(FILTER(SPLIT(F109,"" ""),LEN(SPLIT(F109,"" ""))&gt;2)))"),"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amp;"|акая|деятельность|способствует|формированию|представлений|числе|логике|выполнения|операций|азмер|набора|составляет|менее|атериал|изготовления|дерево")</f>
        <v>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v>
      </c>
      <c r="I109" s="1"/>
      <c r="J109" s="1"/>
    </row>
    <row r="110" spans="1:10" x14ac:dyDescent="0.2">
      <c r="A110" s="8" t="s">
        <v>3255</v>
      </c>
      <c r="B110" s="7" t="s">
        <v>3254</v>
      </c>
      <c r="C110" s="7" t="s">
        <v>3253</v>
      </c>
      <c r="D110" s="6">
        <v>14300</v>
      </c>
      <c r="E110" s="5">
        <v>5</v>
      </c>
      <c r="F110" s="4" t="str">
        <f ca="1">IFERROR(__xludf.DUMMYFUNCTION("LOWER(REGEXREPLACE(B110&amp;"" ""&amp;C110,""[^а-яa-z0-9 ]"","" ""))"),"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"&amp;"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f>
        <v xml:space="preserve">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v>
      </c>
      <c r="G110" s="4" t="str">
        <f ca="1">IFERROR(__xludf.DUMMYFUNCTION("TEXTJOIN(""|"",TRUE,UNIQUE(FILTER(SPLIT(F110,"" ""),LEN(SPLIT(F110,"" ""))&gt;2)))"),"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amp;"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f>
        <v>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v>
      </c>
      <c r="I110" s="1"/>
      <c r="J110" s="1"/>
    </row>
    <row r="111" spans="1:10" x14ac:dyDescent="0.2">
      <c r="A111" s="8" t="s">
        <v>3252</v>
      </c>
      <c r="B111" s="7" t="s">
        <v>3251</v>
      </c>
      <c r="C111" s="7" t="s">
        <v>3250</v>
      </c>
      <c r="D111" s="6">
        <v>312400</v>
      </c>
      <c r="E111" s="5">
        <v>7</v>
      </c>
      <c r="F111" s="4" t="str">
        <f ca="1">IFERROR(__xludf.DUMMYFUNCTION("LOWER(REGEXREPLACE(B111&amp;"" ""&amp;C111,""[^а-яa-z0-9 ]"","" ""))"),"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f>
        <v xml:space="preserve">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v>
      </c>
      <c r="G111" s="4" t="str">
        <f ca="1">IFERROR(__xludf.DUMMYFUNCTION("TEXTJOIN(""|"",TRUE,UNIQUE(FILTER(SPLIT(F111,"" ""),LEN(SPLIT(F111,"" ""))&gt;2)))"),"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f>
        <v>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v>
      </c>
      <c r="I111" s="1"/>
      <c r="J111" s="1"/>
    </row>
    <row r="112" spans="1:10" x14ac:dyDescent="0.2">
      <c r="A112" s="8" t="s">
        <v>3249</v>
      </c>
      <c r="B112" s="7" t="s">
        <v>3248</v>
      </c>
      <c r="C112" s="7" t="s">
        <v>3247</v>
      </c>
      <c r="D112" s="6">
        <v>3800</v>
      </c>
      <c r="E112" s="5">
        <v>55</v>
      </c>
      <c r="F112" s="4" t="str">
        <f ca="1">IFERROR(__xludf.DUMMYFUNCTION("LOWER(REGEXREPLACE(B112&amp;"" ""&amp;C112,""[^а-яa-z0-9 ]"","" ""))"),"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с"&amp;"иденья   оверхность гладкая  допускает мыть  и дезинфекционную обработку   зделие выполнено без острых углов и мелких деталей ")</f>
        <v xml:space="preserve">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v>
      </c>
      <c r="G112" s="4" t="str">
        <f ca="1">IFERROR(__xludf.DUMMYFUNCTION("TEXTJOIN(""|"",TRUE,UNIQUE(FILTER(SPLIT(F112,"" ""),LEN(SPLIT(F112,"" ""))&gt;2)))"),"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amp;"гладкая|допускает|мыть|дезинфекционную|обработку|зделие|выполнено|без|острых|углов|мелких|деталей")</f>
        <v>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v>
      </c>
      <c r="I112" s="1"/>
      <c r="J112" s="1"/>
    </row>
    <row r="113" spans="1:10" x14ac:dyDescent="0.2">
      <c r="A113" s="8" t="s">
        <v>3246</v>
      </c>
      <c r="B113" s="7" t="s">
        <v>3245</v>
      </c>
      <c r="C113" s="7" t="s">
        <v>3244</v>
      </c>
      <c r="D113" s="6">
        <v>13900</v>
      </c>
      <c r="E113" s="5">
        <v>14</v>
      </c>
      <c r="F113" s="4" t="str">
        <f ca="1">IFERROR(__xludf.DUMMYFUNCTION("LOWER(REGEXREPLACE(B113&amp;"" ""&amp;C113,""[^а-яa-z0-9 ]"","" ""))"),"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эки"&amp;"пировку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f>
        <v xml:space="preserve">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v>
      </c>
      <c r="G113" s="4" t="str">
        <f ca="1">IFERROR(__xludf.DUMMYFUNCTION("TEXTJOIN(""|"",TRUE,UNIQUE(FILTER(SPLIT(F113,"" ""),LEN(SPLIT(F113,"" ""))&gt;2)))"),"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amp;"|разыгрываются|рабочие|ситуации|связанные|строительством|ремонтом|лементы|комплекта|выполнены|безопасном|исполнении|рассчитаны|многократное|использование")</f>
        <v>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v>
      </c>
      <c r="I113" s="1"/>
      <c r="J113" s="1"/>
    </row>
    <row r="114" spans="1:10" x14ac:dyDescent="0.2">
      <c r="A114" s="8" t="s">
        <v>3243</v>
      </c>
      <c r="B114" s="7" t="s">
        <v>3242</v>
      </c>
      <c r="C114" s="7" t="s">
        <v>3241</v>
      </c>
      <c r="D114" s="6">
        <v>5300</v>
      </c>
      <c r="E114" s="5">
        <v>25</v>
      </c>
      <c r="F114" s="4" t="str">
        <f ca="1">IFERROR(__xludf.DUMMYFUNCTION("LOWER(REGEXREPLACE(B114&amp;"" ""&amp;C114,""[^а-яa-z0-9 ]"","" ""))"),"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редназ"&amp;"начен для применения в помещениях ")</f>
        <v xml:space="preserve">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v>
      </c>
      <c r="G114" s="4" t="str">
        <f ca="1">IFERROR(__xludf.DUMMYFUNCTION("TEXTJOIN(""|"",TRUE,UNIQUE(FILTER(SPLIT(F114,"" ""),LEN(SPLIT(F114,"" ""))&gt;2)))"),"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amp;"нения|помещениях")</f>
        <v>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v>
      </c>
      <c r="I114" s="1"/>
      <c r="J114" s="1"/>
    </row>
    <row r="115" spans="1:10" x14ac:dyDescent="0.2">
      <c r="A115" s="8" t="s">
        <v>3240</v>
      </c>
      <c r="B115" s="7" t="s">
        <v>3239</v>
      </c>
      <c r="C115" s="7" t="s">
        <v>2382</v>
      </c>
      <c r="D115" s="6">
        <v>19900</v>
      </c>
      <c r="E115" s="5">
        <v>1</v>
      </c>
      <c r="F115" s="4" t="str">
        <f ca="1">IFERROR(__xludf.DUMMYFUNCTION("LOWER(REGEXREPLACE(B115&amp;"" ""&amp;C115,""[^а-яa-z0-9 ]"","" ""))")," етям о  онституции  еспублики  азахстан  спанова   ")</f>
        <v xml:space="preserve"> етям о  онституции  еспублики  азахстан  спанова   </v>
      </c>
      <c r="G115" s="4" t="str">
        <f ca="1">IFERROR(__xludf.DUMMYFUNCTION("TEXTJOIN(""|"",TRUE,UNIQUE(FILTER(SPLIT(F115,"" ""),LEN(SPLIT(F115,"" ""))&gt;2)))"),"етям|онституции|еспублики|азахстан|спанова")</f>
        <v>етям|онституции|еспублики|азахстан|спанова</v>
      </c>
      <c r="I115" s="1"/>
      <c r="J115" s="1"/>
    </row>
    <row r="116" spans="1:10" x14ac:dyDescent="0.2">
      <c r="A116" s="8" t="s">
        <v>3238</v>
      </c>
      <c r="B116" s="7" t="s">
        <v>3237</v>
      </c>
      <c r="C116" s="7" t="s">
        <v>3236</v>
      </c>
      <c r="D116" s="6">
        <v>5900</v>
      </c>
      <c r="E116" s="5">
        <v>5</v>
      </c>
      <c r="F116" s="4" t="str">
        <f ca="1">IFERROR(__xludf.DUMMYFUNCTION("LOWER(REGEXREPLACE(B116&amp;"" ""&amp;C116,""[^а-яa-z0-9 ]"","" ""))"),"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липучкам"&amp;"и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f>
        <v xml:space="preserve">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v>
      </c>
      <c r="G116" s="4" t="str">
        <f ca="1">IFERROR(__xludf.DUMMYFUNCTION("TEXTJOIN(""|"",TRUE,UNIQUE(FILTER(SPLIT(F116,"" ""),LEN(SPLIT(F116,"" ""))&gt;2)))"),"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amp;"чек|закрепление|поле|что|требует|точных|движений|пальцев|рименяется|для|упражнений|сравнение|количеств|атериал|рассчитан|многократное|использование")</f>
        <v>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v>
      </c>
      <c r="I116" s="1"/>
      <c r="J116" s="1"/>
    </row>
    <row r="117" spans="1:10" x14ac:dyDescent="0.2">
      <c r="A117" s="8" t="s">
        <v>3235</v>
      </c>
      <c r="B117" s="7" t="s">
        <v>3234</v>
      </c>
      <c r="C117" s="7" t="s">
        <v>3233</v>
      </c>
      <c r="D117" s="6">
        <v>11700</v>
      </c>
      <c r="E117" s="5">
        <v>8</v>
      </c>
      <c r="F117" s="4" t="str">
        <f ca="1">IFERROR(__xludf.DUMMYFUNCTION("LOWER(REGEXREPLACE(B117&amp;"" ""&amp;C117,""[^а-яa-z0-9 ]"","" ""))"),"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f>
        <v xml:space="preserve">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v>
      </c>
      <c r="G117" s="4" t="str">
        <f ca="1">IFERROR(__xludf.DUMMYFUNCTION("TEXTJOIN(""|"",TRUE,UNIQUE(FILTER(SPLIT(F117,"" ""),LEN(SPLIT(F117,"" ""))&gt;2)))"),"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f>
        <v>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v>
      </c>
      <c r="I117" s="1"/>
      <c r="J117" s="1"/>
    </row>
    <row r="118" spans="1:10" x14ac:dyDescent="0.2">
      <c r="A118" s="8" t="s">
        <v>3232</v>
      </c>
      <c r="B118" s="7" t="s">
        <v>3231</v>
      </c>
      <c r="C118" s="7" t="s">
        <v>3230</v>
      </c>
      <c r="D118" s="6">
        <v>32100</v>
      </c>
      <c r="E118" s="5">
        <v>35</v>
      </c>
      <c r="F118" s="4" t="str">
        <f ca="1">IFERROR(__xludf.DUMMYFUNCTION("LOWER(REGEXREPLACE(B118&amp;"" ""&amp;C118,""[^а-яa-z0-9 ]"","" ""))"),"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"&amp;"и учебной деятельности для формирования координации движений кисти и пальцев   онструкция рассчитана на многократное использование ")</f>
        <v xml:space="preserve">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v>
      </c>
      <c r="G118" s="4" t="str">
        <f ca="1">IFERROR(__xludf.DUMMYFUNCTION("TEXTJOIN(""|"",TRUE,UNIQUE(FILTER(SPLIT(F118,"" ""),LEN(SPLIT(F118,"" ""))&gt;2)))"),"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amp;"льности|для|формирования|координации|движений|кисти|пальцев|онструкция|рассчитана|многократное|использование")</f>
        <v>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v>
      </c>
      <c r="I118" s="1"/>
      <c r="J118" s="1"/>
    </row>
    <row r="119" spans="1:10" x14ac:dyDescent="0.2">
      <c r="A119" s="8" t="s">
        <v>3229</v>
      </c>
      <c r="B119" s="7" t="s">
        <v>3228</v>
      </c>
      <c r="C119" s="7" t="s">
        <v>3227</v>
      </c>
      <c r="D119" s="6">
        <v>26200</v>
      </c>
      <c r="E119" s="5">
        <v>1</v>
      </c>
      <c r="F119" s="4" t="str">
        <f ca="1">IFERROR(__xludf.DUMMYFUNCTION("LOWER(REGEXREPLACE(B119&amp;"" ""&amp;C119,""[^а-яa-z0-9 ]"","" ""))"),"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р"&amp;"именяется при игровых и проективных заданиях   атериал изготовления   дерево ")</f>
        <v xml:space="preserve">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v>
      </c>
      <c r="G119" s="4" t="str">
        <f ca="1">IFERROR(__xludf.DUMMYFUNCTION("TEXTJOIN(""|"",TRUE,UNIQUE(FILTER(SPLIT(F119,"" ""),LEN(SPLIT(F119,"" ""))&gt;2)))"),"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amp;"роективных|заданиях|атериал|изготовления|дерево")</f>
        <v>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v>
      </c>
      <c r="I119" s="1"/>
      <c r="J119" s="1"/>
    </row>
    <row r="120" spans="1:10" x14ac:dyDescent="0.2">
      <c r="A120" s="8" t="s">
        <v>3226</v>
      </c>
      <c r="B120" s="7" t="s">
        <v>3225</v>
      </c>
      <c r="C120" s="7" t="s">
        <v>3224</v>
      </c>
      <c r="D120" s="6">
        <v>30400</v>
      </c>
      <c r="E120" s="5">
        <v>43</v>
      </c>
      <c r="F120" s="4" t="str">
        <f ca="1">IFERROR(__xludf.DUMMYFUNCTION("LOWER(REGEXREPLACE(B120&amp;"" ""&amp;C120,""[^а-яa-z0-9 ]"","" ""))"),"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рим"&amp;"еняется при индивидуальной и групповой работе   гры направлены на закрепление базовых представлений об окружающем мире ")</f>
        <v xml:space="preserve">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v>
      </c>
      <c r="G120" s="4" t="str">
        <f ca="1">IFERROR(__xludf.DUMMYFUNCTION("TEXTJOIN(""|"",TRUE,UNIQUE(FILTER(SPLIT(F120,"" ""),LEN(SPLIT(F120,"" ""))&gt;2)))"),"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amp;"|работе|гры|направлены|закрепление|базовых|представлений|окружающем|мире")</f>
        <v>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v>
      </c>
      <c r="I120" s="1"/>
      <c r="J120" s="1"/>
    </row>
    <row r="121" spans="1:10" x14ac:dyDescent="0.2">
      <c r="A121" s="8" t="s">
        <v>3223</v>
      </c>
      <c r="B121" s="7" t="s">
        <v>3222</v>
      </c>
      <c r="C121" s="7" t="s">
        <v>3221</v>
      </c>
      <c r="D121" s="6">
        <v>8700</v>
      </c>
      <c r="E121" s="5">
        <v>1</v>
      </c>
      <c r="F121" s="4" t="str">
        <f ca="1">IFERROR(__xludf.DUMMYFUNCTION("LOWER(REGEXREPLACE(B121&amp;"" ""&amp;C121,""[^а-яa-z0-9 ]"","" ""))"),"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содержания"&amp;" комплекта ")</f>
        <v xml:space="preserve">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v>
      </c>
      <c r="G121" s="4" t="str">
        <f ca="1">IFERROR(__xludf.DUMMYFUNCTION("TEXTJOIN(""|"",TRUE,UNIQUE(FILTER(SPLIT(F121,"" ""),LEN(SPLIT(F121,"" ""))&gt;2)))"),"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f>
        <v>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v>
      </c>
      <c r="I121" s="1"/>
      <c r="J121" s="1"/>
    </row>
    <row r="122" spans="1:10" x14ac:dyDescent="0.2">
      <c r="A122" s="8" t="s">
        <v>3220</v>
      </c>
      <c r="B122" s="7" t="s">
        <v>3219</v>
      </c>
      <c r="C122" s="7" t="s">
        <v>3218</v>
      </c>
      <c r="D122" s="6">
        <v>10500</v>
      </c>
      <c r="E122" s="5">
        <v>1</v>
      </c>
      <c r="F122" s="4" t="str">
        <f ca="1">IFERROR(__xludf.DUMMYFUNCTION("LOWER(REGEXREPLACE(B122&amp;"" ""&amp;C122,""[^а-яa-z0-9 ]"","" ""))"),"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подбир"&amp;"ается в зависимости от вида сенсорных упражнений ")</f>
        <v xml:space="preserve">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v>
      </c>
      <c r="G122" s="4" t="str">
        <f ca="1">IFERROR(__xludf.DUMMYFUNCTION("TEXTJOIN(""|"",TRUE,UNIQUE(FILTER(SPLIT(F122,"" ""),LEN(SPLIT(F122,"" ""))&gt;2)))"),"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amp;"|вида|сенсорных|упражнений")</f>
        <v>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v>
      </c>
      <c r="I122" s="1"/>
      <c r="J122" s="1"/>
    </row>
    <row r="123" spans="1:10" x14ac:dyDescent="0.2">
      <c r="A123" s="8" t="s">
        <v>3217</v>
      </c>
      <c r="B123" s="7" t="s">
        <v>3216</v>
      </c>
      <c r="C123" s="7" t="s">
        <v>3215</v>
      </c>
      <c r="D123" s="6">
        <v>12400</v>
      </c>
      <c r="E123" s="5">
        <v>1</v>
      </c>
      <c r="F123" s="4" t="str">
        <f ca="1">IFERROR(__xludf.DUMMYFUNCTION("LOWER(REGEXREPLACE(B123&amp;"" ""&amp;C123,""[^а-яa-z0-9 ]"","" ""))"),"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4"&amp;"0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называни"&amp;"е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допускае"&amp;"т регулярную очистку  используется под контролем педагога ")</f>
        <v xml:space="preserve">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v>
      </c>
      <c r="G123" s="4" t="str">
        <f ca="1">IFERROR(__xludf.DUMMYFUNCTION("TEXTJOIN(""|"",TRUE,UNIQUE(FILTER(SPLIT(F123,"" ""),LEN(SPLIT(F123,"" ""))&gt;2)))"),"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amp;"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amp;"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f>
        <v>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v>
      </c>
      <c r="I123" s="1"/>
      <c r="J123" s="1"/>
    </row>
    <row r="124" spans="1:10" x14ac:dyDescent="0.2">
      <c r="A124" s="8" t="s">
        <v>3214</v>
      </c>
      <c r="B124" s="7" t="s">
        <v>3213</v>
      </c>
      <c r="C124" s="7" t="s">
        <v>763</v>
      </c>
      <c r="D124" s="6">
        <v>27000</v>
      </c>
      <c r="E124" s="5">
        <v>1</v>
      </c>
      <c r="F124" s="4" t="str">
        <f ca="1">IFERROR(__xludf.DUMMYFUNCTION("LOWER(REGEXREPLACE(B124&amp;"" ""&amp;C124,""[^а-яa-z0-9 ]"","" ""))")," инмухамед  унаев   нига альбом к 110 летию со дня рождения  ужикова   ")</f>
        <v xml:space="preserve"> инмухамед  унаев   нига альбом к 110 летию со дня рождения  ужикова   </v>
      </c>
      <c r="G124" s="4" t="str">
        <f ca="1">IFERROR(__xludf.DUMMYFUNCTION("TEXTJOIN(""|"",TRUE,UNIQUE(FILTER(SPLIT(F124,"" ""),LEN(SPLIT(F124,"" ""))&gt;2)))"),"инмухамед|унаев|нига|альбом|110|летию|дня|рождения|ужикова")</f>
        <v>инмухамед|унаев|нига|альбом|110|летию|дня|рождения|ужикова</v>
      </c>
      <c r="I124" s="1"/>
      <c r="J124" s="1"/>
    </row>
    <row r="125" spans="1:10" x14ac:dyDescent="0.2">
      <c r="A125" s="8" t="s">
        <v>3212</v>
      </c>
      <c r="B125" s="7" t="s">
        <v>3211</v>
      </c>
      <c r="C125" s="7" t="s">
        <v>3210</v>
      </c>
      <c r="D125" s="6">
        <v>13300</v>
      </c>
      <c r="E125" s="5">
        <v>1</v>
      </c>
      <c r="F125" s="4" t="str">
        <f ca="1">IFERROR(__xludf.DUMMYFUNCTION("LOWER(REGEXREPLACE(B125&amp;"" ""&amp;C125,""[^а-яa-z0-9 ]"","" ""))")," инозаврлар   алы тырмайтын энциклопедия  огаэр   ")</f>
        <v xml:space="preserve"> инозаврлар   алы тырмайтын энциклопедия  огаэр   </v>
      </c>
      <c r="G125" s="4" t="str">
        <f ca="1">IFERROR(__xludf.DUMMYFUNCTION("TEXTJOIN(""|"",TRUE,UNIQUE(FILTER(SPLIT(F125,"" ""),LEN(SPLIT(F125,"" ""))&gt;2)))"),"инозаврлар|алы|тырмайтын|энциклопедия|огаэр")</f>
        <v>инозаврлар|алы|тырмайтын|энциклопедия|огаэр</v>
      </c>
      <c r="I125" s="1"/>
      <c r="J125" s="1"/>
    </row>
    <row r="126" spans="1:10" x14ac:dyDescent="0.2">
      <c r="A126" s="8" t="s">
        <v>3209</v>
      </c>
      <c r="B126" s="7" t="s">
        <v>3208</v>
      </c>
      <c r="C126" s="7" t="s">
        <v>695</v>
      </c>
      <c r="D126" s="6">
        <v>22800</v>
      </c>
      <c r="E126" s="5">
        <v>1</v>
      </c>
      <c r="F126" s="4" t="str">
        <f ca="1">IFERROR(__xludf.DUMMYFUNCTION("LOWER(REGEXREPLACE(B126&amp;"" ""&amp;C126,""[^а-яa-z0-9 ]"","" ""))")," обро пожаловать   аурыз   книга   сундучок      спанова")</f>
        <v xml:space="preserve"> обро пожаловать   аурыз   книга   сундучок      спанова</v>
      </c>
      <c r="G126" s="4" t="str">
        <f ca="1">IFERROR(__xludf.DUMMYFUNCTION("TEXTJOIN(""|"",TRUE,UNIQUE(FILTER(SPLIT(F126,"" ""),LEN(SPLIT(F126,"" ""))&gt;2)))"),"обро|пожаловать|аурыз|книга|сундучок|спанова")</f>
        <v>обро|пожаловать|аурыз|книга|сундучок|спанова</v>
      </c>
      <c r="I126" s="1"/>
      <c r="J126" s="1"/>
    </row>
    <row r="127" spans="1:10" x14ac:dyDescent="0.2">
      <c r="A127" s="8" t="s">
        <v>3207</v>
      </c>
      <c r="B127" s="7" t="s">
        <v>3206</v>
      </c>
      <c r="C127" s="7" t="s">
        <v>3205</v>
      </c>
      <c r="D127" s="6">
        <v>36100</v>
      </c>
      <c r="E127" s="5">
        <v>35</v>
      </c>
      <c r="F127" s="4" t="str">
        <f ca="1">IFERROR(__xludf.DUMMYFUNCTION("LOWER(REGEXREPLACE(B127&amp;"" ""&amp;C127,""[^а-яa-z0-9 ]"","" ""))"),"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атери"&amp;"ал изготовления   дерево ")</f>
        <v xml:space="preserve">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v>
      </c>
      <c r="G127" s="4" t="str">
        <f ca="1">IFERROR(__xludf.DUMMYFUNCTION("TEXTJOIN(""|"",TRUE,UNIQUE(FILTER(SPLIT(F127,"" ""),LEN(SPLIT(F127,"" ""))&gt;2)))"),"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f>
        <v>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v>
      </c>
      <c r="I127" s="1"/>
      <c r="J127" s="1"/>
    </row>
    <row r="128" spans="1:10" x14ac:dyDescent="0.2">
      <c r="A128" s="8" t="s">
        <v>3204</v>
      </c>
      <c r="B128" s="7" t="s">
        <v>3203</v>
      </c>
      <c r="C128" s="7" t="s">
        <v>3202</v>
      </c>
      <c r="D128" s="6">
        <v>15600</v>
      </c>
      <c r="E128" s="5">
        <v>50</v>
      </c>
      <c r="F128" s="4" t="str">
        <f ca="1">IFERROR(__xludf.DUMMYFUNCTION("LOWER(REGEXREPLACE(B128&amp;"" ""&amp;C128,""[^а-яa-z0-9 ]"","" ""))"),"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f>
        <v xml:space="preserve">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v>
      </c>
      <c r="G128" s="4" t="str">
        <f ca="1">IFERROR(__xludf.DUMMYFUNCTION("TEXTJOIN(""|"",TRUE,UNIQUE(FILTER(SPLIT(F128,"" ""),LEN(SPLIT(F128,"" ""))&gt;2)))"),"шалар|нтеллектум|гра|предназначена|для|тренировки|определения|места|предмета|пространстве|сравнения|сопоставления|развития|логического|мышления|ребенка")</f>
        <v>шалар|нтеллектум|гра|предназначена|для|тренировки|определения|места|предмета|пространстве|сравнения|сопоставления|развития|логического|мышления|ребенка</v>
      </c>
      <c r="I128" s="1"/>
      <c r="J128" s="1"/>
    </row>
    <row r="129" spans="1:10" x14ac:dyDescent="0.2">
      <c r="A129" s="8" t="s">
        <v>3201</v>
      </c>
      <c r="B129" s="7" t="s">
        <v>3200</v>
      </c>
      <c r="C129" s="7" t="s">
        <v>3199</v>
      </c>
      <c r="D129" s="6">
        <v>4900</v>
      </c>
      <c r="E129" s="5">
        <v>35</v>
      </c>
      <c r="F129" s="4" t="str">
        <f ca="1">IFERROR(__xludf.DUMMYFUNCTION("LOWER(REGEXREPLACE(B129&amp;"" ""&amp;C129,""[^а-яa-z0-9 ]"","" ""))"),"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мышле"&amp;"ния   ишки выполнены из дерева ")</f>
        <v xml:space="preserve">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v>
      </c>
      <c r="G129" s="4" t="str">
        <f ca="1">IFERROR(__xludf.DUMMYFUNCTION("TEXTJOIN(""|"",TRUE,UNIQUE(FILTER(SPLIT(F129,"" ""),LEN(SPLIT(F129,"" ""))&gt;2)))"),"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amp;"|дерева")</f>
        <v>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v>
      </c>
      <c r="I129" s="1"/>
      <c r="J129" s="1"/>
    </row>
    <row r="130" spans="1:10" x14ac:dyDescent="0.2">
      <c r="A130" s="8" t="s">
        <v>3198</v>
      </c>
      <c r="B130" s="7" t="s">
        <v>3197</v>
      </c>
      <c r="C130" s="7" t="s">
        <v>3196</v>
      </c>
      <c r="D130" s="6">
        <v>4900</v>
      </c>
      <c r="E130" s="5">
        <v>35</v>
      </c>
      <c r="F130" s="4" t="str">
        <f ca="1">IFERROR(__xludf.DUMMYFUNCTION("LOWER(REGEXREPLACE(B130&amp;"" ""&amp;C130,""[^а-яa-z0-9 ]"","" ""))"),"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совм"&amp;"естной игры ")</f>
        <v xml:space="preserve">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v>
      </c>
      <c r="G130" s="4" t="str">
        <f ca="1">IFERROR(__xludf.DUMMYFUNCTION("TEXTJOIN(""|"",TRUE,UNIQUE(FILTER(SPLIT(F130,"" ""),LEN(SPLIT(F130,"" ""))&gt;2)))"),"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f>
        <v>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v>
      </c>
      <c r="I130" s="1"/>
      <c r="J130" s="1"/>
    </row>
    <row r="131" spans="1:10" x14ac:dyDescent="0.2">
      <c r="A131" s="8" t="s">
        <v>3195</v>
      </c>
      <c r="B131" s="7" t="s">
        <v>3194</v>
      </c>
      <c r="C131" s="7" t="s">
        <v>3193</v>
      </c>
      <c r="D131" s="6">
        <v>4900</v>
      </c>
      <c r="E131" s="5">
        <v>35</v>
      </c>
      <c r="F131" s="4" t="str">
        <f ca="1">IFERROR(__xludf.DUMMYFUNCTION("LOWER(REGEXREPLACE(B131&amp;"" ""&amp;C131,""[^а-яa-z0-9 ]"","" ""))"),"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исп"&amp;"ользование ")</f>
        <v xml:space="preserve">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v>
      </c>
      <c r="G131" s="4" t="str">
        <f ca="1">IFERROR(__xludf.DUMMYFUNCTION("TEXTJOIN(""|"",TRUE,UNIQUE(FILTER(SPLIT(F131,"" ""),LEN(SPLIT(F131,"" ""))&gt;2)))"),"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f>
        <v>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v>
      </c>
      <c r="I131" s="1"/>
      <c r="J131" s="1"/>
    </row>
    <row r="132" spans="1:10" x14ac:dyDescent="0.2">
      <c r="A132" s="8" t="s">
        <v>3192</v>
      </c>
      <c r="B132" s="7" t="s">
        <v>3191</v>
      </c>
      <c r="C132" s="7" t="s">
        <v>3190</v>
      </c>
      <c r="D132" s="6">
        <v>4900</v>
      </c>
      <c r="E132" s="5">
        <v>35</v>
      </c>
      <c r="F132" s="4" t="str">
        <f ca="1">IFERROR(__xludf.DUMMYFUNCTION("LOWER(REGEXREPLACE(B132&amp;"" ""&amp;C132,""[^а-яa-z0-9 ]"","" ""))"),"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рас"&amp;"считана на индивидуальное и совместное использование ")</f>
        <v xml:space="preserve">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v>
      </c>
      <c r="G132" s="4" t="str">
        <f ca="1">IFERROR(__xludf.DUMMYFUNCTION("TEXTJOIN(""|"",TRUE,UNIQUE(FILTER(SPLIT(F132,"" ""),LEN(SPLIT(F132,"" ""))&gt;2)))"),"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amp;"е|совместное|использование")</f>
        <v>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v>
      </c>
      <c r="I132" s="1"/>
      <c r="J132" s="1"/>
    </row>
    <row r="133" spans="1:10" x14ac:dyDescent="0.2">
      <c r="A133" s="8" t="s">
        <v>3189</v>
      </c>
      <c r="B133" s="7" t="s">
        <v>3188</v>
      </c>
      <c r="C133" s="7" t="s">
        <v>3187</v>
      </c>
      <c r="D133" s="6">
        <v>4900</v>
      </c>
      <c r="E133" s="5">
        <v>14</v>
      </c>
      <c r="F133" s="4" t="str">
        <f ca="1">IFERROR(__xludf.DUMMYFUNCTION("LOWER(REGEXREPLACE(B133&amp;"" ""&amp;C133,""[^а-яa-z0-9 ]"","" ""))"),"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способствуе"&amp;"т развитию внимания  зрительного восприятия и навыков следования правилам   омплект включает не менее 28 фишек   атериал изготовления   фанера  дерево  ")</f>
        <v xml:space="preserve">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v>
      </c>
      <c r="G133" s="4" t="str">
        <f ca="1">IFERROR(__xludf.DUMMYFUNCTION("TEXTJOIN(""|"",TRUE,UNIQUE(FILTER(SPLIT(F133,"" ""),LEN(SPLIT(F133,"" ""))&gt;2)))"),"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amp;"ельного|восприятия|навыков|следования|правилам|омплект|включает|менее|фишек|атериал|изготовления|фанера|дерево")</f>
        <v>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v>
      </c>
      <c r="I133" s="1"/>
      <c r="J133" s="1"/>
    </row>
    <row r="134" spans="1:10" x14ac:dyDescent="0.2">
      <c r="A134" s="8" t="s">
        <v>3186</v>
      </c>
      <c r="B134" s="7" t="s">
        <v>3185</v>
      </c>
      <c r="C134" s="7" t="s">
        <v>3184</v>
      </c>
      <c r="D134" s="6">
        <v>3400</v>
      </c>
      <c r="E134" s="5">
        <v>7</v>
      </c>
      <c r="F134" s="4" t="str">
        <f ca="1">IFERROR(__xludf.DUMMYFUNCTION("LOWER(REGEXREPLACE(B134&amp;"" ""&amp;C134,""[^а-яa-z0-9 ]"","" ""))"),"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рассчитан"&amp;"ы на многократное использование ")</f>
        <v xml:space="preserve">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v>
      </c>
      <c r="G134" s="4" t="str">
        <f ca="1">IFERROR(__xludf.DUMMYFUNCTION("TEXTJOIN(""|"",TRUE,UNIQUE(FILTER(SPLIT(F134,"" ""),LEN(SPLIT(F134,"" ""))&gt;2)))"),"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amp;"ользование")</f>
        <v>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v>
      </c>
      <c r="I134" s="1"/>
      <c r="J134" s="1"/>
    </row>
    <row r="135" spans="1:10" x14ac:dyDescent="0.2">
      <c r="A135" s="8" t="s">
        <v>3183</v>
      </c>
      <c r="B135" s="7" t="s">
        <v>3182</v>
      </c>
      <c r="C135" s="7" t="s">
        <v>3181</v>
      </c>
      <c r="D135" s="6">
        <v>28100</v>
      </c>
      <c r="E135" s="5">
        <v>1</v>
      </c>
      <c r="F135" s="4" t="str">
        <f ca="1">IFERROR(__xludf.DUMMYFUNCTION("LOWER(REGEXREPLACE(B135&amp;"" ""&amp;C135,""[^а-яa-z0-9 ]"","" ""))"),"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формировани"&amp;"я эмоциональной осознанности ")</f>
        <v xml:space="preserve">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v>
      </c>
      <c r="G135" s="4" t="str">
        <f ca="1">IFERROR(__xludf.DUMMYFUNCTION("TEXTJOIN(""|"",TRUE,UNIQUE(FILTER(SPLIT(F135,"" ""),LEN(SPLIT(F135,"" ""))&gt;2)))"),"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amp;"ознанности")</f>
        <v>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v>
      </c>
      <c r="I135" s="1"/>
      <c r="J135" s="1"/>
    </row>
    <row r="136" spans="1:10" x14ac:dyDescent="0.2">
      <c r="A136" s="8" t="s">
        <v>3180</v>
      </c>
      <c r="B136" s="7" t="s">
        <v>3179</v>
      </c>
      <c r="C136" s="7" t="s">
        <v>3178</v>
      </c>
      <c r="D136" s="6">
        <v>36000</v>
      </c>
      <c r="E136" s="5">
        <v>1</v>
      </c>
      <c r="F136" s="4" t="str">
        <f ca="1">IFERROR(__xludf.DUMMYFUNCTION("LOWER(REGEXREPLACE(B136&amp;"" ""&amp;C136,""[^а-яa-z0-9 ]"","" ""))"),"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f>
        <v xml:space="preserve">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v>
      </c>
      <c r="G136" s="4" t="str">
        <f ca="1">IFERROR(__xludf.DUMMYFUNCTION("TEXTJOIN(""|"",TRUE,UNIQUE(FILTER(SPLIT(F136,"" ""),LEN(SPLIT(F136,"" ""))&gt;2)))"),"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f>
        <v>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v>
      </c>
      <c r="I136" s="1"/>
      <c r="J136" s="1"/>
    </row>
    <row r="137" spans="1:10" x14ac:dyDescent="0.2">
      <c r="A137" s="8" t="s">
        <v>3177</v>
      </c>
      <c r="B137" s="7" t="s">
        <v>3176</v>
      </c>
      <c r="C137" s="7" t="s">
        <v>3175</v>
      </c>
      <c r="D137" s="6">
        <v>45000</v>
      </c>
      <c r="E137" s="5">
        <v>9</v>
      </c>
      <c r="F137" s="4" t="str">
        <f ca="1">IFERROR(__xludf.DUMMYFUNCTION("LOWER(REGEXREPLACE(B137&amp;"" ""&amp;C137,""[^а-яa-z0-9 ]"","" ""))"),"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f>
        <v xml:space="preserve">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v>
      </c>
      <c r="G137" s="4" t="str">
        <f ca="1">IFERROR(__xludf.DUMMYFUNCTION("TEXTJOIN(""|"",TRUE,UNIQUE(FILTER(SPLIT(F137,"" ""),LEN(SPLIT(F137,"" ""))&gt;2)))"),"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f>
        <v>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v>
      </c>
      <c r="I137" s="1"/>
      <c r="J137" s="1"/>
    </row>
    <row r="138" spans="1:10" x14ac:dyDescent="0.2">
      <c r="A138" s="8" t="s">
        <v>3174</v>
      </c>
      <c r="B138" s="7" t="s">
        <v>3173</v>
      </c>
      <c r="C138" s="7"/>
      <c r="D138" s="6">
        <v>1700</v>
      </c>
      <c r="E138" s="5">
        <v>1</v>
      </c>
      <c r="F138" s="4" t="str">
        <f ca="1">IFERROR(__xludf.DUMMYFUNCTION("LOWER(REGEXREPLACE(B138&amp;"" ""&amp;C138,""[^а-яa-z0-9 ]"","" ""))")," остарды  алай та даймын   ак завести друзей   ow to make friends  каз   рус   англ яз   ")</f>
        <v xml:space="preserve"> остарды  алай та даймын   ак завести друзей   ow to make friends  каз   рус   англ яз   </v>
      </c>
      <c r="G138" s="4" t="str">
        <f ca="1">IFERROR(__xludf.DUMMYFUNCTION("TEXTJOIN(""|"",TRUE,UNIQUE(FILTER(SPLIT(F138,"" ""),LEN(SPLIT(F138,"" ""))&gt;2)))"),"остарды|алай|даймын|завести|друзей|make|friends|каз|рус|англ")</f>
        <v>остарды|алай|даймын|завести|друзей|make|friends|каз|рус|англ</v>
      </c>
      <c r="I138" s="1"/>
      <c r="J138" s="1"/>
    </row>
    <row r="139" spans="1:10" x14ac:dyDescent="0.2">
      <c r="A139" s="8" t="s">
        <v>3172</v>
      </c>
      <c r="B139" s="7" t="s">
        <v>3171</v>
      </c>
      <c r="C139" s="7" t="s">
        <v>3170</v>
      </c>
      <c r="D139" s="6">
        <v>20500</v>
      </c>
      <c r="E139" s="5">
        <v>50</v>
      </c>
      <c r="F139" s="4" t="str">
        <f ca="1">IFERROR(__xludf.DUMMYFUNCTION("LOWER(REGEXREPLACE(B139&amp;"" ""&amp;C139,""[^а-яa-z0-9 ]"","" ""))"),"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карт"&amp;"ы   4 шт    инструкция   1 шт    голубые карты   15 шт    фиолетовые карты   15 шт  ")</f>
        <v xml:space="preserve">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v>
      </c>
      <c r="G139" s="4" t="str">
        <f ca="1">IFERROR(__xludf.DUMMYFUNCTION("TEXTJOIN(""|"",TRUE,UNIQUE(FILTER(SPLIT(F139,"" ""),LEN(SPLIT(F139,"" ""))&gt;2)))"),"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f>
        <v>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v>
      </c>
      <c r="I139" s="1"/>
      <c r="J139" s="1"/>
    </row>
    <row r="140" spans="1:10" x14ac:dyDescent="0.2">
      <c r="A140" s="8" t="s">
        <v>3169</v>
      </c>
      <c r="B140" s="7" t="s">
        <v>3168</v>
      </c>
      <c r="C140" s="7" t="s">
        <v>3167</v>
      </c>
      <c r="D140" s="6">
        <v>72200</v>
      </c>
      <c r="E140" s="5">
        <v>2</v>
      </c>
      <c r="F140" s="4" t="str">
        <f ca="1">IFERROR(__xludf.DUMMYFUNCTION("LOWER(REGEXREPLACE(B140&amp;"" ""&amp;C140,""[^а-яa-z0-9 ]"","" ""))"),"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по"&amp;"крыты безопасной краской    комплект входят дуги разных размеров ")</f>
        <v xml:space="preserve">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v>
      </c>
      <c r="G140" s="4" t="str">
        <f ca="1">IFERROR(__xludf.DUMMYFUNCTION("TEXTJOIN(""|"",TRUE,UNIQUE(FILTER(SPLIT(F140,"" ""),LEN(SPLIT(F140,"" ""))&gt;2)))"),"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amp;"мплект|входят|дуги|разных|размеров")</f>
        <v>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v>
      </c>
      <c r="I140" s="1"/>
      <c r="J140" s="1"/>
    </row>
    <row r="141" spans="1:10" x14ac:dyDescent="0.2">
      <c r="A141" s="8" t="s">
        <v>3166</v>
      </c>
      <c r="B141" s="7" t="s">
        <v>3165</v>
      </c>
      <c r="C141" s="7" t="s">
        <v>3164</v>
      </c>
      <c r="D141" s="6">
        <v>218500</v>
      </c>
      <c r="E141" s="5">
        <v>20</v>
      </c>
      <c r="F141" s="4" t="str">
        <f ca="1">IFERROR(__xludf.DUMMYFUNCTION("LOWER(REGEXREPLACE(B141&amp;"" ""&amp;C141,""[^а-яa-z0-9 ]"","" ""))"),"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нержавеюще"&amp;"й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испол"&amp;"ьзование ")</f>
        <v xml:space="preserve">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v>
      </c>
      <c r="G141" s="4" t="str">
        <f ca="1">IFERROR(__xludf.DUMMYFUNCTION("TEXTJOIN(""|"",TRUE,UNIQUE(FILTER(SPLIT(F141,"" ""),LEN(SPLIT(F141,"" ""))&gt;2)))"),"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amp;"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f>
        <v>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v>
      </c>
      <c r="I141" s="1"/>
      <c r="J141" s="1"/>
    </row>
    <row r="142" spans="1:10" x14ac:dyDescent="0.2">
      <c r="A142" s="8" t="s">
        <v>3163</v>
      </c>
      <c r="B142" s="7" t="s">
        <v>3162</v>
      </c>
      <c r="C142" s="7" t="s">
        <v>3161</v>
      </c>
      <c r="D142" s="6">
        <v>8600</v>
      </c>
      <c r="E142" s="5">
        <v>5</v>
      </c>
      <c r="F142" s="4" t="str">
        <f ca="1">IFERROR(__xludf.DUMMYFUNCTION("LOWER(REGEXREPLACE(B142&amp;"" ""&amp;C142,""[^а-яa-z0-9 ]"","" ""))"),"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испол"&amp;"ьзуются для игровых заданий   рименяется при логопедической работе ")</f>
        <v xml:space="preserve">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v>
      </c>
      <c r="G142" s="4" t="str">
        <f ca="1">IFERROR(__xludf.DUMMYFUNCTION("TEXTJOIN(""|"",TRUE,UNIQUE(FILTER(SPLIT(F142,"" ""),LEN(SPLIT(F142,"" ""))&gt;2)))"),"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amp;"ний|рименяется|при|логопедической|работе")</f>
        <v>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v>
      </c>
      <c r="I142" s="1"/>
      <c r="J142" s="1"/>
    </row>
    <row r="143" spans="1:10" x14ac:dyDescent="0.2">
      <c r="A143" s="8" t="s">
        <v>3160</v>
      </c>
      <c r="B143" s="7" t="s">
        <v>3159</v>
      </c>
      <c r="C143" s="7" t="s">
        <v>3158</v>
      </c>
      <c r="D143" s="6">
        <v>2200</v>
      </c>
      <c r="E143" s="5">
        <v>1</v>
      </c>
      <c r="F143" s="4" t="str">
        <f ca="1">IFERROR(__xludf.DUMMYFUNCTION("LOWER(REGEXREPLACE(B143&amp;"" ""&amp;C143,""[^а-яa-z0-9 ]"","" ""))")," г здер   лендер жина ы  аянбай   ")</f>
        <v xml:space="preserve"> г здер   лендер жина ы  аянбай   </v>
      </c>
      <c r="G143" s="4" t="str">
        <f ca="1">IFERROR(__xludf.DUMMYFUNCTION("TEXTJOIN(""|"",TRUE,UNIQUE(FILTER(SPLIT(F143,"" ""),LEN(SPLIT(F143,"" ""))&gt;2)))"),"здер|лендер|жина|аянбай")</f>
        <v>здер|лендер|жина|аянбай</v>
      </c>
      <c r="I143" s="1"/>
      <c r="J143" s="1"/>
    </row>
    <row r="144" spans="1:10" x14ac:dyDescent="0.2">
      <c r="A144" s="8" t="s">
        <v>3157</v>
      </c>
      <c r="B144" s="7" t="s">
        <v>3156</v>
      </c>
      <c r="C144" s="7" t="s">
        <v>2355</v>
      </c>
      <c r="D144" s="6">
        <v>6600</v>
      </c>
      <c r="E144" s="5">
        <v>1</v>
      </c>
      <c r="F144" s="4" t="str">
        <f ca="1">IFERROR(__xludf.DUMMYFUNCTION("LOWER(REGEXREPLACE(B144&amp;"" ""&amp;C144,""[^а-яa-z0-9 ]"","" ""))")," р  аргын  рус   англ    дапт   умисбаев   ")</f>
        <v xml:space="preserve"> р  аргын  рус   англ    дапт   умисбаев   </v>
      </c>
      <c r="G144" s="4" t="str">
        <f ca="1">IFERROR(__xludf.DUMMYFUNCTION("TEXTJOIN(""|"",TRUE,UNIQUE(FILTER(SPLIT(F144,"" ""),LEN(SPLIT(F144,"" ""))&gt;2)))"),"аргын|рус|англ|дапт|умисбаев")</f>
        <v>аргын|рус|англ|дапт|умисбаев</v>
      </c>
      <c r="I144" s="1"/>
      <c r="J144" s="1"/>
    </row>
    <row r="145" spans="1:10" x14ac:dyDescent="0.2">
      <c r="A145" s="8" t="s">
        <v>3155</v>
      </c>
      <c r="B145" s="7" t="s">
        <v>3154</v>
      </c>
      <c r="C145" s="7" t="s">
        <v>2349</v>
      </c>
      <c r="D145" s="6">
        <v>6600</v>
      </c>
      <c r="E145" s="5">
        <v>1</v>
      </c>
      <c r="F145" s="4" t="str">
        <f ca="1">IFERROR(__xludf.DUMMYFUNCTION("LOWER(REGEXREPLACE(B145&amp;"" ""&amp;C145,""[^а-яa-z0-9 ]"","" ""))")," р  ар ын  каз   агылш    ей мдеген    ум сбаев")</f>
        <v xml:space="preserve"> р  ар ын  каз   агылш    ей мдеген    ум сбаев</v>
      </c>
      <c r="G145" s="4" t="str">
        <f ca="1">IFERROR(__xludf.DUMMYFUNCTION("TEXTJOIN(""|"",TRUE,UNIQUE(FILTER(SPLIT(F145,"" ""),LEN(SPLIT(F145,"" ""))&gt;2)))"),"каз|агылш|мдеген|сбаев")</f>
        <v>каз|агылш|мдеген|сбаев</v>
      </c>
      <c r="I145" s="1"/>
      <c r="J145" s="1"/>
    </row>
    <row r="146" spans="1:10" x14ac:dyDescent="0.2">
      <c r="A146" s="8" t="s">
        <v>3153</v>
      </c>
      <c r="B146" s="7" t="s">
        <v>3152</v>
      </c>
      <c r="C146" s="7" t="s">
        <v>3133</v>
      </c>
      <c r="D146" s="6">
        <v>800</v>
      </c>
      <c r="E146" s="5">
        <v>1</v>
      </c>
      <c r="F146" s="4" t="str">
        <f ca="1">IFERROR(__xludf.DUMMYFUNCTION("LOWER(REGEXREPLACE(B146&amp;"" ""&amp;C146,""[^а-яa-z0-9 ]"","" ""))")," ртег лер   та анамен о имыз  1 б л м    растыр ан    усупова")</f>
        <v xml:space="preserve"> ртег лер   та анамен о имыз  1 б л м    растыр ан    усупова</v>
      </c>
      <c r="G146" s="4" t="str">
        <f ca="1">IFERROR(__xludf.DUMMYFUNCTION("TEXTJOIN(""|"",TRUE,UNIQUE(FILTER(SPLIT(F146,"" ""),LEN(SPLIT(F146,"" ""))&gt;2)))"),"ртег|лер|анамен|имыз|растыр|усупова")</f>
        <v>ртег|лер|анамен|имыз|растыр|усупова</v>
      </c>
      <c r="I146" s="1"/>
      <c r="J146" s="1"/>
    </row>
    <row r="147" spans="1:10" x14ac:dyDescent="0.2">
      <c r="A147" s="8" t="s">
        <v>3151</v>
      </c>
      <c r="B147" s="7" t="s">
        <v>3150</v>
      </c>
      <c r="C147" s="7" t="s">
        <v>3133</v>
      </c>
      <c r="D147" s="6">
        <v>800</v>
      </c>
      <c r="E147" s="5">
        <v>1</v>
      </c>
      <c r="F147" s="4" t="str">
        <f ca="1">IFERROR(__xludf.DUMMYFUNCTION("LOWER(REGEXREPLACE(B147&amp;"" ""&amp;C147,""[^а-яa-z0-9 ]"","" ""))")," ртег лер   та анамен о имыз  2 б л м    растыр ан    усупова")</f>
        <v xml:space="preserve"> ртег лер   та анамен о имыз  2 б л м    растыр ан    усупова</v>
      </c>
      <c r="G147" s="4" t="str">
        <f ca="1">IFERROR(__xludf.DUMMYFUNCTION("TEXTJOIN(""|"",TRUE,UNIQUE(FILTER(SPLIT(F147,"" ""),LEN(SPLIT(F147,"" ""))&gt;2)))"),"ртег|лер|анамен|имыз|растыр|усупова")</f>
        <v>ртег|лер|анамен|имыз|растыр|усупова</v>
      </c>
      <c r="I147" s="1"/>
      <c r="J147" s="1"/>
    </row>
    <row r="148" spans="1:10" x14ac:dyDescent="0.2">
      <c r="A148" s="8" t="s">
        <v>3149</v>
      </c>
      <c r="B148" s="7" t="s">
        <v>3148</v>
      </c>
      <c r="C148" s="7" t="s">
        <v>3133</v>
      </c>
      <c r="D148" s="6">
        <v>800</v>
      </c>
      <c r="E148" s="5">
        <v>1</v>
      </c>
      <c r="F148" s="4" t="str">
        <f ca="1">IFERROR(__xludf.DUMMYFUNCTION("LOWER(REGEXREPLACE(B148&amp;"" ""&amp;C148,""[^а-яa-z0-9 ]"","" ""))")," ртег лер   та анамен о имыз  3 б л м    растыр ан    усупова")</f>
        <v xml:space="preserve"> ртег лер   та анамен о имыз  3 б л м    растыр ан    усупова</v>
      </c>
      <c r="G148" s="4" t="str">
        <f ca="1">IFERROR(__xludf.DUMMYFUNCTION("TEXTJOIN(""|"",TRUE,UNIQUE(FILTER(SPLIT(F148,"" ""),LEN(SPLIT(F148,"" ""))&gt;2)))"),"ртег|лер|анамен|имыз|растыр|усупова")</f>
        <v>ртег|лер|анамен|имыз|растыр|усупова</v>
      </c>
      <c r="I148" s="1"/>
      <c r="J148" s="1"/>
    </row>
    <row r="149" spans="1:10" x14ac:dyDescent="0.2">
      <c r="A149" s="8" t="s">
        <v>3147</v>
      </c>
      <c r="B149" s="7" t="s">
        <v>3146</v>
      </c>
      <c r="C149" s="7" t="s">
        <v>3133</v>
      </c>
      <c r="D149" s="6">
        <v>800</v>
      </c>
      <c r="E149" s="5">
        <v>1</v>
      </c>
      <c r="F149" s="4" t="str">
        <f ca="1">IFERROR(__xludf.DUMMYFUNCTION("LOWER(REGEXREPLACE(B149&amp;"" ""&amp;C149,""[^а-яa-z0-9 ]"","" ""))")," ртег лер   уын а б л п о имыз  1 б л м    растыр ан    усупова")</f>
        <v xml:space="preserve"> ртег лер   уын а б л п о имыз  1 б л м    растыр ан    усупова</v>
      </c>
      <c r="G149" s="4" t="str">
        <f ca="1">IFERROR(__xludf.DUMMYFUNCTION("TEXTJOIN(""|"",TRUE,UNIQUE(FILTER(SPLIT(F149,"" ""),LEN(SPLIT(F149,"" ""))&gt;2)))"),"ртег|лер|уын|имыз|растыр|усупова")</f>
        <v>ртег|лер|уын|имыз|растыр|усупова</v>
      </c>
      <c r="I149" s="1"/>
      <c r="J149" s="1"/>
    </row>
    <row r="150" spans="1:10" x14ac:dyDescent="0.2">
      <c r="A150" s="8" t="s">
        <v>3145</v>
      </c>
      <c r="B150" s="7" t="s">
        <v>3144</v>
      </c>
      <c r="C150" s="7" t="s">
        <v>833</v>
      </c>
      <c r="D150" s="6">
        <v>4800</v>
      </c>
      <c r="E150" s="5">
        <v>1</v>
      </c>
      <c r="F150" s="4" t="str">
        <f ca="1">IFERROR(__xludf.DUMMYFUNCTION("LOWER(REGEXREPLACE(B150&amp;"" ""&amp;C150,""[^а-яa-z0-9 ]"","" ""))"),"10 историй о пиратах  ертолет   ")</f>
        <v xml:space="preserve">10 историй о пиратах  ертолет   </v>
      </c>
      <c r="G150" s="4" t="str">
        <f ca="1">IFERROR(__xludf.DUMMYFUNCTION("TEXTJOIN(""|"",TRUE,UNIQUE(FILTER(SPLIT(F150,"" ""),LEN(SPLIT(F150,"" ""))&gt;2)))"),"историй|пиратах|ертолет")</f>
        <v>историй|пиратах|ертолет</v>
      </c>
      <c r="I150" s="1"/>
      <c r="J150" s="1"/>
    </row>
    <row r="151" spans="1:10" x14ac:dyDescent="0.2">
      <c r="A151" s="8" t="s">
        <v>3143</v>
      </c>
      <c r="B151" s="7" t="s">
        <v>3142</v>
      </c>
      <c r="C151" s="7" t="s">
        <v>3133</v>
      </c>
      <c r="D151" s="6">
        <v>800</v>
      </c>
      <c r="E151" s="5">
        <v>1</v>
      </c>
      <c r="F151" s="4" t="str">
        <f ca="1">IFERROR(__xludf.DUMMYFUNCTION("LOWER(REGEXREPLACE(B151&amp;"" ""&amp;C151,""[^а-яa-z0-9 ]"","" ""))")," ртег лер   уын а б л п о имыз  2 б л м    растыр ан    усупова")</f>
        <v xml:space="preserve"> ртег лер   уын а б л п о имыз  2 б л м    растыр ан    усупова</v>
      </c>
      <c r="G151" s="4" t="str">
        <f ca="1">IFERROR(__xludf.DUMMYFUNCTION("TEXTJOIN(""|"",TRUE,UNIQUE(FILTER(SPLIT(F151,"" ""),LEN(SPLIT(F151,"" ""))&gt;2)))"),"ртег|лер|уын|имыз|растыр|усупова")</f>
        <v>ртег|лер|уын|имыз|растыр|усупова</v>
      </c>
      <c r="I151" s="1"/>
      <c r="J151" s="1"/>
    </row>
    <row r="152" spans="1:10" x14ac:dyDescent="0.2">
      <c r="A152" s="8" t="s">
        <v>3141</v>
      </c>
      <c r="B152" s="7" t="s">
        <v>3140</v>
      </c>
      <c r="C152" s="7" t="s">
        <v>3133</v>
      </c>
      <c r="D152" s="6">
        <v>800</v>
      </c>
      <c r="E152" s="5">
        <v>1</v>
      </c>
      <c r="F152" s="4" t="str">
        <f ca="1">IFERROR(__xludf.DUMMYFUNCTION("LOWER(REGEXREPLACE(B152&amp;"" ""&amp;C152,""[^а-яa-z0-9 ]"","" ""))")," ртег лер   уын а б л п о имыз  3 б л м    растыр ан    усупова")</f>
        <v xml:space="preserve"> ртег лер   уын а б л п о имыз  3 б л м    растыр ан    усупова</v>
      </c>
      <c r="G152" s="4" t="str">
        <f ca="1">IFERROR(__xludf.DUMMYFUNCTION("TEXTJOIN(""|"",TRUE,UNIQUE(FILTER(SPLIT(F152,"" ""),LEN(SPLIT(F152,"" ""))&gt;2)))"),"ртег|лер|уын|имыз|растыр|усупова")</f>
        <v>ртег|лер|уын|имыз|растыр|усупова</v>
      </c>
      <c r="I152" s="1"/>
      <c r="J152" s="1"/>
    </row>
    <row r="153" spans="1:10" x14ac:dyDescent="0.2">
      <c r="A153" s="8" t="s">
        <v>3139</v>
      </c>
      <c r="B153" s="7" t="s">
        <v>3138</v>
      </c>
      <c r="C153" s="7" t="s">
        <v>3133</v>
      </c>
      <c r="D153" s="6">
        <v>800</v>
      </c>
      <c r="E153" s="5">
        <v>1</v>
      </c>
      <c r="F153" s="4" t="str">
        <f ca="1">IFERROR(__xludf.DUMMYFUNCTION("LOWER(REGEXREPLACE(B153&amp;"" ""&amp;C153,""[^а-яa-z0-9 ]"","" ""))")," ртег лер   з м з о имыз  1 б л м    растыр ан    усупова")</f>
        <v xml:space="preserve"> ртег лер   з м з о имыз  1 б л м    растыр ан    усупова</v>
      </c>
      <c r="G153" s="4" t="str">
        <f ca="1">IFERROR(__xludf.DUMMYFUNCTION("TEXTJOIN(""|"",TRUE,UNIQUE(FILTER(SPLIT(F153,"" ""),LEN(SPLIT(F153,"" ""))&gt;2)))"),"ртег|лер|имыз|растыр|усупова")</f>
        <v>ртег|лер|имыз|растыр|усупова</v>
      </c>
      <c r="I153" s="1"/>
      <c r="J153" s="1"/>
    </row>
    <row r="154" spans="1:10" x14ac:dyDescent="0.2">
      <c r="A154" s="8" t="s">
        <v>3137</v>
      </c>
      <c r="B154" s="7" t="s">
        <v>3136</v>
      </c>
      <c r="C154" s="7" t="s">
        <v>3133</v>
      </c>
      <c r="D154" s="6">
        <v>800</v>
      </c>
      <c r="E154" s="5">
        <v>1</v>
      </c>
      <c r="F154" s="4" t="str">
        <f ca="1">IFERROR(__xludf.DUMMYFUNCTION("LOWER(REGEXREPLACE(B154&amp;"" ""&amp;C154,""[^а-яa-z0-9 ]"","" ""))")," ртег лер   з м з о имыз  2 б л м    растыр ан    усупова")</f>
        <v xml:space="preserve"> ртег лер   з м з о имыз  2 б л м    растыр ан    усупова</v>
      </c>
      <c r="G154" s="4" t="str">
        <f ca="1">IFERROR(__xludf.DUMMYFUNCTION("TEXTJOIN(""|"",TRUE,UNIQUE(FILTER(SPLIT(F154,"" ""),LEN(SPLIT(F154,"" ""))&gt;2)))"),"ртег|лер|имыз|растыр|усупова")</f>
        <v>ртег|лер|имыз|растыр|усупова</v>
      </c>
      <c r="I154" s="1"/>
      <c r="J154" s="1"/>
    </row>
    <row r="155" spans="1:10" x14ac:dyDescent="0.2">
      <c r="A155" s="8" t="s">
        <v>3135</v>
      </c>
      <c r="B155" s="7" t="s">
        <v>3134</v>
      </c>
      <c r="C155" s="7" t="s">
        <v>3133</v>
      </c>
      <c r="D155" s="6">
        <v>800</v>
      </c>
      <c r="E155" s="5">
        <v>1</v>
      </c>
      <c r="F155" s="4" t="str">
        <f ca="1">IFERROR(__xludf.DUMMYFUNCTION("LOWER(REGEXREPLACE(B155&amp;"" ""&amp;C155,""[^а-яa-z0-9 ]"","" ""))")," ртег лер   з м з о имыз  3 б л м    растыр ан    усупова")</f>
        <v xml:space="preserve"> ртег лер   з м з о имыз  3 б л м    растыр ан    усупова</v>
      </c>
      <c r="G155" s="4" t="str">
        <f ca="1">IFERROR(__xludf.DUMMYFUNCTION("TEXTJOIN(""|"",TRUE,UNIQUE(FILTER(SPLIT(F155,"" ""),LEN(SPLIT(F155,"" ""))&gt;2)))"),"ртег|лер|имыз|растыр|усупова")</f>
        <v>ртег|лер|имыз|растыр|усупова</v>
      </c>
      <c r="I155" s="1"/>
      <c r="J155" s="1"/>
    </row>
    <row r="156" spans="1:10" x14ac:dyDescent="0.2">
      <c r="A156" s="8" t="s">
        <v>3132</v>
      </c>
      <c r="B156" s="7" t="s">
        <v>3131</v>
      </c>
      <c r="C156" s="7" t="s">
        <v>3130</v>
      </c>
      <c r="D156" s="6">
        <v>6600</v>
      </c>
      <c r="E156" s="5">
        <v>1</v>
      </c>
      <c r="F156" s="4" t="str">
        <f ca="1">IFERROR(__xludf.DUMMYFUNCTION("LOWER(REGEXREPLACE(B156&amp;"" ""&amp;C156,""[^а-яa-z0-9 ]"","" ""))")," скертк ш орнаттым мен  олдан келмес        ушкин    растырушы   ужикова    ")</f>
        <v xml:space="preserve"> скертк ш орнаттым мен  олдан келмес        ушкин    растырушы   ужикова    </v>
      </c>
      <c r="G156" s="4" t="str">
        <f ca="1">IFERROR(__xludf.DUMMYFUNCTION("TEXTJOIN(""|"",TRUE,UNIQUE(FILTER(SPLIT(F156,"" ""),LEN(SPLIT(F156,"" ""))&gt;2)))"),"скертк|орнаттым|мен|олдан|келмес|ушкин|растырушы|ужикова")</f>
        <v>скертк|орнаттым|мен|олдан|келмес|ушкин|растырушы|ужикова</v>
      </c>
      <c r="I156" s="1"/>
      <c r="J156" s="1"/>
    </row>
    <row r="157" spans="1:10" x14ac:dyDescent="0.2">
      <c r="A157" s="8" t="s">
        <v>3129</v>
      </c>
      <c r="B157" s="7" t="s">
        <v>3128</v>
      </c>
      <c r="C157" s="7" t="s">
        <v>3127</v>
      </c>
      <c r="D157" s="6">
        <v>3000</v>
      </c>
      <c r="E157" s="5">
        <v>1</v>
      </c>
      <c r="F157" s="4" t="str">
        <f ca="1">IFERROR(__xludf.DUMMYFUNCTION("LOWER(REGEXREPLACE(B157&amp;"" ""&amp;C157,""[^а-яa-z0-9 ]"","" ""))")," абайы жануарларды б лес   бе    ылды бояма   ахипова     олтан азина   ")</f>
        <v xml:space="preserve"> абайы жануарларды б лес   бе    ылды бояма   ахипова     олтан азина   </v>
      </c>
      <c r="G157" s="4" t="str">
        <f ca="1">IFERROR(__xludf.DUMMYFUNCTION("TEXTJOIN(""|"",TRUE,UNIQUE(FILTER(SPLIT(F157,"" ""),LEN(SPLIT(F157,"" ""))&gt;2)))"),"абайы|жануарларды|лес|ылды|бояма|ахипова|олтан|азина")</f>
        <v>абайы|жануарларды|лес|ылды|бояма|ахипова|олтан|азина</v>
      </c>
      <c r="I157" s="1"/>
      <c r="J157" s="1"/>
    </row>
    <row r="158" spans="1:10" x14ac:dyDescent="0.2">
      <c r="A158" s="8" t="s">
        <v>3126</v>
      </c>
      <c r="B158" s="7" t="s">
        <v>3125</v>
      </c>
      <c r="C158" s="7" t="s">
        <v>3124</v>
      </c>
      <c r="D158" s="6">
        <v>7600</v>
      </c>
      <c r="E158" s="5">
        <v>1</v>
      </c>
      <c r="F158" s="4" t="str">
        <f ca="1">IFERROR(__xludf.DUMMYFUNCTION("LOWER(REGEXREPLACE(B158&amp;"" ""&amp;C158,""[^а-яa-z0-9 ]"","" ""))")," алы тырмайтын астрономия   алалар энциклопедиясы    айнберг")</f>
        <v xml:space="preserve"> алы тырмайтын астрономия   алалар энциклопедиясы    айнберг</v>
      </c>
      <c r="G158" s="4" t="str">
        <f ca="1">IFERROR(__xludf.DUMMYFUNCTION("TEXTJOIN(""|"",TRUE,UNIQUE(FILTER(SPLIT(F158,"" ""),LEN(SPLIT(F158,"" ""))&gt;2)))"),"алы|тырмайтын|астрономия|алалар|энциклопедиясы|айнберг")</f>
        <v>алы|тырмайтын|астрономия|алалар|энциклопедиясы|айнберг</v>
      </c>
      <c r="I158" s="1"/>
      <c r="J158" s="1"/>
    </row>
    <row r="159" spans="1:10" x14ac:dyDescent="0.2">
      <c r="A159" s="8" t="s">
        <v>3123</v>
      </c>
      <c r="B159" s="7" t="s">
        <v>3122</v>
      </c>
      <c r="C159" s="7" t="s">
        <v>3121</v>
      </c>
      <c r="D159" s="6">
        <v>11400</v>
      </c>
      <c r="E159" s="5">
        <v>1</v>
      </c>
      <c r="F159" s="4" t="str">
        <f ca="1">IFERROR(__xludf.DUMMYFUNCTION("LOWER(REGEXREPLACE(B159&amp;"" ""&amp;C159,""[^а-яa-z0-9 ]"","" ""))")," ануарлар   нциклопедиясы  рлон   ")</f>
        <v xml:space="preserve"> ануарлар   нциклопедиясы  рлон   </v>
      </c>
      <c r="G159" s="4" t="str">
        <f ca="1">IFERROR(__xludf.DUMMYFUNCTION("TEXTJOIN(""|"",TRUE,UNIQUE(FILTER(SPLIT(F159,"" ""),LEN(SPLIT(F159,"" ""))&gt;2)))"),"ануарлар|нциклопедиясы|рлон")</f>
        <v>ануарлар|нциклопедиясы|рлон</v>
      </c>
      <c r="I159" s="1"/>
      <c r="J159" s="1"/>
    </row>
    <row r="160" spans="1:10" x14ac:dyDescent="0.2">
      <c r="A160" s="8" t="s">
        <v>3120</v>
      </c>
      <c r="B160" s="7" t="s">
        <v>3119</v>
      </c>
      <c r="C160" s="7" t="s">
        <v>3118</v>
      </c>
      <c r="D160" s="6">
        <v>6400</v>
      </c>
      <c r="E160" s="5">
        <v>1</v>
      </c>
      <c r="F160" s="4" t="str">
        <f ca="1">IFERROR(__xludf.DUMMYFUNCTION("LOWER(REGEXREPLACE(B160&amp;"" ""&amp;C160,""[^а-яa-z0-9 ]"","" ""))")," а  ыры     ма ов")</f>
        <v xml:space="preserve"> а  ыры     ма ов</v>
      </c>
      <c r="G160" s="4" t="str">
        <f ca="1">IFERROR(__xludf.DUMMYFUNCTION("TEXTJOIN(""|"",TRUE,UNIQUE(FILTER(SPLIT(F160,"" ""),LEN(SPLIT(F160,"" ""))&gt;2)))"),"ыры")</f>
        <v>ыры</v>
      </c>
      <c r="I160" s="1"/>
      <c r="J160" s="1"/>
    </row>
    <row r="161" spans="1:10" x14ac:dyDescent="0.2">
      <c r="A161" s="8" t="s">
        <v>3117</v>
      </c>
      <c r="B161" s="7" t="s">
        <v>3116</v>
      </c>
      <c r="C161" s="7" t="s">
        <v>833</v>
      </c>
      <c r="D161" s="6">
        <v>4800</v>
      </c>
      <c r="E161" s="5">
        <v>1</v>
      </c>
      <c r="F161" s="4" t="str">
        <f ca="1">IFERROR(__xludf.DUMMYFUNCTION("LOWER(REGEXREPLACE(B161&amp;"" ""&amp;C161,""[^а-яa-z0-9 ]"","" ""))"),"10 историй о принцессах  ертолет   ")</f>
        <v xml:space="preserve">10 историй о принцессах  ертолет   </v>
      </c>
      <c r="G161" s="4" t="str">
        <f ca="1">IFERROR(__xludf.DUMMYFUNCTION("TEXTJOIN(""|"",TRUE,UNIQUE(FILTER(SPLIT(F161,"" ""),LEN(SPLIT(F161,"" ""))&gt;2)))"),"историй|принцессах|ертолет")</f>
        <v>историй|принцессах|ертолет</v>
      </c>
      <c r="I161" s="1"/>
      <c r="J161" s="1"/>
    </row>
    <row r="162" spans="1:10" x14ac:dyDescent="0.2">
      <c r="A162" s="8" t="s">
        <v>3115</v>
      </c>
      <c r="B162" s="7" t="s">
        <v>3114</v>
      </c>
      <c r="C162" s="7"/>
      <c r="D162" s="6">
        <v>1700</v>
      </c>
      <c r="E162" s="5">
        <v>1</v>
      </c>
      <c r="F162" s="4" t="str">
        <f ca="1">IFERROR(__xludf.DUMMYFUNCTION("LOWER(REGEXREPLACE(B162&amp;"" ""&amp;C162,""[^а-яa-z0-9 ]"","" ""))")," ауапкерш л кт  сез ну   ак стать ответственным   ow to be responsible ")</f>
        <v xml:space="preserve"> ауапкерш л кт  сез ну   ак стать ответственным   ow to be responsible </v>
      </c>
      <c r="G162" s="4" t="str">
        <f ca="1">IFERROR(__xludf.DUMMYFUNCTION("TEXTJOIN(""|"",TRUE,UNIQUE(FILTER(SPLIT(F162,"" ""),LEN(SPLIT(F162,"" ""))&gt;2)))"),"ауапкерш|сез|стать|ответственным|responsible")</f>
        <v>ауапкерш|сез|стать|ответственным|responsible</v>
      </c>
      <c r="I162" s="1"/>
      <c r="J162" s="1"/>
    </row>
    <row r="163" spans="1:10" x14ac:dyDescent="0.2">
      <c r="A163" s="8" t="s">
        <v>3113</v>
      </c>
      <c r="B163" s="7" t="s">
        <v>3112</v>
      </c>
      <c r="C163" s="7" t="s">
        <v>3111</v>
      </c>
      <c r="D163" s="6">
        <v>8000</v>
      </c>
      <c r="E163" s="5">
        <v>1</v>
      </c>
      <c r="F163" s="4" t="str">
        <f ca="1">IFERROR(__xludf.DUMMYFUNCTION("LOWER(REGEXREPLACE(B163&amp;"" ""&amp;C163,""[^а-яa-z0-9 ]"","" ""))"),"  н бек пен атасы    манасов")</f>
        <v xml:space="preserve">  н бек пен атасы    манасов</v>
      </c>
      <c r="G163" s="4" t="str">
        <f ca="1">IFERROR(__xludf.DUMMYFUNCTION("TEXTJOIN(""|"",TRUE,UNIQUE(FILTER(SPLIT(F163,"" ""),LEN(SPLIT(F163,"" ""))&gt;2)))"),"бек|пен|атасы|манасов")</f>
        <v>бек|пен|атасы|манасов</v>
      </c>
      <c r="I163" s="1"/>
      <c r="J163" s="1"/>
    </row>
    <row r="164" spans="1:10" x14ac:dyDescent="0.2">
      <c r="A164" s="8" t="s">
        <v>3110</v>
      </c>
      <c r="B164" s="7" t="s">
        <v>3109</v>
      </c>
      <c r="C164" s="7" t="s">
        <v>3108</v>
      </c>
      <c r="D164" s="6">
        <v>2800</v>
      </c>
      <c r="E164" s="5">
        <v>2</v>
      </c>
      <c r="F164" s="4" t="str">
        <f ca="1">IFERROR(__xludf.DUMMYFUNCTION("LOWER(REGEXREPLACE(B164&amp;"" ""&amp;C164,""[^а-яa-z0-9 ]"","" ""))")," гут кровоостанавливающий  спользуется для временной остановки кровотечения и при проведении медицинских процедур ")</f>
        <v xml:space="preserve"> гут кровоостанавливающий  спользуется для временной остановки кровотечения и при проведении медицинских процедур </v>
      </c>
      <c r="G164" s="4" t="str">
        <f ca="1">IFERROR(__xludf.DUMMYFUNCTION("TEXTJOIN(""|"",TRUE,UNIQUE(FILTER(SPLIT(F164,"" ""),LEN(SPLIT(F164,"" ""))&gt;2)))"),"гут|кровоостанавливающий|спользуется|для|временной|остановки|кровотечения|при|проведении|медицинских|процедур")</f>
        <v>гут|кровоостанавливающий|спользуется|для|временной|остановки|кровотечения|при|проведении|медицинских|процедур</v>
      </c>
      <c r="I164" s="1"/>
      <c r="J164" s="1"/>
    </row>
    <row r="165" spans="1:10" x14ac:dyDescent="0.2">
      <c r="A165" s="8" t="s">
        <v>3107</v>
      </c>
      <c r="B165" s="7" t="s">
        <v>3106</v>
      </c>
      <c r="C165" s="7" t="s">
        <v>2731</v>
      </c>
      <c r="D165" s="6">
        <v>19000</v>
      </c>
      <c r="E165" s="5">
        <v>1</v>
      </c>
      <c r="F165" s="4" t="str">
        <f ca="1">IFERROR(__xludf.DUMMYFUNCTION("LOWER(REGEXREPLACE(B165&amp;"" ""&amp;C165,""[^а-яa-z0-9 ]"","" ""))")," ер  аламшарыны  антологиясы  лдершоу   ")</f>
        <v xml:space="preserve"> ер  аламшарыны  антологиясы  лдершоу   </v>
      </c>
      <c r="G165" s="4" t="str">
        <f ca="1">IFERROR(__xludf.DUMMYFUNCTION("TEXTJOIN(""|"",TRUE,UNIQUE(FILTER(SPLIT(F165,"" ""),LEN(SPLIT(F165,"" ""))&gt;2)))"),"аламшарыны|антологиясы|лдершоу")</f>
        <v>аламшарыны|антологиясы|лдершоу</v>
      </c>
      <c r="I165" s="1"/>
      <c r="J165" s="1"/>
    </row>
    <row r="166" spans="1:10" x14ac:dyDescent="0.2">
      <c r="A166" s="8" t="s">
        <v>3105</v>
      </c>
      <c r="B166" s="7" t="s">
        <v>3104</v>
      </c>
      <c r="C166" s="7" t="s">
        <v>1025</v>
      </c>
      <c r="D166" s="6">
        <v>15600</v>
      </c>
      <c r="E166" s="5">
        <v>75</v>
      </c>
      <c r="F166" s="4" t="str">
        <f ca="1">IFERROR(__xludf.DUMMYFUNCTION("LOWER(REGEXREPLACE(B166&amp;"" ""&amp;C166,""[^а-яa-z0-9 ]"","" ""))")," ол ба дар  нтеллектум")</f>
        <v xml:space="preserve"> ол ба дар  нтеллектум</v>
      </c>
      <c r="G166" s="4" t="str">
        <f ca="1">IFERROR(__xludf.DUMMYFUNCTION("TEXTJOIN(""|"",TRUE,UNIQUE(FILTER(SPLIT(F166,"" ""),LEN(SPLIT(F166,"" ""))&gt;2)))"),"дар|нтеллектум")</f>
        <v>дар|нтеллектум</v>
      </c>
      <c r="I166" s="1"/>
      <c r="J166" s="1"/>
    </row>
    <row r="167" spans="1:10" x14ac:dyDescent="0.2">
      <c r="A167" s="8" t="s">
        <v>3103</v>
      </c>
      <c r="B167" s="7" t="s">
        <v>3102</v>
      </c>
      <c r="C167" s="7" t="s">
        <v>3101</v>
      </c>
      <c r="D167" s="6">
        <v>7200</v>
      </c>
      <c r="E167" s="5">
        <v>1</v>
      </c>
      <c r="F167" s="4" t="str">
        <f ca="1">IFERROR(__xludf.DUMMYFUNCTION("LOWER(REGEXREPLACE(B167&amp;"" ""&amp;C167,""[^а-яa-z0-9 ]"","" ""))")," ылдар ж не жа а жорамалдар   аза  оркестр    йыншы тар     тет леу лы")</f>
        <v xml:space="preserve"> ылдар ж не жа а жорамалдар   аза  оркестр    йыншы тар     тет леу лы</v>
      </c>
      <c r="G167" s="4" t="str">
        <f ca="1">IFERROR(__xludf.DUMMYFUNCTION("TEXTJOIN(""|"",TRUE,UNIQUE(FILTER(SPLIT(F167,"" ""),LEN(SPLIT(F167,"" ""))&gt;2)))"),"ылдар|жорамалдар|аза|оркестр|йыншы|тар|тет|леу")</f>
        <v>ылдар|жорамалдар|аза|оркестр|йыншы|тар|тет|леу</v>
      </c>
      <c r="I167" s="1"/>
      <c r="J167" s="1"/>
    </row>
    <row r="168" spans="1:10" x14ac:dyDescent="0.2">
      <c r="A168" s="8" t="s">
        <v>3100</v>
      </c>
      <c r="B168" s="7" t="s">
        <v>3099</v>
      </c>
      <c r="C168" s="7" t="s">
        <v>3098</v>
      </c>
      <c r="D168" s="6">
        <v>12600</v>
      </c>
      <c r="E168" s="5">
        <v>1</v>
      </c>
      <c r="F168" s="4" t="str">
        <f ca="1">IFERROR(__xludf.DUMMYFUNCTION("LOWER(REGEXREPLACE(B168&amp;"" ""&amp;C168,""[^а-яa-z0-9 ]"","" ""))")," ыраулардан жыр м ра  дилбеков     ")</f>
        <v xml:space="preserve"> ыраулардан жыр м ра  дилбеков     </v>
      </c>
      <c r="G168" s="4" t="str">
        <f ca="1">IFERROR(__xludf.DUMMYFUNCTION("TEXTJOIN(""|"",TRUE,UNIQUE(FILTER(SPLIT(F168,"" ""),LEN(SPLIT(F168,"" ""))&gt;2)))"),"ыраулардан|жыр|дилбеков")</f>
        <v>ыраулардан|жыр|дилбеков</v>
      </c>
      <c r="I168" s="1"/>
      <c r="J168" s="1"/>
    </row>
    <row r="169" spans="1:10" x14ac:dyDescent="0.2">
      <c r="A169" s="8" t="s">
        <v>3097</v>
      </c>
      <c r="B169" s="7" t="s">
        <v>3096</v>
      </c>
      <c r="C169" s="7" t="s">
        <v>2175</v>
      </c>
      <c r="D169" s="6">
        <v>13600</v>
      </c>
      <c r="E169" s="5">
        <v>1</v>
      </c>
      <c r="F169" s="4" t="str">
        <f ca="1">IFERROR(__xludf.DUMMYFUNCTION("LOWER(REGEXREPLACE(B169&amp;"" ""&amp;C169,""[^а-яa-z0-9 ]"","" ""))")," наю ли я своего ребенка   рактикум по детской психологии в помощь родителям  эри   ")</f>
        <v xml:space="preserve"> наю ли я своего ребенка   рактикум по детской психологии в помощь родителям  эри   </v>
      </c>
      <c r="G169" s="4" t="str">
        <f ca="1">IFERROR(__xludf.DUMMYFUNCTION("TEXTJOIN(""|"",TRUE,UNIQUE(FILTER(SPLIT(F169,"" ""),LEN(SPLIT(F169,"" ""))&gt;2)))"),"наю|своего|ребенка|рактикум|детской|психологии|помощь|родителям|эри")</f>
        <v>наю|своего|ребенка|рактикум|детской|психологии|помощь|родителям|эри</v>
      </c>
      <c r="I169" s="1"/>
      <c r="J169" s="1"/>
    </row>
    <row r="170" spans="1:10" x14ac:dyDescent="0.2">
      <c r="A170" s="8" t="s">
        <v>3095</v>
      </c>
      <c r="B170" s="7" t="s">
        <v>3094</v>
      </c>
      <c r="C170" s="7" t="s">
        <v>3093</v>
      </c>
      <c r="D170" s="6">
        <v>123500</v>
      </c>
      <c r="E170" s="5">
        <v>5</v>
      </c>
      <c r="F170" s="4" t="str">
        <f ca="1">IFERROR(__xludf.DUMMYFUNCTION("LOWER(REGEXREPLACE(B170&amp;"" ""&amp;C170,""[^а-яa-z0-9 ]"","" ""))"),"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f>
        <v xml:space="preserve">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v>
      </c>
      <c r="G170" s="4" t="str">
        <f ca="1">IFERROR(__xludf.DUMMYFUNCTION("TEXTJOIN(""|"",TRUE,UNIQUE(FILTER(SPLIT(F170,"" ""),LEN(SPLIT(F170,"" ""))&gt;2)))"),"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f>
        <v>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v>
      </c>
      <c r="I170" s="1"/>
      <c r="J170" s="1"/>
    </row>
    <row r="171" spans="1:10" x14ac:dyDescent="0.2">
      <c r="A171" s="8" t="s">
        <v>3092</v>
      </c>
      <c r="B171" s="7" t="s">
        <v>3091</v>
      </c>
      <c r="C171" s="7" t="s">
        <v>3090</v>
      </c>
      <c r="D171" s="6">
        <v>1300</v>
      </c>
      <c r="E171" s="5">
        <v>6</v>
      </c>
      <c r="F171" s="4" t="str">
        <f ca="1">IFERROR(__xludf.DUMMYFUNCTION("LOWER(REGEXREPLACE(B171&amp;"" ""&amp;C171,""[^а-яa-z0-9 ]"","" ""))"),"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f>
        <v xml:space="preserve">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v>
      </c>
      <c r="G171" s="4" t="str">
        <f ca="1">IFERROR(__xludf.DUMMYFUNCTION("TEXTJOIN(""|"",TRUE,UNIQUE(FILTER(SPLIT(F171,"" ""),LEN(SPLIT(F171,"" ""))&gt;2)))"),"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f>
        <v>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v>
      </c>
      <c r="I171" s="1"/>
      <c r="J171" s="1"/>
    </row>
    <row r="172" spans="1:10" x14ac:dyDescent="0.2">
      <c r="A172" s="8" t="s">
        <v>3089</v>
      </c>
      <c r="B172" s="7" t="s">
        <v>3088</v>
      </c>
      <c r="C172" s="7" t="s">
        <v>1025</v>
      </c>
      <c r="D172" s="6">
        <v>15300</v>
      </c>
      <c r="E172" s="5">
        <v>75</v>
      </c>
      <c r="F172" s="4" t="str">
        <f ca="1">IFERROR(__xludf.DUMMYFUNCTION("LOWER(REGEXREPLACE(B172&amp;"" ""&amp;C172,""[^а-яa-z0-9 ]"","" ""))"),"3    шб рыш  нтеллектум")</f>
        <v>3    шб рыш  нтеллектум</v>
      </c>
      <c r="G172" s="4" t="str">
        <f ca="1">IFERROR(__xludf.DUMMYFUNCTION("TEXTJOIN(""|"",TRUE,UNIQUE(FILTER(SPLIT(F172,"" ""),LEN(SPLIT(F172,"" ""))&gt;2)))"),"рыш|нтеллектум")</f>
        <v>рыш|нтеллектум</v>
      </c>
      <c r="I172" s="1"/>
      <c r="J172" s="1"/>
    </row>
    <row r="173" spans="1:10" x14ac:dyDescent="0.2">
      <c r="A173" s="8" t="s">
        <v>3087</v>
      </c>
      <c r="B173" s="7" t="s">
        <v>3086</v>
      </c>
      <c r="C173" s="7" t="s">
        <v>3085</v>
      </c>
      <c r="D173" s="6">
        <v>13300</v>
      </c>
      <c r="E173" s="5">
        <v>2</v>
      </c>
      <c r="F173" s="4" t="str">
        <f ca="1">IFERROR(__xludf.DUMMYFUNCTION("LOWER(REGEXREPLACE(B173&amp;"" ""&amp;C173,""[^а-яa-z0-9 ]"","" ""))"),"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изго"&amp;"товления   пластик ")</f>
        <v xml:space="preserve">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v>
      </c>
      <c r="G173" s="4" t="str">
        <f ca="1">IFERROR(__xludf.DUMMYFUNCTION("TEXTJOIN(""|"",TRUE,UNIQUE(FILTER(SPLIT(F173,"" ""),LEN(SPLIT(F173,"" ""))&gt;2)))"),"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f>
        <v>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v>
      </c>
      <c r="I173" s="1"/>
      <c r="J173" s="1"/>
    </row>
    <row r="174" spans="1:10" x14ac:dyDescent="0.2">
      <c r="A174" s="8" t="s">
        <v>3084</v>
      </c>
      <c r="B174" s="7" t="s">
        <v>3083</v>
      </c>
      <c r="C174" s="7" t="s">
        <v>3082</v>
      </c>
      <c r="D174" s="6">
        <v>12000</v>
      </c>
      <c r="E174" s="5">
        <v>1</v>
      </c>
      <c r="F174" s="4" t="str">
        <f ca="1">IFERROR(__xludf.DUMMYFUNCTION("LOWER(REGEXREPLACE(B174&amp;"" ""&amp;C174,""[^а-яa-z0-9 ]"","" ""))"),"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дви"&amp;"жений   атериал изготовления   дерево ")</f>
        <v xml:space="preserve">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v>
      </c>
      <c r="G174" s="4" t="str">
        <f ca="1">IFERROR(__xludf.DUMMYFUNCTION("TEXTJOIN(""|"",TRUE,UNIQUE(FILTER(SPLIT(F174,"" ""),LEN(SPLIT(F174,"" ""))&gt;2)))"),"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amp;"вления|дерево")</f>
        <v>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v>
      </c>
      <c r="I174" s="1"/>
      <c r="J174" s="1"/>
    </row>
    <row r="175" spans="1:10" x14ac:dyDescent="0.2">
      <c r="A175" s="8" t="s">
        <v>3081</v>
      </c>
      <c r="B175" s="7" t="s">
        <v>3080</v>
      </c>
      <c r="C175" s="7" t="s">
        <v>3079</v>
      </c>
      <c r="D175" s="6">
        <v>6700</v>
      </c>
      <c r="E175" s="5">
        <v>14</v>
      </c>
      <c r="F175" s="4" t="str">
        <f ca="1">IFERROR(__xludf.DUMMYFUNCTION("LOWER(REGEXREPLACE(B175&amp;"" ""&amp;C175,""[^а-яa-z0-9 ]"","" ""))"),"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изгот"&amp;"овления       пластик ")</f>
        <v xml:space="preserve">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v>
      </c>
      <c r="G175" s="4" t="str">
        <f ca="1">IFERROR(__xludf.DUMMYFUNCTION("TEXTJOIN(""|"",TRUE,UNIQUE(FILTER(SPLIT(F175,"" ""),LEN(SPLIT(F175,"" ""))&gt;2)))"),"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f>
        <v>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v>
      </c>
      <c r="I175" s="1"/>
      <c r="J175" s="1"/>
    </row>
    <row r="176" spans="1:10" x14ac:dyDescent="0.2">
      <c r="A176" s="8" t="s">
        <v>3078</v>
      </c>
      <c r="B176" s="7" t="s">
        <v>3077</v>
      </c>
      <c r="C176" s="7" t="s">
        <v>3076</v>
      </c>
      <c r="D176" s="6">
        <v>5700</v>
      </c>
      <c r="E176" s="5">
        <v>1</v>
      </c>
      <c r="F176" s="4" t="str">
        <f ca="1">IFERROR(__xludf.DUMMYFUNCTION("LOWER(REGEXREPLACE(B176&amp;"" ""&amp;C176,""[^а-яa-z0-9 ]"","" ""))"),"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f>
        <v xml:space="preserve">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v>
      </c>
      <c r="G176" s="4" t="str">
        <f ca="1">IFERROR(__xludf.DUMMYFUNCTION("TEXTJOIN(""|"",TRUE,UNIQUE(FILTER(SPLIT(F176,"" ""),LEN(SPLIT(F176,"" ""))&gt;2)))"),"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f>
        <v>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v>
      </c>
      <c r="I176" s="1"/>
      <c r="J176" s="1"/>
    </row>
    <row r="177" spans="1:10" x14ac:dyDescent="0.2">
      <c r="A177" s="8" t="s">
        <v>3075</v>
      </c>
      <c r="B177" s="7" t="s">
        <v>3074</v>
      </c>
      <c r="C177" s="7" t="s">
        <v>3073</v>
      </c>
      <c r="D177" s="6">
        <v>30400</v>
      </c>
      <c r="E177" s="5">
        <v>14</v>
      </c>
      <c r="F177" s="4" t="str">
        <f ca="1">IFERROR(__xludf.DUMMYFUNCTION("LOWER(REGEXREPLACE(B177&amp;"" ""&amp;C177,""[^а-яa-z0-9 ]"","" ""))"),"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f>
        <v xml:space="preserve">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v>
      </c>
      <c r="G177" s="4" t="str">
        <f ca="1">IFERROR(__xludf.DUMMYFUNCTION("TEXTJOIN(""|"",TRUE,UNIQUE(FILTER(SPLIT(F177,"" ""),LEN(SPLIT(F177,"" ""))&gt;2)))"),"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f>
        <v>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v>
      </c>
      <c r="I177" s="1"/>
      <c r="J177" s="1"/>
    </row>
    <row r="178" spans="1:10" x14ac:dyDescent="0.2">
      <c r="A178" s="8" t="s">
        <v>3072</v>
      </c>
      <c r="B178" s="7" t="s">
        <v>3071</v>
      </c>
      <c r="C178" s="7" t="s">
        <v>3070</v>
      </c>
      <c r="D178" s="6">
        <v>33600</v>
      </c>
      <c r="E178" s="5">
        <v>7</v>
      </c>
      <c r="F178" s="4" t="str">
        <f ca="1">IFERROR(__xludf.DUMMYFUNCTION("LOWER(REGEXREPLACE(B178&amp;"" ""&amp;C178,""[^а-яa-z0-9 ]"","" ""))"),"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f>
        <v xml:space="preserve">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v>
      </c>
      <c r="G178" s="4" t="str">
        <f ca="1">IFERROR(__xludf.DUMMYFUNCTION("TEXTJOIN(""|"",TRUE,UNIQUE(FILTER(SPLIT(F178,"" ""),LEN(SPLIT(F178,"" ""))&gt;2)))"),"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f>
        <v>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v>
      </c>
      <c r="I178" s="1"/>
      <c r="J178" s="1"/>
    </row>
    <row r="179" spans="1:10" x14ac:dyDescent="0.2">
      <c r="A179" s="8" t="s">
        <v>3069</v>
      </c>
      <c r="B179" s="7" t="s">
        <v>3068</v>
      </c>
      <c r="C179" s="7" t="s">
        <v>3067</v>
      </c>
      <c r="D179" s="6">
        <v>5700</v>
      </c>
      <c r="E179" s="5">
        <v>14</v>
      </c>
      <c r="F179" s="4" t="str">
        <f ca="1">IFERROR(__xludf.DUMMYFUNCTION("LOWER(REGEXREPLACE(B179&amp;"" ""&amp;C179,""[^а-яa-z0-9 ]"","" ""))"),"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f>
        <v xml:space="preserve">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v>
      </c>
      <c r="G179" s="4" t="str">
        <f ca="1">IFERROR(__xludf.DUMMYFUNCTION("TEXTJOIN(""|"",TRUE,UNIQUE(FILTER(SPLIT(F179,"" ""),LEN(SPLIT(F179,"" ""))&gt;2)))"),"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f>
        <v>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v>
      </c>
      <c r="I179" s="1"/>
      <c r="J179" s="1"/>
    </row>
    <row r="180" spans="1:10" x14ac:dyDescent="0.2">
      <c r="A180" s="8" t="s">
        <v>3066</v>
      </c>
      <c r="B180" s="7" t="s">
        <v>3065</v>
      </c>
      <c r="C180" s="7" t="s">
        <v>3064</v>
      </c>
      <c r="D180" s="6">
        <v>76000</v>
      </c>
      <c r="E180" s="5">
        <v>5</v>
      </c>
      <c r="F180" s="4" t="str">
        <f ca="1">IFERROR(__xludf.DUMMYFUNCTION("LOWER(REGEXREPLACE(B180&amp;"" ""&amp;C180,""[^а-яa-z0-9 ]"","" ""))"),"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f>
        <v xml:space="preserve">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v>
      </c>
      <c r="G180" s="4" t="str">
        <f ca="1">IFERROR(__xludf.DUMMYFUNCTION("TEXTJOIN(""|"",TRUE,UNIQUE(FILTER(SPLIT(F180,"" ""),LEN(SPLIT(F180,"" ""))&gt;2)))"),"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f>
        <v>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v>
      </c>
      <c r="I180" s="1"/>
      <c r="J180" s="1"/>
    </row>
    <row r="181" spans="1:10" x14ac:dyDescent="0.2">
      <c r="A181" s="8" t="s">
        <v>3063</v>
      </c>
      <c r="B181" s="7" t="s">
        <v>3062</v>
      </c>
      <c r="C181" s="7" t="s">
        <v>3061</v>
      </c>
      <c r="D181" s="6">
        <v>68800</v>
      </c>
      <c r="E181" s="5">
        <v>5</v>
      </c>
      <c r="F181" s="4" t="str">
        <f ca="1">IFERROR(__xludf.DUMMYFUNCTION("LOWER(REGEXREPLACE(B181&amp;"" ""&amp;C181,""[^а-яa-z0-9 ]"","" ""))"),"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6"&amp;"00 мм ")</f>
        <v xml:space="preserve">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v>
      </c>
      <c r="G181" s="4" t="str">
        <f ca="1">IFERROR(__xludf.DUMMYFUNCTION("TEXTJOIN(""|"",TRUE,UNIQUE(FILTER(SPLIT(F181,"" ""),LEN(SPLIT(F181,"" ""))&gt;2)))"),"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f>
        <v>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v>
      </c>
      <c r="I181" s="1"/>
      <c r="J181" s="1"/>
    </row>
    <row r="182" spans="1:10" x14ac:dyDescent="0.2">
      <c r="A182" s="8" t="s">
        <v>3060</v>
      </c>
      <c r="B182" s="7" t="s">
        <v>3059</v>
      </c>
      <c r="C182" s="7" t="s">
        <v>3058</v>
      </c>
      <c r="D182" s="6">
        <v>47500</v>
      </c>
      <c r="E182" s="5">
        <v>5</v>
      </c>
      <c r="F182" s="4" t="str">
        <f ca="1">IFERROR(__xludf.DUMMYFUNCTION("LOWER(REGEXREPLACE(B182&amp;"" ""&amp;C182,""[^а-яa-z0-9 ]"","" ""))"),"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игр"&amp;"ы способствует развитию воображения и представлений о транспорте   онструкция рассчитана на многократное использование ")</f>
        <v xml:space="preserve">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v>
      </c>
      <c r="G182" s="4" t="str">
        <f ca="1">IFERROR(__xludf.DUMMYFUNCTION("TEXTJOIN(""|"",TRUE,UNIQUE(FILTER(SPLIT(F182,"" ""),LEN(SPLIT(F182,"" ""))&gt;2)))"),"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amp;"азвитию|воображения|представлений|транспорте|онструкция|рассчитана|многократное|использование")</f>
        <v>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v>
      </c>
      <c r="I182" s="1"/>
      <c r="J182" s="1"/>
    </row>
    <row r="183" spans="1:10" x14ac:dyDescent="0.2">
      <c r="A183" s="8" t="s">
        <v>3057</v>
      </c>
      <c r="B183" s="7" t="s">
        <v>3056</v>
      </c>
      <c r="C183" s="7" t="s">
        <v>2414</v>
      </c>
      <c r="D183" s="6">
        <v>1400</v>
      </c>
      <c r="E183" s="5">
        <v>1</v>
      </c>
      <c r="F183" s="4" t="str">
        <f ca="1">IFERROR(__xludf.DUMMYFUNCTION("LOWER(REGEXREPLACE(B183&amp;"" ""&amp;C183,""[^а-яa-z0-9 ]"","" ""))"),"   ылды  бояма     л к    мная  раскраска   аскрась по коду   ранспорт  енаги   ")</f>
        <v xml:space="preserve">   ылды  бояма     л к    мная  раскраска   аскрась по коду   ранспорт  енаги   </v>
      </c>
      <c r="G183" s="4" t="str">
        <f ca="1">IFERROR(__xludf.DUMMYFUNCTION("TEXTJOIN(""|"",TRUE,UNIQUE(FILTER(SPLIT(F183,"" ""),LEN(SPLIT(F183,"" ""))&gt;2)))"),"ылды|бояма|мная|раскраска|аскрась|коду|ранспорт|енаги")</f>
        <v>ылды|бояма|мная|раскраска|аскрась|коду|ранспорт|енаги</v>
      </c>
      <c r="I183" s="1"/>
      <c r="J183" s="1"/>
    </row>
    <row r="184" spans="1:10" x14ac:dyDescent="0.2">
      <c r="A184" s="8" t="s">
        <v>3055</v>
      </c>
      <c r="B184" s="7" t="s">
        <v>3054</v>
      </c>
      <c r="C184" s="7" t="s">
        <v>3021</v>
      </c>
      <c r="D184" s="6">
        <v>11000</v>
      </c>
      <c r="E184" s="5">
        <v>1</v>
      </c>
      <c r="F184" s="4" t="str">
        <f ca="1">IFERROR(__xludf.DUMMYFUNCTION("LOWER(REGEXREPLACE(B184&amp;"" ""&amp;C184,""[^а-яa-z0-9 ]"","" ""))")," бай   ара с здер  бай   брагим   унанбаев")</f>
        <v xml:space="preserve"> бай   ара с здер  бай   брагим   унанбаев</v>
      </c>
      <c r="G184" s="4" t="str">
        <f ca="1">IFERROR(__xludf.DUMMYFUNCTION("TEXTJOIN(""|"",TRUE,UNIQUE(FILTER(SPLIT(F184,"" ""),LEN(SPLIT(F184,"" ""))&gt;2)))"),"бай|ара|здер|бай|брагим|унанбаев")</f>
        <v>бай|ара|здер|бай|брагим|унанбаев</v>
      </c>
      <c r="I184" s="1"/>
      <c r="J184" s="1"/>
    </row>
    <row r="185" spans="1:10" x14ac:dyDescent="0.2">
      <c r="A185" s="8" t="s">
        <v>3053</v>
      </c>
      <c r="B185" s="7" t="s">
        <v>3052</v>
      </c>
      <c r="C185" s="7" t="s">
        <v>3051</v>
      </c>
      <c r="D185" s="6">
        <v>22700</v>
      </c>
      <c r="E185" s="5">
        <v>5</v>
      </c>
      <c r="F185" s="4" t="str">
        <f ca="1">IFERROR(__xludf.DUMMYFUNCTION("LOWER(REGEXREPLACE(B185&amp;"" ""&amp;C185,""[^а-яa-z0-9 ]"","" ""))"),"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а"&amp;"ксессуаров   пособствует развитию воображения  социальных и коммуникативных навыков ")</f>
        <v xml:space="preserve">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v>
      </c>
      <c r="G185" s="4" t="str">
        <f ca="1">IFERROR(__xludf.DUMMYFUNCTION("TEXTJOIN(""|"",TRUE,UNIQUE(FILTER(SPLIT(F185,"" ""),LEN(SPLIT(F185,"" ""))&gt;2)))"),"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amp;"азвитию|воображения|социальных|коммуникативных|навыков")</f>
        <v>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v>
      </c>
      <c r="I185" s="1"/>
      <c r="J185" s="1"/>
    </row>
    <row r="186" spans="1:10" x14ac:dyDescent="0.2">
      <c r="A186" s="8" t="s">
        <v>3050</v>
      </c>
      <c r="B186" s="7" t="s">
        <v>3049</v>
      </c>
      <c r="C186" s="7" t="s">
        <v>3048</v>
      </c>
      <c r="D186" s="6">
        <v>66400</v>
      </c>
      <c r="E186" s="5">
        <v>5</v>
      </c>
      <c r="F186" s="4" t="str">
        <f ca="1">IFERROR(__xludf.DUMMYFUNCTION("LOWER(REGEXREPLACE(B186&amp;"" ""&amp;C186,""[^а-яa-z0-9 ]"","" ""))"),"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f>
        <v xml:space="preserve">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v>
      </c>
      <c r="G186" s="4" t="str">
        <f ca="1">IFERROR(__xludf.DUMMYFUNCTION("TEXTJOIN(""|"",TRUE,UNIQUE(FILTER(SPLIT(F186,"" ""),LEN(SPLIT(F186,"" ""))&gt;2)))"),"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f>
        <v>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v>
      </c>
      <c r="I186" s="1"/>
      <c r="J186" s="1"/>
    </row>
    <row r="187" spans="1:10" x14ac:dyDescent="0.2">
      <c r="A187" s="8" t="s">
        <v>3047</v>
      </c>
      <c r="B187" s="7" t="s">
        <v>3046</v>
      </c>
      <c r="C187" s="7" t="s">
        <v>3045</v>
      </c>
      <c r="D187" s="6">
        <v>27600</v>
      </c>
      <c r="E187" s="5">
        <v>10</v>
      </c>
      <c r="F187" s="4" t="str">
        <f ca="1">IFERROR(__xludf.DUMMYFUNCTION("LOWER(REGEXREPLACE(B187&amp;"" ""&amp;C187,""[^а-яa-z0-9 ]"","" ""))"),"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"&amp;"и позволяет собрать до 15 проектов   атериал изготовления   полимер ")</f>
        <v xml:space="preserve">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v>
      </c>
      <c r="G187" s="4" t="str">
        <f ca="1">IFERROR(__xludf.DUMMYFUNCTION("TEXTJOIN(""|"",TRUE,UNIQUE(FILTER(SPLIT(F187,"" ""),LEN(SPLIT(F187,"" ""))&gt;2)))"),"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amp;"ть|проектов|атериал|изготовления|полимер")</f>
        <v>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v>
      </c>
      <c r="I187" s="1"/>
      <c r="J187" s="1"/>
    </row>
    <row r="188" spans="1:10" x14ac:dyDescent="0.2">
      <c r="A188" s="8" t="s">
        <v>3044</v>
      </c>
      <c r="B188" s="7" t="s">
        <v>3043</v>
      </c>
      <c r="C188" s="7" t="s">
        <v>3042</v>
      </c>
      <c r="D188" s="6">
        <v>84600</v>
      </c>
      <c r="E188" s="5">
        <v>7</v>
      </c>
      <c r="F188" s="4" t="str">
        <f ca="1">IFERROR(__xludf.DUMMYFUNCTION("LOWER(REGEXREPLACE(B188&amp;"" ""&amp;C188,""[^а-яa-z0-9 ]"","" ""))"),"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ст"&amp;"ильных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столо"&amp;"вую и спальню  оформленные в красочном стиле комплект легко складывать    комплекте  дом  кукла  питомец  мебель и множество тематических аксессуаров ")</f>
        <v xml:space="preserve">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v>
      </c>
      <c r="G188" s="4" t="str">
        <f ca="1">IFERROR(__xludf.DUMMYFUNCTION("TEXTJOIN(""|"",TRUE,UNIQUE(FILTER(SPLIT(F188,"" ""),LEN(SPLIT(F188,"" ""))&gt;2)))"),"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amp;"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amp;"т|легко|складывать|комплекте|дом|кукла|питомец|мебель|множество|тематических|аксессуаров")</f>
        <v>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v>
      </c>
      <c r="I188" s="1"/>
      <c r="J188" s="1"/>
    </row>
    <row r="189" spans="1:10" x14ac:dyDescent="0.2">
      <c r="A189" s="8" t="s">
        <v>3041</v>
      </c>
      <c r="B189" s="7" t="s">
        <v>3040</v>
      </c>
      <c r="C189" s="7" t="s">
        <v>3039</v>
      </c>
      <c r="D189" s="6">
        <v>9500</v>
      </c>
      <c r="E189" s="5">
        <v>5</v>
      </c>
      <c r="F189" s="4" t="str">
        <f ca="1">IFERROR(__xludf.DUMMYFUNCTION("LOWER(REGEXREPLACE(B189&amp;"" ""&amp;C189,""[^а-яa-z0-9 ]"","" ""))"),"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f>
        <v xml:space="preserve">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v>
      </c>
      <c r="G189" s="4" t="str">
        <f ca="1">IFERROR(__xludf.DUMMYFUNCTION("TEXTJOIN(""|"",TRUE,UNIQUE(FILTER(SPLIT(F189,"" ""),LEN(SPLIT(F189,"" ""))&gt;2)))"),"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f>
        <v>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v>
      </c>
      <c r="I189" s="1"/>
      <c r="J189" s="1"/>
    </row>
    <row r="190" spans="1:10" x14ac:dyDescent="0.2">
      <c r="A190" s="8" t="s">
        <v>3038</v>
      </c>
      <c r="B190" s="7" t="s">
        <v>3037</v>
      </c>
      <c r="C190" s="7" t="s">
        <v>3036</v>
      </c>
      <c r="D190" s="6">
        <v>10500</v>
      </c>
      <c r="E190" s="5">
        <v>5</v>
      </c>
      <c r="F190" s="4" t="str">
        <f ca="1">IFERROR(__xludf.DUMMYFUNCTION("LOWER(REGEXREPLACE(B190&amp;"" ""&amp;C190,""[^а-яa-z0-9 ]"","" ""))"),"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f>
        <v xml:space="preserve">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v>
      </c>
      <c r="G190" s="4" t="str">
        <f ca="1">IFERROR(__xludf.DUMMYFUNCTION("TEXTJOIN(""|"",TRUE,UNIQUE(FILTER(SPLIT(F190,"" ""),LEN(SPLIT(F190,"" ""))&gt;2)))"),"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f>
        <v>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v>
      </c>
      <c r="I190" s="1"/>
      <c r="J190" s="1"/>
    </row>
    <row r="191" spans="1:10" x14ac:dyDescent="0.2">
      <c r="A191" s="8" t="s">
        <v>3035</v>
      </c>
      <c r="B191" s="7" t="s">
        <v>3034</v>
      </c>
      <c r="C191" s="7" t="s">
        <v>3033</v>
      </c>
      <c r="D191" s="6">
        <v>14600</v>
      </c>
      <c r="E191" s="5">
        <v>7</v>
      </c>
      <c r="F191" s="4" t="str">
        <f ca="1">IFERROR(__xludf.DUMMYFUNCTION("LOWER(REGEXREPLACE(B191&amp;"" ""&amp;C191,""[^а-яa-z0-9 ]"","" ""))"),"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f>
        <v xml:space="preserve">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v>
      </c>
      <c r="G191" s="4" t="str">
        <f ca="1">IFERROR(__xludf.DUMMYFUNCTION("TEXTJOIN(""|"",TRUE,UNIQUE(FILTER(SPLIT(F191,"" ""),LEN(SPLIT(F191,"" ""))&gt;2)))"),"гровой|набор|октор|гровой|набор|используется|для|сюжетно|ролевых|игр|тему|медицинской|помощи|ключает|игровые|инструменты|врача|атериал|изготовления|пластик")</f>
        <v>гровой|набор|октор|гровой|набор|используется|для|сюжетно|ролевых|игр|тему|медицинской|помощи|ключает|игровые|инструменты|врача|атериал|изготовления|пластик</v>
      </c>
      <c r="I191" s="1"/>
      <c r="J191" s="1"/>
    </row>
    <row r="192" spans="1:10" x14ac:dyDescent="0.2">
      <c r="A192" s="8" t="s">
        <v>3032</v>
      </c>
      <c r="B192" s="7" t="s">
        <v>3031</v>
      </c>
      <c r="C192" s="7" t="s">
        <v>3030</v>
      </c>
      <c r="D192" s="6">
        <v>34000</v>
      </c>
      <c r="E192" s="5">
        <v>5</v>
      </c>
      <c r="F192" s="4" t="str">
        <f ca="1">IFERROR(__xludf.DUMMYFUNCTION("LOWER(REGEXREPLACE(B192&amp;"" ""&amp;C192,""[^а-яa-z0-9 ]"","" ""))"),"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развит"&amp;"ия социальных навыков  речи и элементарных математических представлений ")</f>
        <v xml:space="preserve">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v>
      </c>
      <c r="G192" s="4" t="str">
        <f ca="1">IFERROR(__xludf.DUMMYFUNCTION("TEXTJOIN(""|"",TRUE,UNIQUE(FILTER(SPLIT(F192,"" ""),LEN(SPLIT(F192,"" ""))&gt;2)))"),"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amp;"элементарных|математических|представлений")</f>
        <v>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v>
      </c>
      <c r="I192" s="1"/>
      <c r="J192" s="1"/>
    </row>
    <row r="193" spans="1:10" x14ac:dyDescent="0.2">
      <c r="A193" s="8" t="s">
        <v>3029</v>
      </c>
      <c r="B193" s="7" t="s">
        <v>3028</v>
      </c>
      <c r="C193" s="7" t="s">
        <v>3027</v>
      </c>
      <c r="D193" s="6">
        <v>8500</v>
      </c>
      <c r="E193" s="5">
        <v>5</v>
      </c>
      <c r="F193" s="4" t="str">
        <f ca="1">IFERROR(__xludf.DUMMYFUNCTION("LOWER(REGEXREPLACE(B193&amp;"" ""&amp;C193,""[^а-яa-z0-9 ]"","" ""))"),"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"&amp;" атериал изготовления   пластик ")</f>
        <v xml:space="preserve">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v>
      </c>
      <c r="G193" s="4" t="str">
        <f ca="1">IFERROR(__xludf.DUMMYFUNCTION("TEXTJOIN(""|"",TRUE,UNIQUE(FILTER(SPLIT(F193,"" ""),LEN(SPLIT(F193,"" ""))&gt;2)))"),"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amp;"ик")</f>
        <v>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v>
      </c>
      <c r="I193" s="1"/>
      <c r="J193" s="1"/>
    </row>
    <row r="194" spans="1:10" x14ac:dyDescent="0.2">
      <c r="A194" s="8" t="s">
        <v>3026</v>
      </c>
      <c r="B194" s="7" t="s">
        <v>3025</v>
      </c>
      <c r="C194" s="7" t="s">
        <v>3024</v>
      </c>
      <c r="D194" s="6">
        <v>59700</v>
      </c>
      <c r="E194" s="5">
        <v>5</v>
      </c>
      <c r="F194" s="4" t="str">
        <f ca="1">IFERROR(__xludf.DUMMYFUNCTION("LOWER(REGEXREPLACE(B194&amp;"" ""&amp;C194,""[^а-яa-z0-9 ]"","" ""))"),"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f>
        <v xml:space="preserve">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v>
      </c>
      <c r="G194" s="4" t="str">
        <f ca="1">IFERROR(__xludf.DUMMYFUNCTION("TEXTJOIN(""|"",TRUE,UNIQUE(FILTER(SPLIT(F194,"" ""),LEN(SPLIT(F194,"" ""))&gt;2)))"),"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f>
        <v>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v>
      </c>
      <c r="I194" s="1"/>
      <c r="J194" s="1"/>
    </row>
    <row r="195" spans="1:10" x14ac:dyDescent="0.2">
      <c r="A195" s="8" t="s">
        <v>3023</v>
      </c>
      <c r="B195" s="7" t="s">
        <v>3022</v>
      </c>
      <c r="C195" s="7" t="s">
        <v>3021</v>
      </c>
      <c r="D195" s="6">
        <v>11000</v>
      </c>
      <c r="E195" s="5">
        <v>1</v>
      </c>
      <c r="F195" s="4" t="str">
        <f ca="1">IFERROR(__xludf.DUMMYFUNCTION("LOWER(REGEXREPLACE(B195&amp;"" ""&amp;C195,""[^а-яa-z0-9 ]"","" ""))")," бай   лова назидания  бай   брагим   унанбаев")</f>
        <v xml:space="preserve"> бай   лова назидания  бай   брагим   унанбаев</v>
      </c>
      <c r="G195" s="4" t="str">
        <f ca="1">IFERROR(__xludf.DUMMYFUNCTION("TEXTJOIN(""|"",TRUE,UNIQUE(FILTER(SPLIT(F195,"" ""),LEN(SPLIT(F195,"" ""))&gt;2)))"),"бай|лова|назидания|бай|брагим|унанбаев")</f>
        <v>бай|лова|назидания|бай|брагим|унанбаев</v>
      </c>
      <c r="I195" s="1"/>
      <c r="J195" s="1"/>
    </row>
    <row r="196" spans="1:10" x14ac:dyDescent="0.2">
      <c r="A196" s="8" t="s">
        <v>3020</v>
      </c>
      <c r="B196" s="7" t="s">
        <v>3019</v>
      </c>
      <c r="C196" s="7" t="s">
        <v>3018</v>
      </c>
      <c r="D196" s="6">
        <v>18300</v>
      </c>
      <c r="E196" s="5">
        <v>5</v>
      </c>
      <c r="F196" s="4" t="str">
        <f ca="1">IFERROR(__xludf.DUMMYFUNCTION("LOWER(REGEXREPLACE(B196&amp;"" ""&amp;C196,""[^а-яa-z0-9 ]"","" ""))"),"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плас"&amp;"тик ")</f>
        <v xml:space="preserve">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v>
      </c>
      <c r="G196" s="4" t="str">
        <f ca="1">IFERROR(__xludf.DUMMYFUNCTION("TEXTJOIN(""|"",TRUE,UNIQUE(FILTER(SPLIT(F196,"" ""),LEN(SPLIT(F196,"" ""))&gt;2)))"),"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f>
        <v>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v>
      </c>
      <c r="I196" s="1"/>
      <c r="J196" s="1"/>
    </row>
    <row r="197" spans="1:10" x14ac:dyDescent="0.2">
      <c r="A197" s="8" t="s">
        <v>3017</v>
      </c>
      <c r="B197" s="7" t="s">
        <v>3016</v>
      </c>
      <c r="C197" s="7" t="s">
        <v>3015</v>
      </c>
      <c r="D197" s="6">
        <v>118600</v>
      </c>
      <c r="E197" s="5">
        <v>12</v>
      </c>
      <c r="F197" s="4" t="str">
        <f ca="1">IFERROR(__xludf.DUMMYFUNCTION("LOWER(REGEXREPLACE(B197&amp;"" ""&amp;C197,""[^а-яa-z0-9 ]"","" ""))"),"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деятель"&amp;"ность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f>
        <v xml:space="preserve">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v>
      </c>
      <c r="G197" s="4" t="str">
        <f ca="1">IFERROR(__xludf.DUMMYFUNCTION("TEXTJOIN(""|"",TRUE,UNIQUE(FILTER(SPLIT(F197,"" ""),LEN(SPLIT(F197,"" ""))&gt;2)))"),"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amp;"|координации|движений|навыков|сюжетно|ролевой|игры|кухня|кафе|омплект|включает|менее|элементов|атериал|изготовления|дерево")</f>
        <v>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v>
      </c>
      <c r="I197" s="1"/>
      <c r="J197" s="1"/>
    </row>
    <row r="198" spans="1:10" x14ac:dyDescent="0.2">
      <c r="A198" s="8" t="s">
        <v>3014</v>
      </c>
      <c r="B198" s="7" t="s">
        <v>3013</v>
      </c>
      <c r="C198" s="7" t="s">
        <v>3012</v>
      </c>
      <c r="D198" s="6">
        <v>7400</v>
      </c>
      <c r="E198" s="5">
        <v>5</v>
      </c>
      <c r="F198" s="4" t="str">
        <f ca="1">IFERROR(__xludf.DUMMYFUNCTION("LOWER(REGEXREPLACE(B198&amp;"" ""&amp;C198,""[^а-яa-z0-9 ]"","" ""))"),"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атериа"&amp;"л изготовления   пластик ")</f>
        <v xml:space="preserve">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v>
      </c>
      <c r="G198" s="4" t="str">
        <f ca="1">IFERROR(__xludf.DUMMYFUNCTION("TEXTJOIN(""|"",TRUE,UNIQUE(FILTER(SPLIT(F198,"" ""),LEN(SPLIT(F198,"" ""))&gt;2)))"),"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f>
        <v>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v>
      </c>
      <c r="I198" s="1"/>
      <c r="J198" s="1"/>
    </row>
    <row r="199" spans="1:10" x14ac:dyDescent="0.2">
      <c r="A199" s="8" t="s">
        <v>3011</v>
      </c>
      <c r="B199" s="7" t="s">
        <v>3010</v>
      </c>
      <c r="C199" s="7" t="s">
        <v>3009</v>
      </c>
      <c r="D199" s="6">
        <v>17100</v>
      </c>
      <c r="E199" s="5">
        <v>5</v>
      </c>
      <c r="F199" s="4" t="str">
        <f ca="1">IFERROR(__xludf.DUMMYFUNCTION("LOWER(REGEXREPLACE(B199&amp;"" ""&amp;C199,""[^а-яa-z0-9 ]"","" ""))"),"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f>
        <v xml:space="preserve">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v>
      </c>
      <c r="G199" s="4" t="str">
        <f ca="1">IFERROR(__xludf.DUMMYFUNCTION("TEXTJOIN(""|"",TRUE,UNIQUE(FILTER(SPLIT(F199,"" ""),LEN(SPLIT(F199,"" ""))&gt;2)))"),"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f>
        <v>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v>
      </c>
      <c r="I199" s="1"/>
      <c r="J199" s="1"/>
    </row>
    <row r="200" spans="1:10" x14ac:dyDescent="0.2">
      <c r="A200" s="8" t="s">
        <v>3008</v>
      </c>
      <c r="B200" s="7" t="s">
        <v>3007</v>
      </c>
      <c r="C200" s="7" t="s">
        <v>3006</v>
      </c>
      <c r="D200" s="6">
        <v>14200</v>
      </c>
      <c r="E200" s="5">
        <v>12</v>
      </c>
      <c r="F200" s="4" t="str">
        <f ca="1">IFERROR(__xludf.DUMMYFUNCTION("LOWER(REGEXREPLACE(B200&amp;"" ""&amp;C200,""[^а-яa-z0-9 ]"","" ""))"),"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предме"&amp;"тов   около 75   атериал   пластик ")</f>
        <v xml:space="preserve">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v>
      </c>
      <c r="G200" s="4" t="str">
        <f ca="1">IFERROR(__xludf.DUMMYFUNCTION("TEXTJOIN(""|"",TRUE,UNIQUE(FILTER(SPLIT(F200,"" ""),LEN(SPLIT(F200,"" ""))&gt;2)))"),"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f>
        <v>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v>
      </c>
      <c r="I200" s="1"/>
      <c r="J200" s="1"/>
    </row>
    <row r="201" spans="1:10" x14ac:dyDescent="0.2">
      <c r="A201" s="8" t="s">
        <v>3005</v>
      </c>
      <c r="B201" s="7" t="s">
        <v>3004</v>
      </c>
      <c r="C201" s="7" t="s">
        <v>3003</v>
      </c>
      <c r="D201" s="6">
        <v>52400</v>
      </c>
      <c r="E201" s="5">
        <v>10</v>
      </c>
      <c r="F201" s="4" t="str">
        <f ca="1">IFERROR(__xludf.DUMMYFUNCTION("LOWER(REGEXREPLACE(B201&amp;"" ""&amp;C201,""[^а-яa-z0-9 ]"","" ""))"),"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f>
        <v xml:space="preserve">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v>
      </c>
      <c r="G201" s="4" t="str">
        <f ca="1">IFERROR(__xludf.DUMMYFUNCTION("TEXTJOIN(""|"",TRUE,UNIQUE(FILTER(SPLIT(F201,"" ""),LEN(SPLIT(F201,"" ""))&gt;2)))"),"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f>
        <v>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v>
      </c>
      <c r="I201" s="1"/>
      <c r="J201" s="1"/>
    </row>
    <row r="202" spans="1:10" x14ac:dyDescent="0.2">
      <c r="A202" s="8" t="s">
        <v>3002</v>
      </c>
      <c r="B202" s="7" t="s">
        <v>3001</v>
      </c>
      <c r="C202" s="7" t="s">
        <v>3000</v>
      </c>
      <c r="D202" s="6">
        <v>7500</v>
      </c>
      <c r="E202" s="5">
        <v>5</v>
      </c>
      <c r="F202" s="4" t="str">
        <f ca="1">IFERROR(__xludf.DUMMYFUNCTION("LOWER(REGEXREPLACE(B202&amp;"" ""&amp;C202,""[^а-яa-z0-9 ]"","" ""))"),"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f>
        <v xml:space="preserve">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v>
      </c>
      <c r="G202" s="4" t="str">
        <f ca="1">IFERROR(__xludf.DUMMYFUNCTION("TEXTJOIN(""|"",TRUE,UNIQUE(FILTER(SPLIT(F202,"" ""),LEN(SPLIT(F202,"" ""))&gt;2)))"),"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f>
        <v>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v>
      </c>
      <c r="I202" s="1"/>
      <c r="J202" s="1"/>
    </row>
    <row r="203" spans="1:10" x14ac:dyDescent="0.2">
      <c r="A203" s="8" t="s">
        <v>2999</v>
      </c>
      <c r="B203" s="7" t="s">
        <v>2998</v>
      </c>
      <c r="C203" s="7" t="s">
        <v>2997</v>
      </c>
      <c r="D203" s="6">
        <v>23800</v>
      </c>
      <c r="E203" s="5">
        <v>5</v>
      </c>
      <c r="F203" s="4" t="str">
        <f ca="1">IFERROR(__xludf.DUMMYFUNCTION("LOWER(REGEXREPLACE(B203&amp;"" ""&amp;C203,""[^а-яa-z0-9 ]"","" ""))"),"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окол"&amp;"о 30 предметов ")</f>
        <v xml:space="preserve">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v>
      </c>
      <c r="G203" s="4" t="str">
        <f ca="1">IFERROR(__xludf.DUMMYFUNCTION("TEXTJOIN(""|"",TRUE,UNIQUE(FILTER(SPLIT(F203,"" ""),LEN(SPLIT(F203,"" ""))&gt;2)))"),"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f>
        <v>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v>
      </c>
      <c r="I203" s="1"/>
      <c r="J203" s="1"/>
    </row>
    <row r="204" spans="1:10" x14ac:dyDescent="0.2">
      <c r="A204" s="8" t="s">
        <v>2996</v>
      </c>
      <c r="B204" s="7" t="s">
        <v>2995</v>
      </c>
      <c r="C204" s="7" t="s">
        <v>2994</v>
      </c>
      <c r="D204" s="6">
        <v>19000</v>
      </c>
      <c r="E204" s="5">
        <v>5</v>
      </c>
      <c r="F204" s="4" t="str">
        <f ca="1">IFERROR(__xludf.DUMMYFUNCTION("LOWER(REGEXREPLACE(B204&amp;"" ""&amp;C204,""[^а-яa-z0-9 ]"","" ""))"),"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f>
        <v xml:space="preserve">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v>
      </c>
      <c r="G204" s="4" t="str">
        <f ca="1">IFERROR(__xludf.DUMMYFUNCTION("TEXTJOIN(""|"",TRUE,UNIQUE(FILTER(SPLIT(F204,"" ""),LEN(SPLIT(F204,"" ""))&gt;2)))"),"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f>
        <v>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v>
      </c>
      <c r="I204" s="1"/>
      <c r="J204" s="1"/>
    </row>
    <row r="205" spans="1:10" x14ac:dyDescent="0.2">
      <c r="A205" s="8" t="s">
        <v>2993</v>
      </c>
      <c r="B205" s="7" t="s">
        <v>2992</v>
      </c>
      <c r="C205" s="7" t="s">
        <v>2991</v>
      </c>
      <c r="D205" s="6">
        <v>11700</v>
      </c>
      <c r="E205" s="5">
        <v>14</v>
      </c>
      <c r="F205" s="4" t="str">
        <f ca="1">IFERROR(__xludf.DUMMYFUNCTION("LOWER(REGEXREPLACE(B205&amp;"" ""&amp;C205,""[^а-яa-z0-9 ]"","" ""))"),"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f>
        <v xml:space="preserve">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v>
      </c>
      <c r="G205" s="4" t="str">
        <f ca="1">IFERROR(__xludf.DUMMYFUNCTION("TEXTJOIN(""|"",TRUE,UNIQUE(FILTER(SPLIT(F205,"" ""),LEN(SPLIT(F205,"" ""))&gt;2)))"),"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f>
        <v>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v>
      </c>
      <c r="I205" s="1"/>
      <c r="J205" s="1"/>
    </row>
    <row r="206" spans="1:10" x14ac:dyDescent="0.2">
      <c r="A206" s="8" t="s">
        <v>2990</v>
      </c>
      <c r="B206" s="7" t="s">
        <v>2989</v>
      </c>
      <c r="C206" s="7" t="s">
        <v>2988</v>
      </c>
      <c r="D206" s="6">
        <v>9000</v>
      </c>
      <c r="E206" s="5">
        <v>1</v>
      </c>
      <c r="F206" s="4" t="str">
        <f ca="1">IFERROR(__xludf.DUMMYFUNCTION("LOWER(REGEXREPLACE(B206&amp;"" ""&amp;C206,""[^а-яa-z0-9 ]"","" ""))")," дам денесi   алы тырмайтын анатомия  одригес  ида  ")</f>
        <v xml:space="preserve"> дам денесi   алы тырмайтын анатомия  одригес  ида  </v>
      </c>
      <c r="G206" s="4" t="str">
        <f ca="1">IFERROR(__xludf.DUMMYFUNCTION("TEXTJOIN(""|"",TRUE,UNIQUE(FILTER(SPLIT(F206,"" ""),LEN(SPLIT(F206,"" ""))&gt;2)))"),"дам|денесi|алы|тырмайтын|анатомия|одригес|ида")</f>
        <v>дам|денесi|алы|тырмайтын|анатомия|одригес|ида</v>
      </c>
      <c r="I206" s="1"/>
      <c r="J206" s="1"/>
    </row>
    <row r="207" spans="1:10" x14ac:dyDescent="0.2">
      <c r="A207" s="8" t="s">
        <v>2987</v>
      </c>
      <c r="B207" s="7" t="s">
        <v>2986</v>
      </c>
      <c r="C207" s="7" t="s">
        <v>2985</v>
      </c>
      <c r="D207" s="6">
        <v>7600</v>
      </c>
      <c r="E207" s="5">
        <v>1</v>
      </c>
      <c r="F207" s="4" t="str">
        <f ca="1">IFERROR(__xludf.DUMMYFUNCTION("LOWER(REGEXREPLACE(B207&amp;"" ""&amp;C207,""[^а-яa-z0-9 ]"","" ""))"),"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f>
        <v xml:space="preserve">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v>
      </c>
      <c r="G207" s="4" t="str">
        <f ca="1">IFERROR(__xludf.DUMMYFUNCTION("TEXTJOIN(""|"",TRUE,UNIQUE(FILTER(SPLIT(F207,"" ""),LEN(SPLIT(F207,"" ""))&gt;2)))"),"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f>
        <v>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v>
      </c>
      <c r="I207" s="1"/>
      <c r="J207" s="1"/>
    </row>
    <row r="208" spans="1:10" x14ac:dyDescent="0.2">
      <c r="A208" s="8" t="s">
        <v>2984</v>
      </c>
      <c r="B208" s="7" t="s">
        <v>2983</v>
      </c>
      <c r="C208" s="7" t="s">
        <v>2982</v>
      </c>
      <c r="D208" s="6">
        <v>7600</v>
      </c>
      <c r="E208" s="5">
        <v>1</v>
      </c>
      <c r="F208" s="4" t="str">
        <f ca="1">IFERROR(__xludf.DUMMYFUNCTION("LOWER(REGEXREPLACE(B208&amp;"" ""&amp;C208,""[^а-яa-z0-9 ]"","" ""))"),"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f>
        <v xml:space="preserve">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v>
      </c>
      <c r="G208" s="4" t="str">
        <f ca="1">IFERROR(__xludf.DUMMYFUNCTION("TEXTJOIN(""|"",TRUE,UNIQUE(FILTER(SPLIT(F208,"" ""),LEN(SPLIT(F208,"" ""))&gt;2)))"),"гровой|пазл|форме|машинки|грушка|выполнена|форме|машинки|набором|фигур|процессе|игры|выполняется|сборка|разборка|элементов|атериал|изготовления|дерево")</f>
        <v>гровой|пазл|форме|машинки|грушка|выполнена|форме|машинки|набором|фигур|процессе|игры|выполняется|сборка|разборка|элементов|атериал|изготовления|дерево</v>
      </c>
      <c r="I208" s="1"/>
      <c r="J208" s="1"/>
    </row>
    <row r="209" spans="1:10" x14ac:dyDescent="0.2">
      <c r="A209" s="8" t="s">
        <v>2981</v>
      </c>
      <c r="B209" s="7" t="s">
        <v>2980</v>
      </c>
      <c r="C209" s="7" t="s">
        <v>2979</v>
      </c>
      <c r="D209" s="6">
        <v>37400</v>
      </c>
      <c r="E209" s="5">
        <v>5</v>
      </c>
      <c r="F209" s="4" t="str">
        <f ca="1">IFERROR(__xludf.DUMMYFUNCTION("LOWER(REGEXREPLACE(B209&amp;"" ""&amp;C209,""[^а-яa-z0-9 ]"","" ""))"),"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f>
        <v xml:space="preserve">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v>
      </c>
      <c r="G209" s="4" t="str">
        <f ca="1">IFERROR(__xludf.DUMMYFUNCTION("TEXTJOIN(""|"",TRUE,UNIQUE(FILTER(SPLIT(F209,"" ""),LEN(SPLIT(F209,"" ""))&gt;2)))"),"гровые|фигурки|диких|животных|абор|включает|фигурки|диких|животных|спользуется|для|сюжетных|игр|тематических|занятий|комплект|входит|менее|фигурок")</f>
        <v>гровые|фигурки|диких|животных|абор|включает|фигурки|диких|животных|спользуется|для|сюжетных|игр|тематических|занятий|комплект|входит|менее|фигурок</v>
      </c>
      <c r="I209" s="1"/>
      <c r="J209" s="1"/>
    </row>
    <row r="210" spans="1:10" x14ac:dyDescent="0.2">
      <c r="A210" s="8" t="s">
        <v>2978</v>
      </c>
      <c r="B210" s="7" t="s">
        <v>2977</v>
      </c>
      <c r="C210" s="7" t="s">
        <v>2976</v>
      </c>
      <c r="D210" s="6">
        <v>22800</v>
      </c>
      <c r="E210" s="5">
        <v>7</v>
      </c>
      <c r="F210" s="4" t="str">
        <f ca="1">IFERROR(__xludf.DUMMYFUNCTION("LOWER(REGEXREPLACE(B210&amp;"" ""&amp;C210,""[^а-яa-z0-9 ]"","" ""))"),"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f>
        <v xml:space="preserve">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v>
      </c>
      <c r="G210" s="4" t="str">
        <f ca="1">IFERROR(__xludf.DUMMYFUNCTION("TEXTJOIN(""|"",TRUE,UNIQUE(FILTER(SPLIT(F210,"" ""),LEN(SPLIT(F210,"" ""))&gt;2)))"),"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f>
        <v>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v>
      </c>
      <c r="I210" s="1"/>
      <c r="J210" s="1"/>
    </row>
    <row r="211" spans="1:10" x14ac:dyDescent="0.2">
      <c r="A211" s="8" t="s">
        <v>2975</v>
      </c>
      <c r="B211" s="7" t="s">
        <v>2974</v>
      </c>
      <c r="C211" s="7" t="s">
        <v>2973</v>
      </c>
      <c r="D211" s="6">
        <v>20300</v>
      </c>
      <c r="E211" s="5">
        <v>5</v>
      </c>
      <c r="F211" s="4" t="str">
        <f ca="1">IFERROR(__xludf.DUMMYFUNCTION("LOWER(REGEXREPLACE(B211&amp;"" ""&amp;C211,""[^а-яa-z0-9 ]"","" ""))"),"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f>
        <v xml:space="preserve">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v>
      </c>
      <c r="G211" s="4" t="str">
        <f ca="1">IFERROR(__xludf.DUMMYFUNCTION("TEXTJOIN(""|"",TRUE,UNIQUE(FILTER(SPLIT(F211,"" ""),LEN(SPLIT(F211,"" ""))&gt;2)))"),"грушечная|ванна|для|кукол|ксессуар|предназначен|для|сюжетно|ролевых|игр|куклами|спользуется|для|имитации|гигиенических|процедур|атериал|изготовления|пластик")</f>
        <v>грушечная|ванна|для|кукол|ксессуар|предназначен|для|сюжетно|ролевых|игр|куклами|спользуется|для|имитации|гигиенических|процедур|атериал|изготовления|пластик</v>
      </c>
      <c r="I211" s="1"/>
      <c r="J211" s="1"/>
    </row>
    <row r="212" spans="1:10" x14ac:dyDescent="0.2">
      <c r="A212" s="8" t="s">
        <v>2972</v>
      </c>
      <c r="B212" s="7" t="s">
        <v>2971</v>
      </c>
      <c r="C212" s="7" t="s">
        <v>2970</v>
      </c>
      <c r="D212" s="6">
        <v>11700</v>
      </c>
      <c r="E212" s="5">
        <v>175</v>
      </c>
      <c r="F212" s="4" t="str">
        <f ca="1">IFERROR(__xludf.DUMMYFUNCTION("LOWER(REGEXREPLACE(B212&amp;"" ""&amp;C212,""[^а-яa-z0-9 ]"","" ""))"),"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f>
        <v xml:space="preserve">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v>
      </c>
      <c r="G212" s="4" t="str">
        <f ca="1">IFERROR(__xludf.DUMMYFUNCTION("TEXTJOIN(""|"",TRUE,UNIQUE(FILTER(SPLIT(F212,"" ""),LEN(SPLIT(F212,"" ""))&gt;2)))"),"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f>
        <v>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v>
      </c>
      <c r="I212" s="1"/>
      <c r="J212" s="1"/>
    </row>
    <row r="213" spans="1:10" x14ac:dyDescent="0.2">
      <c r="A213" s="8" t="s">
        <v>2969</v>
      </c>
      <c r="B213" s="7" t="s">
        <v>2968</v>
      </c>
      <c r="C213" s="7" t="s">
        <v>2967</v>
      </c>
      <c r="D213" s="6">
        <v>14100</v>
      </c>
      <c r="E213" s="5">
        <v>5</v>
      </c>
      <c r="F213" s="4" t="str">
        <f ca="1">IFERROR(__xludf.DUMMYFUNCTION("LOWER(REGEXREPLACE(B213&amp;"" ""&amp;C213,""[^а-яa-z0-9 ]"","" ""))"),"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f>
        <v xml:space="preserve">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v>
      </c>
      <c r="G213" s="4" t="str">
        <f ca="1">IFERROR(__xludf.DUMMYFUNCTION("TEXTJOIN(""|"",TRUE,UNIQUE(FILTER(SPLIT(F213,"" ""),LEN(SPLIT(F213,"" ""))&gt;2)))"),"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f>
        <v>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v>
      </c>
      <c r="I213" s="1"/>
      <c r="J213" s="1"/>
    </row>
    <row r="214" spans="1:10" x14ac:dyDescent="0.2">
      <c r="A214" s="8" t="s">
        <v>2966</v>
      </c>
      <c r="B214" s="7" t="s">
        <v>2965</v>
      </c>
      <c r="C214" s="7" t="s">
        <v>2964</v>
      </c>
      <c r="D214" s="6">
        <v>32300</v>
      </c>
      <c r="E214" s="5">
        <v>5</v>
      </c>
      <c r="F214" s="4" t="str">
        <f ca="1">IFERROR(__xludf.DUMMYFUNCTION("LOWER(REGEXREPLACE(B214&amp;"" ""&amp;C214,""[^а-яa-z0-9 ]"","" ""))"),"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f>
        <v xml:space="preserve">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v>
      </c>
      <c r="G214" s="4" t="str">
        <f ca="1">IFERROR(__xludf.DUMMYFUNCTION("TEXTJOIN(""|"",TRUE,UNIQUE(FILTER(SPLIT(F214,"" ""),LEN(SPLIT(F214,"" ""))&gt;2)))"),"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f>
        <v>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v>
      </c>
      <c r="I214" s="1"/>
      <c r="J214" s="1"/>
    </row>
    <row r="215" spans="1:10" x14ac:dyDescent="0.2">
      <c r="A215" s="8" t="s">
        <v>2963</v>
      </c>
      <c r="B215" s="7" t="s">
        <v>2962</v>
      </c>
      <c r="C215" s="7" t="s">
        <v>2961</v>
      </c>
      <c r="D215" s="6">
        <v>28100</v>
      </c>
      <c r="E215" s="5">
        <v>5</v>
      </c>
      <c r="F215" s="4" t="str">
        <f ca="1">IFERROR(__xludf.DUMMYFUNCTION("LOWER(REGEXREPLACE(B215&amp;"" ""&amp;C215,""[^а-яa-z0-9 ]"","" ""))"),"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"&amp;"и пространственных представлений   лина модели составляет не менее 30 см   онструкция выполнена из прочных материалов ")</f>
        <v xml:space="preserve">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v>
      </c>
      <c r="G215" s="4" t="str">
        <f ca="1">IFERROR(__xludf.DUMMYFUNCTION("TEXTJOIN(""|"",TRUE,UNIQUE(FILTER(SPLIT(F215,"" ""),LEN(SPLIT(F215,"" ""))&gt;2)))"),"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amp;"редставлений|лина|модели|составляет|менее|онструкция|выполнена|прочных|материалов")</f>
        <v>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v>
      </c>
      <c r="I215" s="1"/>
      <c r="J215" s="1"/>
    </row>
    <row r="216" spans="1:10" x14ac:dyDescent="0.2">
      <c r="A216" s="8" t="s">
        <v>2960</v>
      </c>
      <c r="B216" s="7" t="s">
        <v>2959</v>
      </c>
      <c r="C216" s="7" t="s">
        <v>2958</v>
      </c>
      <c r="D216" s="6">
        <v>4600</v>
      </c>
      <c r="E216" s="5">
        <v>5</v>
      </c>
      <c r="F216" s="4" t="str">
        <f ca="1">IFERROR(__xludf.DUMMYFUNCTION("LOWER(REGEXREPLACE(B216&amp;"" ""&amp;C216,""[^а-яa-z0-9 ]"","" ""))"),"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с"&amp;"итуациям   орпус выполнен из безопасных материалов ")</f>
        <v xml:space="preserve">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v>
      </c>
      <c r="G216" s="4" t="str">
        <f ca="1">IFERROR(__xludf.DUMMYFUNCTION("TEXTJOIN(""|"",TRUE,UNIQUE(FILTER(SPLIT(F216,"" ""),LEN(SPLIT(F216,"" ""))&gt;2)))"),"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amp;"нен|безопасных|материалов")</f>
        <v>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v>
      </c>
      <c r="I216" s="1"/>
      <c r="J216" s="1"/>
    </row>
    <row r="217" spans="1:10" x14ac:dyDescent="0.2">
      <c r="A217" s="8" t="s">
        <v>2957</v>
      </c>
      <c r="B217" s="7" t="s">
        <v>2956</v>
      </c>
      <c r="C217" s="7"/>
      <c r="D217" s="6">
        <v>1700</v>
      </c>
      <c r="E217" s="5">
        <v>1</v>
      </c>
      <c r="F217" s="4" t="str">
        <f ca="1">IFERROR(__xludf.DUMMYFUNCTION("LOWER(REGEXREPLACE(B217&amp;"" ""&amp;C217,""[^а-яa-z0-9 ]"","" ""))")," дамдар а  алай к мектесуге болады   ак помогать людям   ow to help people  каз   рус   англ яз   ")</f>
        <v xml:space="preserve"> дамдар а  алай к мектесуге болады   ак помогать людям   ow to help people  каз   рус   англ яз   </v>
      </c>
      <c r="G217" s="4" t="str">
        <f ca="1">IFERROR(__xludf.DUMMYFUNCTION("TEXTJOIN(""|"",TRUE,UNIQUE(FILTER(SPLIT(F217,"" ""),LEN(SPLIT(F217,"" ""))&gt;2)))"),"дамдар|алай|мектесуге|болады|помогать|людям|help|people|каз|рус|англ")</f>
        <v>дамдар|алай|мектесуге|болады|помогать|людям|help|people|каз|рус|англ</v>
      </c>
      <c r="I217" s="1"/>
      <c r="J217" s="1"/>
    </row>
    <row r="218" spans="1:10" x14ac:dyDescent="0.2">
      <c r="A218" s="8" t="s">
        <v>2955</v>
      </c>
      <c r="B218" s="7" t="s">
        <v>2954</v>
      </c>
      <c r="C218" s="7" t="s">
        <v>2953</v>
      </c>
      <c r="D218" s="6">
        <v>27600</v>
      </c>
      <c r="E218" s="5">
        <v>1</v>
      </c>
      <c r="F218" s="4" t="str">
        <f ca="1">IFERROR(__xludf.DUMMYFUNCTION("LOWER(REGEXREPLACE(B218&amp;"" ""&amp;C218,""[^а-яa-z0-9 ]"","" ""))"),"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f>
        <v xml:space="preserve">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v>
      </c>
      <c r="G218" s="4" t="str">
        <f ca="1">IFERROR(__xludf.DUMMYFUNCTION("TEXTJOIN(""|"",TRUE,UNIQUE(FILTER(SPLIT(F218,"" ""),LEN(SPLIT(F218,"" ""))&gt;2)))"),"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f>
        <v>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v>
      </c>
      <c r="I218" s="1"/>
      <c r="J218" s="1"/>
    </row>
    <row r="219" spans="1:10" x14ac:dyDescent="0.2">
      <c r="A219" s="8" t="s">
        <v>2952</v>
      </c>
      <c r="B219" s="8" t="s">
        <v>2951</v>
      </c>
      <c r="C219" s="7" t="s">
        <v>2950</v>
      </c>
      <c r="D219" s="6">
        <v>29900</v>
      </c>
      <c r="E219" s="5">
        <v>5</v>
      </c>
      <c r="F219" s="4" t="str">
        <f ca="1">IFERROR(__xludf.DUMMYFUNCTION("LOWER(REGEXREPLACE(B219&amp;"" ""&amp;C219,""[^а-яa-z0-9 ]"","" ""))"),"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f>
        <v xml:space="preserve">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v>
      </c>
      <c r="G219" s="4" t="str">
        <f ca="1">IFERROR(__xludf.DUMMYFUNCTION("TEXTJOIN(""|"",TRUE,UNIQUE(FILTER(SPLIT(F219,"" ""),LEN(SPLIT(F219,"" ""))&gt;2)))"),"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f>
        <v>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v>
      </c>
      <c r="I219" s="1"/>
      <c r="J219" s="1"/>
    </row>
    <row r="220" spans="1:10" x14ac:dyDescent="0.2">
      <c r="A220" s="8" t="s">
        <v>2949</v>
      </c>
      <c r="B220" s="7" t="s">
        <v>2948</v>
      </c>
      <c r="C220" s="7" t="s">
        <v>2947</v>
      </c>
      <c r="D220" s="6">
        <v>20500</v>
      </c>
      <c r="E220" s="5">
        <v>5</v>
      </c>
      <c r="F220" s="4" t="str">
        <f ca="1">IFERROR(__xludf.DUMMYFUNCTION("LOWER(REGEXREPLACE(B220&amp;"" ""&amp;C220,""[^а-яa-z0-9 ]"","" ""))"),"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переме"&amp;"щению и имитации работы техники   зделие выполнено из пластика и рассчитано на игровое использование ")</f>
        <v xml:space="preserve">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v>
      </c>
      <c r="G220" s="4" t="str">
        <f ca="1">IFERROR(__xludf.DUMMYFUNCTION("TEXTJOIN(""|"",TRUE,UNIQUE(FILTER(SPLIT(F220,"" ""),LEN(SPLIT(F220,"" ""))&gt;2)))"),"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amp;"ехники|зделие|выполнено|пластика|рассчитано|игровое|использование")</f>
        <v>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v>
      </c>
      <c r="I220" s="1"/>
      <c r="J220" s="1"/>
    </row>
    <row r="221" spans="1:10" x14ac:dyDescent="0.2">
      <c r="A221" s="8" t="s">
        <v>2946</v>
      </c>
      <c r="B221" s="7" t="s">
        <v>2945</v>
      </c>
      <c r="C221" s="7" t="s">
        <v>2944</v>
      </c>
      <c r="D221" s="6">
        <v>18600</v>
      </c>
      <c r="E221" s="5">
        <v>7</v>
      </c>
      <c r="F221" s="4" t="str">
        <f ca="1">IFERROR(__xludf.DUMMYFUNCTION("LOWER(REGEXREPLACE(B221&amp;"" ""&amp;C221,""[^а-яa-z0-9 ]"","" ""))"),"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вокру"&amp;"г детей   огда ребенок читает  у него возникает очень ситуативное чувство замены ")</f>
        <v xml:space="preserve">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v>
      </c>
      <c r="G221" s="4" t="str">
        <f ca="1">IFERROR(__xludf.DUMMYFUNCTION("TEXTJOIN(""|"",TRUE,UNIQUE(FILTER(SPLIT(F221,"" ""),LEN(SPLIT(F221,"" ""))&gt;2)))"),"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amp;"чень|ситуативное|чувство|замены")</f>
        <v>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v>
      </c>
      <c r="I221" s="1"/>
      <c r="J221" s="1"/>
    </row>
    <row r="222" spans="1:10" x14ac:dyDescent="0.2">
      <c r="A222" s="8" t="s">
        <v>2943</v>
      </c>
      <c r="B222" s="7" t="s">
        <v>2942</v>
      </c>
      <c r="C222" s="7" t="s">
        <v>2941</v>
      </c>
      <c r="D222" s="6">
        <v>2000</v>
      </c>
      <c r="E222" s="5">
        <v>35</v>
      </c>
      <c r="F222" s="4" t="str">
        <f ca="1">IFERROR(__xludf.DUMMYFUNCTION("LOWER(REGEXREPLACE(B222&amp;"" ""&amp;C222,""[^а-яa-z0-9 ]"","" ""))")," грушка забава  грушка используется для свободной игровой деятельности   азначение зависит от конструкции изделия ")</f>
        <v xml:space="preserve"> грушка забава  грушка используется для свободной игровой деятельности   азначение зависит от конструкции изделия </v>
      </c>
      <c r="G222" s="4" t="str">
        <f ca="1">IFERROR(__xludf.DUMMYFUNCTION("TEXTJOIN(""|"",TRUE,UNIQUE(FILTER(SPLIT(F222,"" ""),LEN(SPLIT(F222,"" ""))&gt;2)))"),"грушка|забава|грушка|используется|для|свободной|игровой|деятельности|азначение|зависит|конструкции|изделия")</f>
        <v>грушка|забава|грушка|используется|для|свободной|игровой|деятельности|азначение|зависит|конструкции|изделия</v>
      </c>
      <c r="I222" s="1"/>
      <c r="J222" s="1"/>
    </row>
    <row r="223" spans="1:10" x14ac:dyDescent="0.2">
      <c r="A223" s="8" t="s">
        <v>2940</v>
      </c>
      <c r="B223" s="7" t="s">
        <v>2939</v>
      </c>
      <c r="C223" s="7" t="s">
        <v>2938</v>
      </c>
      <c r="D223" s="6">
        <v>19000</v>
      </c>
      <c r="E223" s="5">
        <v>1</v>
      </c>
      <c r="F223" s="4" t="str">
        <f ca="1">IFERROR(__xludf.DUMMYFUNCTION("LOWER(REGEXREPLACE(B223&amp;"" ""&amp;C223,""[^а-яa-z0-9 ]"","" ""))")," грушка каталка  грушка предназначена для перемещения по поверхности пут м толкания   спользуется в подвижных играх   атериал изготовления   пластик ")</f>
        <v xml:space="preserve"> грушка каталка  грушка предназначена для перемещения по поверхности пут м толкания   спользуется в подвижных играх   атериал изготовления   пластик </v>
      </c>
      <c r="G223" s="4" t="str">
        <f ca="1">IFERROR(__xludf.DUMMYFUNCTION("TEXTJOIN(""|"",TRUE,UNIQUE(FILTER(SPLIT(F223,"" ""),LEN(SPLIT(F223,"" ""))&gt;2)))"),"грушка|каталка|грушка|предназначена|для|перемещения|поверхности|пут|толкания|спользуется|подвижных|играх|атериал|изготовления|пластик")</f>
        <v>грушка|каталка|грушка|предназначена|для|перемещения|поверхности|пут|толкания|спользуется|подвижных|играх|атериал|изготовления|пластик</v>
      </c>
      <c r="I223" s="1"/>
      <c r="J223" s="1"/>
    </row>
    <row r="224" spans="1:10" x14ac:dyDescent="0.2">
      <c r="A224" s="8" t="s">
        <v>2937</v>
      </c>
      <c r="B224" s="7" t="s">
        <v>2936</v>
      </c>
      <c r="C224" s="7" t="s">
        <v>2935</v>
      </c>
      <c r="D224" s="6">
        <v>9500</v>
      </c>
      <c r="E224" s="5">
        <v>1</v>
      </c>
      <c r="F224" s="4" t="str">
        <f ca="1">IFERROR(__xludf.DUMMYFUNCTION("LOWER(REGEXREPLACE(B224&amp;"" ""&amp;C224,""[^а-яa-z0-9 ]"","" ""))"),"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поддер"&amp;"живает развитие общей моторики   атериал изготовления   пластик ")</f>
        <v xml:space="preserve">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v>
      </c>
      <c r="G224" s="4" t="str">
        <f ca="1">IFERROR(__xludf.DUMMYFUNCTION("TEXTJOIN(""|"",TRUE,UNIQUE(FILTER(SPLIT(F224,"" ""),LEN(SPLIT(F224,"" ""))&gt;2)))"),"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amp;"ики|атериал|изготовления|пластик")</f>
        <v>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v>
      </c>
      <c r="I224" s="1"/>
      <c r="J224" s="1"/>
    </row>
    <row r="225" spans="1:10" x14ac:dyDescent="0.2">
      <c r="A225" s="8" t="s">
        <v>2934</v>
      </c>
      <c r="B225" s="7" t="s">
        <v>2933</v>
      </c>
      <c r="C225" s="7" t="s">
        <v>2932</v>
      </c>
      <c r="D225" s="6">
        <v>19000</v>
      </c>
      <c r="E225" s="5">
        <v>1</v>
      </c>
      <c r="F225" s="4" t="str">
        <f ca="1">IFERROR(__xludf.DUMMYFUNCTION("LOWER(REGEXREPLACE(B225&amp;"" ""&amp;C225,""[^а-яa-z0-9 ]"","" ""))"),"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регул"&amp;"ярную эксплуатацию ")</f>
        <v xml:space="preserve">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v>
      </c>
      <c r="G225" s="4" t="str">
        <f ca="1">IFERROR(__xludf.DUMMYFUNCTION("TEXTJOIN(""|"",TRUE,UNIQUE(FILTER(SPLIT(F225,"" ""),LEN(SPLIT(F225,"" ""))&gt;2)))"),"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f>
        <v>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v>
      </c>
      <c r="I225" s="1"/>
      <c r="J225" s="1"/>
    </row>
    <row r="226" spans="1:10" x14ac:dyDescent="0.2">
      <c r="A226" s="8" t="s">
        <v>2931</v>
      </c>
      <c r="B226" s="7" t="s">
        <v>2930</v>
      </c>
      <c r="C226" s="7" t="s">
        <v>2929</v>
      </c>
      <c r="D226" s="6">
        <v>11500</v>
      </c>
      <c r="E226" s="5">
        <v>10</v>
      </c>
      <c r="F226" s="4" t="str">
        <f ca="1">IFERROR(__xludf.DUMMYFUNCTION("LOWER(REGEXREPLACE(B226&amp;"" ""&amp;C226,""[^а-яa-z0-9 ]"","" ""))"),"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f>
        <v xml:space="preserve">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v>
      </c>
      <c r="G226" s="4" t="str">
        <f ca="1">IFERROR(__xludf.DUMMYFUNCTION("TEXTJOIN(""|"",TRUE,UNIQUE(FILTER(SPLIT(F226,"" ""),LEN(SPLIT(F226,"" ""))&gt;2)))"),"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f>
        <v>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v>
      </c>
      <c r="I226" s="1"/>
      <c r="J226" s="1"/>
    </row>
    <row r="227" spans="1:10" x14ac:dyDescent="0.2">
      <c r="A227" s="8" t="s">
        <v>2928</v>
      </c>
      <c r="B227" s="7" t="s">
        <v>2927</v>
      </c>
      <c r="C227" s="7" t="s">
        <v>2926</v>
      </c>
      <c r="D227" s="6">
        <v>10400</v>
      </c>
      <c r="E227" s="5">
        <v>1</v>
      </c>
      <c r="F227" s="4" t="str">
        <f ca="1">IFERROR(__xludf.DUMMYFUNCTION("LOWER(REGEXREPLACE(B227&amp;"" ""&amp;C227,""[^а-яa-z0-9 ]"","" ""))"),"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f>
        <v xml:space="preserve">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v>
      </c>
      <c r="G227" s="4" t="str">
        <f ca="1">IFERROR(__xludf.DUMMYFUNCTION("TEXTJOIN(""|"",TRUE,UNIQUE(FILTER(SPLIT(F227,"" ""),LEN(SPLIT(F227,"" ""))&gt;2)))"),"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f>
        <v>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v>
      </c>
      <c r="I227" s="1"/>
      <c r="J227" s="1"/>
    </row>
    <row r="228" spans="1:10" x14ac:dyDescent="0.2">
      <c r="A228" s="8" t="s">
        <v>2925</v>
      </c>
      <c r="B228" s="7" t="s">
        <v>2924</v>
      </c>
      <c r="C228" s="7" t="s">
        <v>2923</v>
      </c>
      <c r="D228" s="6">
        <v>14200</v>
      </c>
      <c r="E228" s="5">
        <v>25</v>
      </c>
      <c r="F228" s="4" t="str">
        <f ca="1">IFERROR(__xludf.DUMMYFUNCTION("LOWER(REGEXREPLACE(B228&amp;"" ""&amp;C228,""[^а-яa-z0-9 ]"","" ""))"),"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рисован"&amp;"ия формируются навыки аккуратности и цветового восприятия   раски безвредны и предназначены для использования в детской среде ")</f>
        <v xml:space="preserve">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v>
      </c>
      <c r="G228" s="4" t="str">
        <f ca="1">IFERROR(__xludf.DUMMYFUNCTION("TEXTJOIN(""|"",TRUE,UNIQUE(FILTER(SPLIT(F228,"" ""),LEN(SPLIT(F228,"" ""))&gt;2)))"),"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amp;"и|аккуратности|цветового|восприятия|раски|безвредны|предназначены|для|использования|детской|среде")</f>
        <v>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v>
      </c>
      <c r="I228" s="1"/>
      <c r="J228" s="1"/>
    </row>
    <row r="229" spans="1:10" x14ac:dyDescent="0.2">
      <c r="A229" s="8" t="s">
        <v>2922</v>
      </c>
      <c r="B229" s="7" t="s">
        <v>2921</v>
      </c>
      <c r="C229" s="7" t="s">
        <v>2920</v>
      </c>
      <c r="D229" s="6">
        <v>28500</v>
      </c>
      <c r="E229" s="5">
        <v>7</v>
      </c>
      <c r="F229" s="4" t="str">
        <f ca="1">IFERROR(__xludf.DUMMYFUNCTION("LOWER(REGEXREPLACE(B229&amp;"" ""&amp;C229,""[^а-яa-z0-9 ]"","" ""))"),"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f>
        <v xml:space="preserve">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v>
      </c>
      <c r="G229" s="4" t="str">
        <f ca="1">IFERROR(__xludf.DUMMYFUNCTION("TEXTJOIN(""|"",TRUE,UNIQUE(FILTER(SPLIT(F229,"" ""),LEN(SPLIT(F229,"" ""))&gt;2)))"),"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f>
        <v>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v>
      </c>
      <c r="I229" s="1"/>
      <c r="J229" s="1"/>
    </row>
    <row r="230" spans="1:10" x14ac:dyDescent="0.2">
      <c r="A230" s="8" t="s">
        <v>2919</v>
      </c>
      <c r="B230" s="7" t="s">
        <v>2918</v>
      </c>
      <c r="C230" s="7" t="s">
        <v>2917</v>
      </c>
      <c r="D230" s="6">
        <v>19400</v>
      </c>
      <c r="E230" s="5">
        <v>5</v>
      </c>
      <c r="F230" s="4" t="str">
        <f ca="1">IFERROR(__xludf.DUMMYFUNCTION("LOWER(REGEXREPLACE(B230&amp;"" ""&amp;C230,""[^а-яa-z0-9 ]"","" ""))"),"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к"&amp;"нигу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f>
        <v xml:space="preserve">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v>
      </c>
      <c r="G230" s="4" t="str">
        <f ca="1">IFERROR(__xludf.DUMMYFUNCTION("TEXTJOIN(""|"",TRUE,UNIQUE(FILTER(SPLIT(F230,"" ""),LEN(SPLIT(F230,"" ""))&gt;2)))"),"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amp;"чтении|тематических|занятиях|екст|изображения|направлены|расширение|кругозора|формирование|представлений|живой|природе")</f>
        <v>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v>
      </c>
      <c r="I230" s="1"/>
      <c r="J230" s="1"/>
    </row>
    <row r="231" spans="1:10" x14ac:dyDescent="0.2">
      <c r="A231" s="8" t="s">
        <v>2916</v>
      </c>
      <c r="B231" s="7" t="s">
        <v>2915</v>
      </c>
      <c r="C231" s="7" t="s">
        <v>2914</v>
      </c>
      <c r="D231" s="6">
        <v>20900</v>
      </c>
      <c r="E231" s="5">
        <v>1</v>
      </c>
      <c r="F231" s="4" t="str">
        <f ca="1">IFERROR(__xludf.DUMMYFUNCTION("LOWER(REGEXREPLACE(B231&amp;"" ""&amp;C231,""[^а-яa-z0-9 ]"","" ""))")," нерционные машинки  набор   абор включает инерционные машинки   спользуются для свободных сюжетных и подвижных игр   атериал изготовления   пластик ")</f>
        <v xml:space="preserve"> нерционные машинки  набор   абор включает инерционные машинки   спользуются для свободных сюжетных и подвижных игр   атериал изготовления   пластик </v>
      </c>
      <c r="G231" s="4" t="str">
        <f ca="1">IFERROR(__xludf.DUMMYFUNCTION("TEXTJOIN(""|"",TRUE,UNIQUE(FILTER(SPLIT(F231,"" ""),LEN(SPLIT(F231,"" ""))&gt;2)))"),"нерционные|машинки|набор|абор|включает|инерционные|машинки|спользуются|для|свободных|сюжетных|подвижных|игр|атериал|изготовления|пластик")</f>
        <v>нерционные|машинки|набор|абор|включает|инерционные|машинки|спользуются|для|свободных|сюжетных|подвижных|игр|атериал|изготовления|пластик</v>
      </c>
      <c r="I231" s="1"/>
      <c r="J231" s="1"/>
    </row>
    <row r="232" spans="1:10" x14ac:dyDescent="0.2">
      <c r="A232" s="8" t="s">
        <v>2913</v>
      </c>
      <c r="B232" s="7" t="s">
        <v>2912</v>
      </c>
      <c r="C232" s="7" t="s">
        <v>2911</v>
      </c>
      <c r="D232" s="6">
        <v>20500</v>
      </c>
      <c r="E232" s="5">
        <v>1</v>
      </c>
      <c r="F232" s="4" t="str">
        <f ca="1">IFERROR(__xludf.DUMMYFUNCTION("LOWER(REGEXREPLACE(B232&amp;"" ""&amp;C232,""[^а-яa-z0-9 ]"","" ""))"),"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ак"&amp;"ая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f>
        <v xml:space="preserve">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v>
      </c>
      <c r="G232" s="4" t="str">
        <f ca="1">IFERROR(__xludf.DUMMYFUNCTION("TEXTJOIN(""|"",TRUE,UNIQUE(FILTER(SPLIT(F232,"" ""),LEN(SPLIT(F232,"" ""))&gt;2)))"),"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amp;"а|формирование|представлений|буквах|слогах|структуре|слова|также|развитие|речевых|навыков|омплект|содержит|карточки|заданиями|подставку|для|размещения")</f>
        <v>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v>
      </c>
      <c r="I232" s="1"/>
      <c r="J232" s="1"/>
    </row>
    <row r="233" spans="1:10" x14ac:dyDescent="0.2">
      <c r="A233" s="8" t="s">
        <v>2910</v>
      </c>
      <c r="B233" s="7" t="s">
        <v>2909</v>
      </c>
      <c r="C233" s="7" t="s">
        <v>2908</v>
      </c>
      <c r="D233" s="6">
        <v>4800</v>
      </c>
      <c r="E233" s="5">
        <v>1</v>
      </c>
      <c r="F233" s="4" t="str">
        <f ca="1">IFERROR(__xludf.DUMMYFUNCTION("LOWER(REGEXREPLACE(B233&amp;"" ""&amp;C233,""[^а-яa-z0-9 ]"","" ""))")," нтерактивная книжка  нижка используется для рассматривания и выполнения игровых заданий   одержит сюжетные изображения   атериал страниц   картон ")</f>
        <v xml:space="preserve"> нтерактивная книжка  нижка используется для рассматривания и выполнения игровых заданий   одержит сюжетные изображения   атериал страниц   картон </v>
      </c>
      <c r="G233" s="4" t="str">
        <f ca="1">IFERROR(__xludf.DUMMYFUNCTION("TEXTJOIN(""|"",TRUE,UNIQUE(FILTER(SPLIT(F233,"" ""),LEN(SPLIT(F233,"" ""))&gt;2)))"),"нтерактивная|книжка|нижка|используется|для|рассматривания|выполнения|игровых|заданий|одержит|сюжетные|изображения|атериал|страниц|картон")</f>
        <v>нтерактивная|книжка|нижка|используется|для|рассматривания|выполнения|игровых|заданий|одержит|сюжетные|изображения|атериал|страниц|картон</v>
      </c>
      <c r="I233" s="1"/>
      <c r="J233" s="1"/>
    </row>
    <row r="234" spans="1:10" x14ac:dyDescent="0.2">
      <c r="A234" s="8" t="s">
        <v>2907</v>
      </c>
      <c r="B234" s="7" t="s">
        <v>2906</v>
      </c>
      <c r="C234" s="7" t="s">
        <v>2905</v>
      </c>
      <c r="D234" s="6">
        <v>570000</v>
      </c>
      <c r="E234" s="5">
        <v>1</v>
      </c>
      <c r="F234" s="4" t="str">
        <f ca="1">IFERROR(__xludf.DUMMYFUNCTION("LOWER(REGEXREPLACE(B234&amp;"" ""&amp;C234,""[^а-яa-z0-9 ]"","" ""))")," нтерактивное зеркало  нтерактивное зеркало используется в коррекционно развивающей работе   рименяется совместно с логопедическим оборудованием ")</f>
        <v xml:space="preserve"> нтерактивное зеркало  нтерактивное зеркало используется в коррекционно развивающей работе   рименяется совместно с логопедическим оборудованием </v>
      </c>
      <c r="G234" s="4" t="str">
        <f ca="1">IFERROR(__xludf.DUMMYFUNCTION("TEXTJOIN(""|"",TRUE,UNIQUE(FILTER(SPLIT(F234,"" ""),LEN(SPLIT(F234,"" ""))&gt;2)))"),"нтерактивное|зеркало|нтерактивное|зеркало|используется|коррекционно|развивающей|работе|рименяется|совместно|логопедическим|оборудованием")</f>
        <v>нтерактивное|зеркало|нтерактивное|зеркало|используется|коррекционно|развивающей|работе|рименяется|совместно|логопедическим|оборудованием</v>
      </c>
      <c r="I234" s="1"/>
      <c r="J234" s="1"/>
    </row>
    <row r="235" spans="1:10" x14ac:dyDescent="0.2">
      <c r="A235" s="8" t="s">
        <v>2904</v>
      </c>
      <c r="B235" s="7" t="s">
        <v>2903</v>
      </c>
      <c r="C235" s="7" t="s">
        <v>2902</v>
      </c>
      <c r="D235" s="6">
        <v>93300</v>
      </c>
      <c r="E235" s="5">
        <v>5</v>
      </c>
      <c r="F235" s="4" t="str">
        <f ca="1">IFERROR(__xludf.DUMMYFUNCTION("LOWER(REGEXREPLACE(B235&amp;"" ""&amp;C235,""[^а-яa-z0-9 ]"","" ""))"),"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f>
        <v xml:space="preserve">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v>
      </c>
      <c r="G235" s="4" t="str">
        <f ca="1">IFERROR(__xludf.DUMMYFUNCTION("TEXTJOIN(""|"",TRUE,UNIQUE(FILTER(SPLIT(F235,"" ""),LEN(SPLIT(F235,"" ""))&gt;2)))"),"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f>
        <v>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v>
      </c>
      <c r="I235" s="1"/>
      <c r="J235" s="1"/>
    </row>
    <row r="236" spans="1:10" x14ac:dyDescent="0.2">
      <c r="A236" s="8" t="s">
        <v>2901</v>
      </c>
      <c r="B236" s="7" t="s">
        <v>2900</v>
      </c>
      <c r="C236" s="7" t="s">
        <v>2899</v>
      </c>
      <c r="D236" s="6">
        <v>22800</v>
      </c>
      <c r="E236" s="5">
        <v>10</v>
      </c>
      <c r="F236" s="4" t="str">
        <f ca="1">IFERROR(__xludf.DUMMYFUNCTION("LOWER(REGEXREPLACE(B236&amp;"" ""&amp;C236,""[^а-яa-z0-9 ]"","" ""))"),"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"&amp;"к творческой и познавательной деятельности ")</f>
        <v xml:space="preserve">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v>
      </c>
      <c r="G236" s="4" t="str">
        <f ca="1">IFERROR(__xludf.DUMMYFUNCTION("TEXTJOIN(""|"",TRUE,UNIQUE(FILTER(SPLIT(F236,"" ""),LEN(SPLIT(F236,"" ""))&gt;2)))"),"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amp;"вательной|деятельности")</f>
        <v>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v>
      </c>
      <c r="I236" s="1"/>
      <c r="J236" s="1"/>
    </row>
    <row r="237" spans="1:10" x14ac:dyDescent="0.2">
      <c r="A237" s="8" t="s">
        <v>2898</v>
      </c>
      <c r="B237" s="7" t="s">
        <v>2897</v>
      </c>
      <c r="C237" s="7" t="s">
        <v>2896</v>
      </c>
      <c r="D237" s="6">
        <v>14400</v>
      </c>
      <c r="E237" s="5">
        <v>3</v>
      </c>
      <c r="F237" s="4" t="str">
        <f ca="1">IFERROR(__xludf.DUMMYFUNCTION("LOWER(REGEXREPLACE(B237&amp;"" ""&amp;C237,""[^а-яa-z0-9 ]"","" ""))"),"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f>
        <v xml:space="preserve">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v>
      </c>
      <c r="G237" s="4" t="str">
        <f ca="1">IFERROR(__xludf.DUMMYFUNCTION("TEXTJOIN(""|"",TRUE,UNIQUE(FILTER(SPLIT(F237,"" ""),LEN(SPLIT(F237,"" ""))&gt;2)))"),"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f>
        <v>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v>
      </c>
      <c r="I237" s="1"/>
      <c r="J237" s="1"/>
    </row>
    <row r="238" spans="1:10" x14ac:dyDescent="0.2">
      <c r="A238" s="8" t="s">
        <v>2895</v>
      </c>
      <c r="B238" s="7" t="s">
        <v>2894</v>
      </c>
      <c r="C238" s="7" t="s">
        <v>1581</v>
      </c>
      <c r="D238" s="6">
        <v>40800</v>
      </c>
      <c r="E238" s="5">
        <v>1</v>
      </c>
      <c r="F238" s="4" t="str">
        <f ca="1">IFERROR(__xludf.DUMMYFUNCTION("LOWER(REGEXREPLACE(B238&amp;"" ""&amp;C238,""[^а-яa-z0-9 ]"","" ""))")," скусство   ннотированное  амирова     ")</f>
        <v xml:space="preserve"> скусство   ннотированное  амирова     </v>
      </c>
      <c r="G238" s="4" t="str">
        <f ca="1">IFERROR(__xludf.DUMMYFUNCTION("TEXTJOIN(""|"",TRUE,UNIQUE(FILTER(SPLIT(F238,"" ""),LEN(SPLIT(F238,"" ""))&gt;2)))"),"скусство|ннотированное|амирова")</f>
        <v>скусство|ннотированное|амирова</v>
      </c>
      <c r="I238" s="1"/>
      <c r="J238" s="1"/>
    </row>
    <row r="239" spans="1:10" x14ac:dyDescent="0.2">
      <c r="A239" s="8" t="s">
        <v>2893</v>
      </c>
      <c r="B239" s="7" t="s">
        <v>2892</v>
      </c>
      <c r="C239" s="7" t="s">
        <v>2891</v>
      </c>
      <c r="D239" s="6">
        <v>102600</v>
      </c>
      <c r="E239" s="5">
        <v>1</v>
      </c>
      <c r="F239" s="4" t="str">
        <f ca="1">IFERROR(__xludf.DUMMYFUNCTION("LOWER(REGEXREPLACE(B239&amp;"" ""&amp;C239,""[^а-яa-z0-9 ]"","" ""))"),"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подде"&amp;"ржания условий содержания   бъ м аквариума составляет не менее 48 л   абаритные размеры   не менее 55 30 29 см ")</f>
        <v xml:space="preserve">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v>
      </c>
      <c r="G239" s="4" t="str">
        <f ca="1">IFERROR(__xludf.DUMMYFUNCTION("TEXTJOIN(""|"",TRUE,UNIQUE(FILTER(SPLIT(F239,"" ""),LEN(SPLIT(F239,"" ""))&gt;2)))"),"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amp;"жания|аквариума|составляет|менее|абаритные|размеры|менее")</f>
        <v>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v>
      </c>
      <c r="I239" s="1"/>
      <c r="J239" s="1"/>
    </row>
    <row r="240" spans="1:10" x14ac:dyDescent="0.2">
      <c r="A240" s="8" t="s">
        <v>2890</v>
      </c>
      <c r="B240" s="7" t="s">
        <v>2889</v>
      </c>
      <c r="C240" s="7" t="s">
        <v>2888</v>
      </c>
      <c r="D240" s="6">
        <v>12000</v>
      </c>
      <c r="E240" s="5">
        <v>1</v>
      </c>
      <c r="F240" s="4" t="str">
        <f ca="1">IFERROR(__xludf.DUMMYFUNCTION("LOWER(REGEXREPLACE(B240&amp;"" ""&amp;C240,""[^а-яa-z0-9 ]"","" ""))")," азахские сказки  оставитель  аева     ")</f>
        <v xml:space="preserve"> азахские сказки  оставитель  аева     </v>
      </c>
      <c r="G240" s="4" t="str">
        <f ca="1">IFERROR(__xludf.DUMMYFUNCTION("TEXTJOIN(""|"",TRUE,UNIQUE(FILTER(SPLIT(F240,"" ""),LEN(SPLIT(F240,"" ""))&gt;2)))"),"азахские|сказки|оставитель|аева")</f>
        <v>азахские|сказки|оставитель|аева</v>
      </c>
      <c r="I240" s="1"/>
      <c r="J240" s="1"/>
    </row>
    <row r="241" spans="1:10" x14ac:dyDescent="0.2">
      <c r="A241" s="8" t="s">
        <v>2887</v>
      </c>
      <c r="B241" s="7" t="s">
        <v>2886</v>
      </c>
      <c r="C241" s="7" t="s">
        <v>2885</v>
      </c>
      <c r="D241" s="6">
        <v>24900</v>
      </c>
      <c r="E241" s="5">
        <v>1</v>
      </c>
      <c r="F241" s="4" t="str">
        <f ca="1">IFERROR(__xludf.DUMMYFUNCTION("LOWER(REGEXREPLACE(B241&amp;"" ""&amp;C241,""[^а-яa-z0-9 ]"","" ""))")," ак все работает   нциклопедия под ред      ренсис      ьюстон  перевод  аталова    ")</f>
        <v xml:space="preserve"> ак все работает   нциклопедия под ред      ренсис      ьюстон  перевод  аталова    </v>
      </c>
      <c r="G241" s="4" t="str">
        <f ca="1">IFERROR(__xludf.DUMMYFUNCTION("TEXTJOIN(""|"",TRUE,UNIQUE(FILTER(SPLIT(F241,"" ""),LEN(SPLIT(F241,"" ""))&gt;2)))"),"все|работает|нциклопедия|под|ред|ренсис|ьюстон|перевод|аталова")</f>
        <v>все|работает|нциклопедия|под|ред|ренсис|ьюстон|перевод|аталова</v>
      </c>
      <c r="I241" s="1"/>
      <c r="J241" s="1"/>
    </row>
    <row r="242" spans="1:10" x14ac:dyDescent="0.2">
      <c r="A242" s="8" t="s">
        <v>2884</v>
      </c>
      <c r="B242" s="7" t="s">
        <v>2883</v>
      </c>
      <c r="C242" s="7" t="s">
        <v>2882</v>
      </c>
      <c r="D242" s="6">
        <v>4400</v>
      </c>
      <c r="E242" s="5">
        <v>5</v>
      </c>
      <c r="F242" s="4" t="str">
        <f ca="1">IFERROR(__xludf.DUMMYFUNCTION("LOWER(REGEXREPLACE(B242&amp;"" ""&amp;C242,""[^а-яa-z0-9 ]"","" ""))"),"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восп"&amp;"риятия и интереса к симметрии и цветовым сочетаниям   орпус выполнен из пластика и бумаги ")</f>
        <v xml:space="preserve">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v>
      </c>
      <c r="G242" s="4" t="str">
        <f ca="1">IFERROR(__xludf.DUMMYFUNCTION("TEXTJOIN(""|"",TRUE,UNIQUE(FILTER(SPLIT(F242,"" ""),LEN(SPLIT(F242,"" ""))&gt;2)))"),"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amp;"еса|симметрии|цветовым|сочетаниям|орпус|выполнен|пластика|бумаги")</f>
        <v>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v>
      </c>
      <c r="I242" s="1"/>
      <c r="J242" s="1"/>
    </row>
    <row r="243" spans="1:10" x14ac:dyDescent="0.2">
      <c r="A243" s="8" t="s">
        <v>2881</v>
      </c>
      <c r="B243" s="7" t="s">
        <v>2880</v>
      </c>
      <c r="C243" s="7" t="s">
        <v>2879</v>
      </c>
      <c r="D243" s="6">
        <v>15200</v>
      </c>
      <c r="E243" s="5">
        <v>1</v>
      </c>
      <c r="F243" s="4" t="str">
        <f ca="1">IFERROR(__xludf.DUMMYFUNCTION("LOWER(REGEXREPLACE(B243&amp;"" ""&amp;C243,""[^а-яa-z0-9 ]"","" ""))"),"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предусм"&amp;"атривает размещение обозначений  температура  осадки  облачность  в удобной форме   ассчитан на регулярное использование в помещении ")</f>
        <v xml:space="preserve">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v>
      </c>
      <c r="G243" s="4" t="str">
        <f ca="1">IFERROR(__xludf.DUMMYFUNCTION("TEXTJOIN(""|"",TRUE,UNIQUE(FILTER(SPLIT(F243,"" ""),LEN(SPLIT(F243,"" ""))&gt;2)))"),"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amp;"|температура|осадки|облачность|удобной|форме|ассчитан|регулярное|использование|помещении")</f>
        <v>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v>
      </c>
      <c r="I243" s="1"/>
      <c r="J243" s="1"/>
    </row>
    <row r="244" spans="1:10" x14ac:dyDescent="0.2">
      <c r="A244" s="8" t="s">
        <v>2878</v>
      </c>
      <c r="B244" s="7" t="s">
        <v>2877</v>
      </c>
      <c r="C244" s="7" t="s">
        <v>2876</v>
      </c>
      <c r="D244" s="6">
        <v>47500</v>
      </c>
      <c r="E244" s="5">
        <v>19</v>
      </c>
      <c r="F244" s="4" t="str">
        <f ca="1">IFERROR(__xludf.DUMMYFUNCTION("LOWER(REGEXREPLACE(B244&amp;"" ""&amp;C244,""[^а-яa-z0-9 ]"","" ""))"),"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формир"&amp;"уя представления о социальной роли профессии и ответственности   атериалы   текстиль и пластик ")</f>
        <v xml:space="preserve">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v>
      </c>
      <c r="G244" s="4" t="str">
        <f ca="1">IFERROR(__xludf.DUMMYFUNCTION("TEXTJOIN(""|"",TRUE,UNIQUE(FILTER(SPLIT(F244,"" ""),LEN(SPLIT(F244,"" ""))&gt;2)))"),"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amp;"иальной|роли|профессии|ответственности|атериалы|текстиль|пластик")</f>
        <v>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v>
      </c>
      <c r="I244" s="1"/>
      <c r="J244" s="1"/>
    </row>
    <row r="245" spans="1:10" x14ac:dyDescent="0.2">
      <c r="A245" s="8" t="s">
        <v>2875</v>
      </c>
      <c r="B245" s="7" t="s">
        <v>2874</v>
      </c>
      <c r="C245" s="7" t="s">
        <v>2873</v>
      </c>
      <c r="D245" s="6">
        <v>3600</v>
      </c>
      <c r="E245" s="5">
        <v>1</v>
      </c>
      <c r="F245" s="4" t="str">
        <f ca="1">IFERROR(__xludf.DUMMYFUNCTION("LOWER(REGEXREPLACE(B245&amp;"" ""&amp;C245,""[^а-яa-z0-9 ]"","" ""))")," апитан  ук   aptain  ook  каз   рус   англ яз      евин  перевод  ужикова      санова    ")</f>
        <v xml:space="preserve"> апитан  ук   aptain  ook  каз   рус   англ яз      евин  перевод  ужикова      санова    </v>
      </c>
      <c r="G245" s="4" t="str">
        <f ca="1">IFERROR(__xludf.DUMMYFUNCTION("TEXTJOIN(""|"",TRUE,UNIQUE(FILTER(SPLIT(F245,"" ""),LEN(SPLIT(F245,"" ""))&gt;2)))"),"апитан|aptain|ook|каз|рус|англ|евин|перевод|ужикова|санова")</f>
        <v>апитан|aptain|ook|каз|рус|англ|евин|перевод|ужикова|санова</v>
      </c>
      <c r="I245" s="1"/>
      <c r="J245" s="1"/>
    </row>
    <row r="246" spans="1:10" x14ac:dyDescent="0.2">
      <c r="A246" s="8" t="s">
        <v>2872</v>
      </c>
      <c r="B246" s="7" t="s">
        <v>2871</v>
      </c>
      <c r="C246" s="7"/>
      <c r="D246" s="6">
        <v>1300</v>
      </c>
      <c r="E246" s="5">
        <v>1</v>
      </c>
      <c r="F246" s="4" t="str">
        <f ca="1">IFERROR(__xludf.DUMMYFUNCTION("LOWER(REGEXREPLACE(B246&amp;"" ""&amp;C246,""[^а-яa-z0-9 ]"","" ""))")," аракусбай   азахская сказка ")</f>
        <v xml:space="preserve"> аракусбай   азахская сказка </v>
      </c>
      <c r="G246" s="4" t="str">
        <f ca="1">IFERROR(__xludf.DUMMYFUNCTION("TEXTJOIN(""|"",TRUE,UNIQUE(FILTER(SPLIT(F246,"" ""),LEN(SPLIT(F246,"" ""))&gt;2)))"),"аракусбай|азахская|сказка")</f>
        <v>аракусбай|азахская|сказка</v>
      </c>
      <c r="I246" s="1"/>
      <c r="J246" s="1"/>
    </row>
    <row r="247" spans="1:10" x14ac:dyDescent="0.2">
      <c r="A247" s="8" t="s">
        <v>2870</v>
      </c>
      <c r="B247" s="7" t="s">
        <v>2869</v>
      </c>
      <c r="C247" s="7" t="s">
        <v>2868</v>
      </c>
      <c r="D247" s="6">
        <v>10500</v>
      </c>
      <c r="E247" s="5">
        <v>10</v>
      </c>
      <c r="F247" s="4" t="str">
        <f ca="1">IFERROR(__xludf.DUMMYFUNCTION("LOWER(REGEXREPLACE(B247&amp;"" ""&amp;C247,""[^а-яa-z0-9 ]"","" ""))")," арнавальный костюм   аяц    аяц серый р 110 56  мех   атик   можно в интернет магазине  urzilka   ыгодные цены   ыстрая доставка по  азахстану ")</f>
        <v xml:space="preserve"> арнавальный костюм   аяц    аяц серый р 110 56  мех   атик   можно в интернет магазине  urzilka   ыгодные цены   ыстрая доставка по  азахстану </v>
      </c>
      <c r="G247" s="4" t="str">
        <f ca="1">IFERROR(__xludf.DUMMYFUNCTION("TEXTJOIN(""|"",TRUE,UNIQUE(FILTER(SPLIT(F247,"" ""),LEN(SPLIT(F247,"" ""))&gt;2)))"),"арнавальный|костюм|аяц|аяц|серый|110|мех|атик|можно|интернет|магазине|urzilka|ыгодные|цены|ыстрая|доставка|азахстану")</f>
        <v>арнавальный|костюм|аяц|аяц|серый|110|мех|атик|можно|интернет|магазине|urzilka|ыгодные|цены|ыстрая|доставка|азахстану</v>
      </c>
      <c r="I247" s="1"/>
      <c r="J247" s="1"/>
    </row>
    <row r="248" spans="1:10" x14ac:dyDescent="0.2">
      <c r="A248" s="8" t="s">
        <v>2867</v>
      </c>
      <c r="B248" s="7" t="s">
        <v>2866</v>
      </c>
      <c r="C248" s="7" t="s">
        <v>2865</v>
      </c>
      <c r="D248" s="6">
        <v>10500</v>
      </c>
      <c r="E248" s="5">
        <v>6</v>
      </c>
      <c r="F248" s="4" t="str">
        <f ca="1">IFERROR(__xludf.DUMMYFUNCTION("LOWER(REGEXREPLACE(B248&amp;"" ""&amp;C248,""[^а-яa-z0-9 ]"","" ""))"),"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ре"&amp;"дназначен для ролевых игр и развивает воображение детей ")</f>
        <v xml:space="preserve">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v>
      </c>
      <c r="G248" s="4" t="str">
        <f ca="1">IFERROR(__xludf.DUMMYFUNCTION("TEXTJOIN(""|"",TRUE,UNIQUE(FILTER(SPLIT(F248,"" ""),LEN(SPLIT(F248,"" ""))&gt;2)))"),"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amp;"ние|детей")</f>
        <v>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v>
      </c>
      <c r="I248" s="1"/>
      <c r="J248" s="1"/>
    </row>
    <row r="249" spans="1:10" x14ac:dyDescent="0.2">
      <c r="A249" s="8" t="s">
        <v>2864</v>
      </c>
      <c r="B249" s="7" t="s">
        <v>2863</v>
      </c>
      <c r="C249" s="7" t="s">
        <v>2862</v>
      </c>
      <c r="D249" s="6">
        <v>7400</v>
      </c>
      <c r="E249" s="5">
        <v>1</v>
      </c>
      <c r="F249" s="4" t="str">
        <f ca="1">IFERROR(__xludf.DUMMYFUNCTION("LOWER(REGEXREPLACE(B249&amp;"" ""&amp;C249,""[^а-яa-z0-9 ]"","" ""))")," лдар   се   борник сказок  каз   рус   англ яз   каз адаптац   ырза  ли   ")</f>
        <v xml:space="preserve"> лдар   се   борник сказок  каз   рус   англ яз   каз адаптац   ырза  ли   </v>
      </c>
      <c r="G249" s="4" t="str">
        <f ca="1">IFERROR(__xludf.DUMMYFUNCTION("TEXTJOIN(""|"",TRUE,UNIQUE(FILTER(SPLIT(F249,"" ""),LEN(SPLIT(F249,"" ""))&gt;2)))"),"лдар|борник|сказок|каз|рус|англ|каз|адаптац|ырза")</f>
        <v>лдар|борник|сказок|каз|рус|англ|каз|адаптац|ырза</v>
      </c>
      <c r="I249" s="1"/>
      <c r="J249" s="1"/>
    </row>
    <row r="250" spans="1:10" x14ac:dyDescent="0.2">
      <c r="A250" s="8" t="s">
        <v>2861</v>
      </c>
      <c r="B250" s="7" t="s">
        <v>2860</v>
      </c>
      <c r="C250" s="7" t="s">
        <v>2859</v>
      </c>
      <c r="D250" s="6">
        <v>25900</v>
      </c>
      <c r="E250" s="5">
        <v>5</v>
      </c>
      <c r="F250" s="4" t="str">
        <f ca="1">IFERROR(__xludf.DUMMYFUNCTION("LOWER(REGEXREPLACE(B250&amp;"" ""&amp;C250,""[^а-яa-z0-9 ]"","" ""))"),"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пр"&amp;"осто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"&amp;" иние помпоны спереди  еребристое текстильное ведерко на голову  ранжевый нос морковка на резинке ")</f>
        <v xml:space="preserve">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v>
      </c>
      <c r="G250" s="4" t="str">
        <f ca="1">IFERROR(__xludf.DUMMYFUNCTION("TEXTJOIN(""|"",TRUE,UNIQUE(FILTER(SPLIT(F250,"" ""),LEN(SPLIT(F250,"" ""))&gt;2)))"),"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amp;"|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amp;"рко|голову|ранжевый|нос|морковка|резинке")</f>
        <v>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v>
      </c>
      <c r="I250" s="1"/>
      <c r="J250" s="1"/>
    </row>
    <row r="251" spans="1:10" x14ac:dyDescent="0.2">
      <c r="A251" s="8" t="s">
        <v>2858</v>
      </c>
      <c r="B251" s="7" t="s">
        <v>2857</v>
      </c>
      <c r="C251" s="7" t="s">
        <v>2856</v>
      </c>
      <c r="D251" s="6">
        <v>392900</v>
      </c>
      <c r="E251" s="5">
        <v>1</v>
      </c>
      <c r="F251" s="4" t="str">
        <f ca="1">IFERROR(__xludf.DUMMYFUNCTION("LOWER(REGEXREPLACE(B251&amp;"" ""&amp;C251,""[^а-яa-z0-9 ]"","" ""))"),"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рассчитан"&amp;"ных на многократное использование   одходит для организации новогодних представлений и игровых сценариев ")</f>
        <v xml:space="preserve">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v>
      </c>
      <c r="G251" s="4" t="str">
        <f ca="1">IFERROR(__xludf.DUMMYFUNCTION("TEXTJOIN(""|"",TRUE,UNIQUE(FILTER(SPLIT(F251,"" ""),LEN(SPLIT(F251,"" ""))&gt;2)))"),"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amp;"вание|одходит|для|организации|новогодних|представлений|игровых|сценариев")</f>
        <v>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v>
      </c>
      <c r="I251" s="1"/>
      <c r="J251" s="1"/>
    </row>
    <row r="252" spans="1:10" x14ac:dyDescent="0.2">
      <c r="A252" s="8" t="s">
        <v>2855</v>
      </c>
      <c r="B252" s="7" t="s">
        <v>2854</v>
      </c>
      <c r="C252" s="7" t="s">
        <v>2853</v>
      </c>
      <c r="D252" s="6">
        <v>9200</v>
      </c>
      <c r="E252" s="5">
        <v>5</v>
      </c>
      <c r="F252" s="4" t="str">
        <f ca="1">IFERROR(__xludf.DUMMYFUNCTION("LOWER(REGEXREPLACE(B252&amp;"" ""&amp;C252,""[^а-яa-z0-9 ]"","" ""))"),"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"&amp;"требуется узнаваемый персонаж   атериалы костюма рассчитаны на регулярное использование ")</f>
        <v xml:space="preserve">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v>
      </c>
      <c r="G252" s="4" t="str">
        <f ca="1">IFERROR(__xludf.DUMMYFUNCTION("TEXTJOIN(""|"",TRUE,UNIQUE(FILTER(SPLIT(F252,"" ""),LEN(SPLIT(F252,"" ""))&gt;2)))"),"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amp;"|атериалы|костюма|рассчитаны|регулярное|использование")</f>
        <v>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v>
      </c>
      <c r="I252" s="1"/>
      <c r="J252" s="1"/>
    </row>
    <row r="253" spans="1:10" x14ac:dyDescent="0.2">
      <c r="A253" s="8" t="s">
        <v>2852</v>
      </c>
      <c r="B253" s="7" t="s">
        <v>2851</v>
      </c>
      <c r="C253" s="7" t="s">
        <v>2850</v>
      </c>
      <c r="D253" s="6">
        <v>6500</v>
      </c>
      <c r="E253" s="5">
        <v>5</v>
      </c>
      <c r="F253" s="4" t="str">
        <f ca="1">IFERROR(__xludf.DUMMYFUNCTION("LOWER(REGEXREPLACE(B253&amp;"" ""&amp;C253,""[^а-яa-z0-9 ]"","" ""))"),"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ш"&amp;" лк или аналогичный материал   ассчитан на многократное использование в помещении ")</f>
        <v xml:space="preserve">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v>
      </c>
      <c r="G253" s="4" t="str">
        <f ca="1">IFERROR(__xludf.DUMMYFUNCTION("TEXTJOIN(""|"",TRUE,UNIQUE(FILTER(SPLIT(F253,"" ""),LEN(SPLIT(F253,"" ""))&gt;2)))"),"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amp;"кратное|использование|помещении")</f>
        <v>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v>
      </c>
      <c r="I253" s="1"/>
      <c r="J253" s="1"/>
    </row>
    <row r="254" spans="1:10" x14ac:dyDescent="0.2">
      <c r="A254" s="8" t="s">
        <v>2849</v>
      </c>
      <c r="B254" s="7" t="s">
        <v>2848</v>
      </c>
      <c r="C254" s="7" t="s">
        <v>2847</v>
      </c>
      <c r="D254" s="6">
        <v>103500</v>
      </c>
      <c r="E254" s="5">
        <v>1</v>
      </c>
      <c r="F254" s="4" t="str">
        <f ca="1">IFERROR(__xludf.DUMMYFUNCTION("LOWER(REGEXREPLACE(B254&amp;"" ""&amp;C254,""[^а-яa-z0-9 ]"","" ""))"),"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актив"&amp;"ного движения   зделие рассчитано на многократное использование ")</f>
        <v xml:space="preserve">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v>
      </c>
      <c r="G254" s="4" t="str">
        <f ca="1">IFERROR(__xludf.DUMMYFUNCTION("TEXTJOIN(""|"",TRUE,UNIQUE(FILTER(SPLIT(F254,"" ""),LEN(SPLIT(F254,"" ""))&gt;2)))"),"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amp;"тано|многократное|использование")</f>
        <v>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v>
      </c>
      <c r="I254" s="1"/>
      <c r="J254" s="1"/>
    </row>
    <row r="255" spans="1:10" x14ac:dyDescent="0.2">
      <c r="A255" s="8" t="s">
        <v>2846</v>
      </c>
      <c r="B255" s="7" t="s">
        <v>2845</v>
      </c>
      <c r="C255" s="7" t="s">
        <v>2844</v>
      </c>
      <c r="D255" s="6">
        <v>2500</v>
      </c>
      <c r="E255" s="5">
        <v>25</v>
      </c>
      <c r="F255" s="4" t="str">
        <f ca="1">IFERROR(__xludf.DUMMYFUNCTION("LOWER(REGEXREPLACE(B255&amp;"" ""&amp;C255,""[^а-яa-z0-9 ]"","" ""))"),"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оставляет"&amp;"ся в виде набора листов   ассчитан на использование в творческих занятиях ")</f>
        <v xml:space="preserve">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v>
      </c>
      <c r="G255" s="4" t="str">
        <f ca="1">IFERROR(__xludf.DUMMYFUNCTION("TEXTJOIN(""|"",TRUE,UNIQUE(FILTER(SPLIT(F255,"" ""),LEN(SPLIT(F255,"" ""))&gt;2)))"),"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amp;"ов|ассчитан|использование|творческих|занятиях")</f>
        <v>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v>
      </c>
      <c r="I255" s="1"/>
      <c r="J255" s="1"/>
    </row>
    <row r="256" spans="1:10" x14ac:dyDescent="0.2">
      <c r="A256" s="8" t="s">
        <v>2843</v>
      </c>
      <c r="B256" s="7" t="s">
        <v>2842</v>
      </c>
      <c r="C256" s="7" t="s">
        <v>2841</v>
      </c>
      <c r="D256" s="6">
        <v>9500</v>
      </c>
      <c r="E256" s="5">
        <v>7</v>
      </c>
      <c r="F256" s="4" t="str">
        <f ca="1">IFERROR(__xludf.DUMMYFUNCTION("LOWER(REGEXREPLACE(B256&amp;"" ""&amp;C256,""[^а-яa-z0-9 ]"","" ""))"),"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шт"&amp;"   азмер карточек   не менее 10 15 см   одходит для занятий и игр по теме животных и звуков ")</f>
        <v xml:space="preserve">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v>
      </c>
      <c r="G256" s="4" t="str">
        <f ca="1">IFERROR(__xludf.DUMMYFUNCTION("TEXTJOIN(""|"",TRUE,UNIQUE(FILTER(SPLIT(F256,"" ""),LEN(SPLIT(F256,"" ""))&gt;2)))"),"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amp;"нятий|игр|теме|животных|звуков")</f>
        <v>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v>
      </c>
      <c r="I256" s="1"/>
      <c r="J256" s="1"/>
    </row>
    <row r="257" spans="1:10" x14ac:dyDescent="0.2">
      <c r="A257" s="8" t="s">
        <v>2840</v>
      </c>
      <c r="B257" s="7" t="s">
        <v>2839</v>
      </c>
      <c r="C257" s="7" t="s">
        <v>2838</v>
      </c>
      <c r="D257" s="6">
        <v>39900</v>
      </c>
      <c r="E257" s="5">
        <v>1</v>
      </c>
      <c r="F257" s="4" t="str">
        <f ca="1">IFERROR(__xludf.DUMMYFUNCTION("LOWER(REGEXREPLACE(B257&amp;"" ""&amp;C257,""[^а-яa-z0-9 ]"","" ""))"),"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обсужде"&amp;"нии режимных моментов и навыков самоорганизации   арточки выполнены из плотного материала для регулярного использования ")</f>
        <v xml:space="preserve">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v>
      </c>
      <c r="G257" s="4" t="str">
        <f ca="1">IFERROR(__xludf.DUMMYFUNCTION("TEXTJOIN(""|"",TRUE,UNIQUE(FILTER(SPLIT(F257,"" ""),LEN(SPLIT(F257,"" ""))&gt;2)))"),"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amp;"в|навыков|самоорганизации|арточки|выполнены|плотного|материала|для|регулярного|использования")</f>
        <v>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v>
      </c>
      <c r="I257" s="1"/>
      <c r="J257" s="1"/>
    </row>
    <row r="258" spans="1:10" x14ac:dyDescent="0.2">
      <c r="A258" s="8" t="s">
        <v>2837</v>
      </c>
      <c r="B258" s="7" t="s">
        <v>2836</v>
      </c>
      <c r="C258" s="7" t="s">
        <v>2835</v>
      </c>
      <c r="D258" s="6">
        <v>3200</v>
      </c>
      <c r="E258" s="5">
        <v>1</v>
      </c>
      <c r="F258" s="4" t="str">
        <f ca="1">IFERROR(__xludf.DUMMYFUNCTION("LOWER(REGEXREPLACE(B258&amp;"" ""&amp;C258,""[^а-яa-z0-9 ]"","" ""))"),"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расширени"&amp;"я словаря и упражнений на классификацию   арточки рассчитаны на регулярное использование и хранение в комплекте ")</f>
        <v xml:space="preserve">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v>
      </c>
      <c r="G258" s="4" t="str">
        <f ca="1">IFERROR(__xludf.DUMMYFUNCTION("TEXTJOIN(""|"",TRUE,UNIQUE(FILTER(SPLIT(F258,"" ""),LEN(SPLIT(F258,"" ""))&gt;2)))"),"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amp;"лассификацию|арточки|рассчитаны|регулярное|использование|хранение|комплекте")</f>
        <v>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v>
      </c>
      <c r="I258" s="1"/>
      <c r="J258" s="1"/>
    </row>
    <row r="259" spans="1:10" x14ac:dyDescent="0.2">
      <c r="A259" s="8" t="s">
        <v>2834</v>
      </c>
      <c r="B259" s="7" t="s">
        <v>2833</v>
      </c>
      <c r="C259" s="7" t="s">
        <v>2832</v>
      </c>
      <c r="D259" s="6">
        <v>11800</v>
      </c>
      <c r="E259" s="5">
        <v>1</v>
      </c>
      <c r="F259" s="4" t="str">
        <f ca="1">IFERROR(__xludf.DUMMYFUNCTION("LOWER(REGEXREPLACE(B259&amp;"" ""&amp;C259,""[^а-яa-z0-9 ]"","" ""))"),"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ассчит"&amp;"ан на многократное использование ")</f>
        <v xml:space="preserve">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v>
      </c>
      <c r="G259" s="4" t="str">
        <f ca="1">IFERROR(__xludf.DUMMYFUNCTION("TEXTJOIN(""|"",TRUE,UNIQUE(FILTER(SPLIT(F259,"" ""),LEN(SPLIT(F259,"" ""))&gt;2)))"),"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amp;"ование")</f>
        <v>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v>
      </c>
      <c r="I259" s="1"/>
      <c r="J259" s="1"/>
    </row>
    <row r="260" spans="1:10" x14ac:dyDescent="0.2">
      <c r="A260" s="8" t="s">
        <v>2831</v>
      </c>
      <c r="B260" s="7" t="s">
        <v>2830</v>
      </c>
      <c r="C260" s="7" t="s">
        <v>2349</v>
      </c>
      <c r="D260" s="6">
        <v>6800</v>
      </c>
      <c r="E260" s="5">
        <v>1</v>
      </c>
      <c r="F260" s="4" t="str">
        <f ca="1">IFERROR(__xludf.DUMMYFUNCTION("LOWER(REGEXREPLACE(B260&amp;"" ""&amp;C260,""[^а-яa-z0-9 ]"","" ""))")," лпамыс батыр  каз   а ылш    ей мдеген    ум сбаев")</f>
        <v xml:space="preserve"> лпамыс батыр  каз   а ылш    ей мдеген    ум сбаев</v>
      </c>
      <c r="G260" s="4" t="str">
        <f ca="1">IFERROR(__xludf.DUMMYFUNCTION("TEXTJOIN(""|"",TRUE,UNIQUE(FILTER(SPLIT(F260,"" ""),LEN(SPLIT(F260,"" ""))&gt;2)))"),"лпамыс|батыр|каз|ылш|мдеген|сбаев")</f>
        <v>лпамыс|батыр|каз|ылш|мдеген|сбаев</v>
      </c>
      <c r="I260" s="1"/>
      <c r="J260" s="1"/>
    </row>
    <row r="261" spans="1:10" x14ac:dyDescent="0.2">
      <c r="A261" s="8" t="s">
        <v>2829</v>
      </c>
      <c r="B261" s="7" t="s">
        <v>2828</v>
      </c>
      <c r="C261" s="7"/>
      <c r="D261" s="6">
        <v>1300</v>
      </c>
      <c r="E261" s="5">
        <v>1</v>
      </c>
      <c r="F261" s="4" t="str">
        <f ca="1">IFERROR(__xludf.DUMMYFUNCTION("LOWER(REGEXREPLACE(B261&amp;"" ""&amp;C261,""[^а-яa-z0-9 ]"","" ""))")," арынбай   азахская сказка ")</f>
        <v xml:space="preserve"> арынбай   азахская сказка </v>
      </c>
      <c r="G261" s="4" t="str">
        <f ca="1">IFERROR(__xludf.DUMMYFUNCTION("TEXTJOIN(""|"",TRUE,UNIQUE(FILTER(SPLIT(F261,"" ""),LEN(SPLIT(F261,"" ""))&gt;2)))"),"арынбай|азахская|сказка")</f>
        <v>арынбай|азахская|сказка</v>
      </c>
      <c r="I261" s="1"/>
      <c r="J261" s="1"/>
    </row>
    <row r="262" spans="1:10" x14ac:dyDescent="0.2">
      <c r="A262" s="8" t="s">
        <v>2827</v>
      </c>
      <c r="B262" s="7" t="s">
        <v>2826</v>
      </c>
      <c r="C262" s="7" t="s">
        <v>2825</v>
      </c>
      <c r="D262" s="6">
        <v>6900</v>
      </c>
      <c r="E262" s="5">
        <v>1</v>
      </c>
      <c r="F262" s="4" t="str">
        <f ca="1">IFERROR(__xludf.DUMMYFUNCTION("LOWER(REGEXREPLACE(B262&amp;"" ""&amp;C262,""[^а-яa-z0-9 ]"","" ""))"),"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одходи"&amp;"т для настольной учебно игровой деятельности   атериал рассчитан на регулярное использование ")</f>
        <v xml:space="preserve">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v>
      </c>
      <c r="G262" s="4" t="str">
        <f ca="1">IFERROR(__xludf.DUMMYFUNCTION("TEXTJOIN(""|"",TRUE,UNIQUE(FILTER(SPLIT(F262,"" ""),LEN(SPLIT(F262,"" ""))&gt;2)))"),"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amp;"ти|атериал|рассчитан|регулярное|использование")</f>
        <v>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v>
      </c>
      <c r="I262" s="1"/>
      <c r="J262" s="1"/>
    </row>
    <row r="263" spans="1:10" x14ac:dyDescent="0.2">
      <c r="A263" s="8" t="s">
        <v>2824</v>
      </c>
      <c r="B263" s="7" t="s">
        <v>2823</v>
      </c>
      <c r="C263" s="7" t="s">
        <v>2822</v>
      </c>
      <c r="D263" s="6">
        <v>4100</v>
      </c>
      <c r="E263" s="5">
        <v>125</v>
      </c>
      <c r="F263" s="4" t="str">
        <f ca="1">IFERROR(__xludf.DUMMYFUNCTION("LOWER(REGEXREPLACE(B263&amp;"" ""&amp;C263,""[^а-яa-z0-9 ]"","" ""))"),"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арто"&amp;"чки имеют крупный шрифт и устойчивы к истиранию ")</f>
        <v xml:space="preserve">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v>
      </c>
      <c r="G263" s="4" t="str">
        <f ca="1">IFERROR(__xludf.DUMMYFUNCTION("TEXTJOIN(""|"",TRUE,UNIQUE(FILTER(SPLIT(F263,"" ""),LEN(SPLIT(F263,"" ""))&gt;2)))"),"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amp;"стиранию")</f>
        <v>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v>
      </c>
      <c r="I263" s="1"/>
      <c r="J263" s="1"/>
    </row>
    <row r="264" spans="1:10" x14ac:dyDescent="0.2">
      <c r="A264" s="8" t="s">
        <v>2821</v>
      </c>
      <c r="B264" s="7" t="s">
        <v>2820</v>
      </c>
      <c r="C264" s="7" t="s">
        <v>2819</v>
      </c>
      <c r="D264" s="6">
        <v>7800</v>
      </c>
      <c r="E264" s="5">
        <v>1</v>
      </c>
      <c r="F264" s="4" t="str">
        <f ca="1">IFERROR(__xludf.DUMMYFUNCTION("LOWER(REGEXREPLACE(B264&amp;"" ""&amp;C264,""[^а-яa-z0-9 ]"","" ""))")," ел  ойнайы   бала ай   л мжанов   ")</f>
        <v xml:space="preserve"> ел  ойнайы   бала ай   л мжанов   </v>
      </c>
      <c r="G264" s="4" t="str">
        <f ca="1">IFERROR(__xludf.DUMMYFUNCTION("TEXTJOIN(""|"",TRUE,UNIQUE(FILTER(SPLIT(F264,"" ""),LEN(SPLIT(F264,"" ""))&gt;2)))"),"ойнайы|бала|мжанов")</f>
        <v>ойнайы|бала|мжанов</v>
      </c>
      <c r="I264" s="1"/>
      <c r="J264" s="1"/>
    </row>
    <row r="265" spans="1:10" x14ac:dyDescent="0.2">
      <c r="A265" s="8" t="s">
        <v>2818</v>
      </c>
      <c r="B265" s="7" t="s">
        <v>2817</v>
      </c>
      <c r="C265" s="7" t="s">
        <v>2816</v>
      </c>
      <c r="D265" s="6">
        <v>7000</v>
      </c>
      <c r="E265" s="5">
        <v>1</v>
      </c>
      <c r="F265" s="4" t="str">
        <f ca="1">IFERROR(__xludf.DUMMYFUNCTION("LOWER(REGEXREPLACE(B265&amp;"" ""&amp;C265,""[^а-яa-z0-9 ]"","" ""))")," ерек к тап   ыпбек лы   ")</f>
        <v xml:space="preserve"> ерек к тап   ыпбек лы   </v>
      </c>
      <c r="G265" s="4" t="str">
        <f ca="1">IFERROR(__xludf.DUMMYFUNCTION("TEXTJOIN(""|"",TRUE,UNIQUE(FILTER(SPLIT(F265,"" ""),LEN(SPLIT(F265,"" ""))&gt;2)))"),"ерек|тап|ыпбек")</f>
        <v>ерек|тап|ыпбек</v>
      </c>
      <c r="I265" s="1"/>
      <c r="J265" s="1"/>
    </row>
    <row r="266" spans="1:10" x14ac:dyDescent="0.2">
      <c r="A266" s="8" t="s">
        <v>2815</v>
      </c>
      <c r="B266" s="7" t="s">
        <v>2814</v>
      </c>
      <c r="C266" s="7" t="s">
        <v>2813</v>
      </c>
      <c r="D266" s="6">
        <v>7600</v>
      </c>
      <c r="E266" s="5">
        <v>5</v>
      </c>
      <c r="F266" s="4" t="str">
        <f ca="1">IFERROR(__xludf.DUMMYFUNCTION("LOWER(REGEXREPLACE(B266&amp;"" ""&amp;C266,""[^а-яa-z0-9 ]"","" ""))"),"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мотори"&amp;"ки у детей ")</f>
        <v xml:space="preserve">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v>
      </c>
      <c r="G266" s="4" t="str">
        <f ca="1">IFERROR(__xludf.DUMMYFUNCTION("TEXTJOIN(""|"",TRUE,UNIQUE(FILTER(SPLIT(F266,"" ""),LEN(SPLIT(F266,"" ""))&gt;2)))"),"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f>
        <v>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v>
      </c>
      <c r="I266" s="1"/>
      <c r="J266" s="1"/>
    </row>
    <row r="267" spans="1:10" x14ac:dyDescent="0.2">
      <c r="A267" s="8" t="s">
        <v>2812</v>
      </c>
      <c r="B267" s="7" t="s">
        <v>2811</v>
      </c>
      <c r="C267" s="7" t="s">
        <v>2810</v>
      </c>
      <c r="D267" s="6">
        <v>2600</v>
      </c>
      <c r="E267" s="5">
        <v>5</v>
      </c>
      <c r="F267" s="4" t="str">
        <f ca="1">IFERROR(__xludf.DUMMYFUNCTION("LOWER(REGEXREPLACE(B267&amp;"" ""&amp;C267,""[^а-яa-z0-9 ]"","" ""))"),"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в"&amp;" игровой среде ")</f>
        <v xml:space="preserve">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v>
      </c>
      <c r="G267" s="4" t="str">
        <f ca="1">IFERROR(__xludf.DUMMYFUNCTION("TEXTJOIN(""|"",TRUE,UNIQUE(FILTER(SPLIT(F267,"" ""),LEN(SPLIT(F267,"" ""))&gt;2)))"),"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f>
        <v>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v>
      </c>
      <c r="I267" s="1"/>
      <c r="J267" s="1"/>
    </row>
    <row r="268" spans="1:10" x14ac:dyDescent="0.2">
      <c r="A268" s="8" t="s">
        <v>2809</v>
      </c>
      <c r="B268" s="7" t="s">
        <v>2808</v>
      </c>
      <c r="C268" s="7" t="s">
        <v>2807</v>
      </c>
      <c r="D268" s="6">
        <v>2100</v>
      </c>
      <c r="E268" s="5">
        <v>25</v>
      </c>
      <c r="F268" s="4" t="str">
        <f ca="1">IFERROR(__xludf.DUMMYFUNCTION("LOWER(REGEXREPLACE(B268&amp;"" ""&amp;C268,""[^а-яa-z0-9 ]"","" ""))"),"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"&amp;" исти рассчитаны на многократное использование при соблюдении правил ухода ")</f>
        <v xml:space="preserve">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v>
      </c>
      <c r="G268" s="4" t="str">
        <f ca="1">IFERROR(__xludf.DUMMYFUNCTION("TEXTJOIN(""|"",TRUE,UNIQUE(FILTER(SPLIT(F268,"" ""),LEN(SPLIT(F268,"" ""))&gt;2)))"),"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amp;"ногократное|использование|при|соблюдении|правил|ухода")</f>
        <v>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v>
      </c>
      <c r="I268" s="1"/>
      <c r="J268" s="1"/>
    </row>
    <row r="269" spans="1:10" x14ac:dyDescent="0.2">
      <c r="A269" s="8" t="s">
        <v>2806</v>
      </c>
      <c r="B269" s="7" t="s">
        <v>2805</v>
      </c>
      <c r="C269" s="7" t="s">
        <v>2804</v>
      </c>
      <c r="D269" s="6">
        <v>41700</v>
      </c>
      <c r="E269" s="5">
        <v>10</v>
      </c>
      <c r="F269" s="4" t="str">
        <f ca="1">IFERROR(__xludf.DUMMYFUNCTION("LOWER(REGEXREPLACE(B269&amp;"" ""&amp;C269,""[^а-яa-z0-9 ]"","" ""))"),"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синтетич"&amp;"еский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f>
        <v xml:space="preserve">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v>
      </c>
      <c r="G269" s="4" t="str">
        <f ca="1">IFERROR(__xludf.DUMMYFUNCTION("TEXTJOIN(""|"",TRUE,UNIQUE(FILTER(SPLIT(F269,"" ""),LEN(SPLIT(F269,"" ""))&gt;2)))"),"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amp;"ый|деформации|укоятки|деревянные|удобные|для|удержания|исти|подходят|для|регулярного|использования|при|выполнении|художественных|работ")</f>
        <v>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v>
      </c>
      <c r="I269" s="1"/>
      <c r="J269" s="1"/>
    </row>
    <row r="270" spans="1:10" x14ac:dyDescent="0.2">
      <c r="A270" s="8" t="s">
        <v>2803</v>
      </c>
      <c r="B270" s="7" t="s">
        <v>2802</v>
      </c>
      <c r="C270" s="7" t="s">
        <v>2801</v>
      </c>
      <c r="D270" s="6">
        <v>3000</v>
      </c>
      <c r="E270" s="5">
        <v>12</v>
      </c>
      <c r="F270" s="4" t="str">
        <f ca="1">IFERROR(__xludf.DUMMYFUNCTION("LOWER(REGEXREPLACE(B270&amp;"" ""&amp;C270,""[^а-яa-z0-9 ]"","" ""))"),"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"&amp;"поверхностей при своевременной очистке ")</f>
        <v xml:space="preserve">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v>
      </c>
      <c r="G270" s="4" t="str">
        <f ca="1">IFERROR(__xludf.DUMMYFUNCTION("TEXTJOIN(""|"",TRUE,UNIQUE(FILTER(SPLIT(F270,"" ""),LEN(SPLIT(F270,"" ""))&gt;2)))"),"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amp;"истке")</f>
        <v>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v>
      </c>
      <c r="I270" s="1"/>
      <c r="J270" s="1"/>
    </row>
    <row r="271" spans="1:10" x14ac:dyDescent="0.2">
      <c r="A271" s="8" t="s">
        <v>2800</v>
      </c>
      <c r="B271" s="7" t="s">
        <v>2799</v>
      </c>
      <c r="C271" s="7" t="s">
        <v>2355</v>
      </c>
      <c r="D271" s="6">
        <v>7500</v>
      </c>
      <c r="E271" s="5">
        <v>1</v>
      </c>
      <c r="F271" s="4" t="str">
        <f ca="1">IFERROR(__xludf.DUMMYFUNCTION("LOWER(REGEXREPLACE(B271&amp;"" ""&amp;C271,""[^а-яa-z0-9 ]"","" ""))")," лпамыс батыр  рус   англ    дапт   умисбаев   ")</f>
        <v xml:space="preserve"> лпамыс батыр  рус   англ    дапт   умисбаев   </v>
      </c>
      <c r="G271" s="4" t="str">
        <f ca="1">IFERROR(__xludf.DUMMYFUNCTION("TEXTJOIN(""|"",TRUE,UNIQUE(FILTER(SPLIT(F271,"" ""),LEN(SPLIT(F271,"" ""))&gt;2)))"),"лпамыс|батыр|рус|англ|дапт|умисбаев")</f>
        <v>лпамыс|батыр|рус|англ|дапт|умисбаев</v>
      </c>
      <c r="I271" s="1"/>
      <c r="J271" s="1"/>
    </row>
    <row r="272" spans="1:10" x14ac:dyDescent="0.2">
      <c r="A272" s="8" t="s">
        <v>2798</v>
      </c>
      <c r="B272" s="7" t="s">
        <v>2797</v>
      </c>
      <c r="C272" s="7" t="s">
        <v>2796</v>
      </c>
      <c r="D272" s="6">
        <v>1800</v>
      </c>
      <c r="E272" s="5">
        <v>25</v>
      </c>
      <c r="F272" s="4" t="str">
        <f ca="1">IFERROR(__xludf.DUMMYFUNCTION("LOWER(REGEXREPLACE(B272&amp;"" ""&amp;C272,""[^а-яa-z0-9 ]"","" ""))"),"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f>
        <v xml:space="preserve">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v>
      </c>
      <c r="G272" s="4" t="str">
        <f ca="1">IFERROR(__xludf.DUMMYFUNCTION("TEXTJOIN(""|"",TRUE,UNIQUE(FILTER(SPLIT(F272,"" ""),LEN(SPLIT(F272,"" ""))&gt;2)))"),"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f>
        <v>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v>
      </c>
      <c r="I272" s="1"/>
      <c r="J272" s="1"/>
    </row>
    <row r="273" spans="1:10" x14ac:dyDescent="0.2">
      <c r="A273" s="8" t="s">
        <v>2795</v>
      </c>
      <c r="B273" s="7" t="s">
        <v>2794</v>
      </c>
      <c r="C273" s="7" t="s">
        <v>2793</v>
      </c>
      <c r="D273" s="6">
        <v>3600</v>
      </c>
      <c r="E273" s="5">
        <v>1</v>
      </c>
      <c r="F273" s="4" t="str">
        <f ca="1">IFERROR(__xludf.DUMMYFUNCTION("LOWER(REGEXREPLACE(B273&amp;"" ""&amp;C273,""[^а-яa-z0-9 ]"","" ""))")," леопатра   leopatra  каз   рус   англ яз      ейнз  перевод  ужикова      санова    ")</f>
        <v xml:space="preserve"> леопатра   leopatra  каз   рус   англ яз      ейнз  перевод  ужикова      санова    </v>
      </c>
      <c r="G273" s="4" t="str">
        <f ca="1">IFERROR(__xludf.DUMMYFUNCTION("TEXTJOIN(""|"",TRUE,UNIQUE(FILTER(SPLIT(F273,"" ""),LEN(SPLIT(F273,"" ""))&gt;2)))"),"леопатра|leopatra|каз|рус|англ|ейнз|перевод|ужикова|санова")</f>
        <v>леопатра|leopatra|каз|рус|англ|ейнз|перевод|ужикова|санова</v>
      </c>
      <c r="I273" s="1"/>
      <c r="J273" s="1"/>
    </row>
    <row r="274" spans="1:10" x14ac:dyDescent="0.2">
      <c r="A274" s="8" t="s">
        <v>2792</v>
      </c>
      <c r="B274" s="7" t="s">
        <v>2791</v>
      </c>
      <c r="C274" s="7" t="s">
        <v>2790</v>
      </c>
      <c r="D274" s="6">
        <v>5700</v>
      </c>
      <c r="E274" s="5">
        <v>1</v>
      </c>
      <c r="F274" s="4" t="str">
        <f ca="1">IFERROR(__xludf.DUMMYFUNCTION("LOWER(REGEXREPLACE(B274&amp;"" ""&amp;C274,""[^а-яa-z0-9 ]"","" ""))"),"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использова"&amp;"ния ")</f>
        <v xml:space="preserve">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v>
      </c>
      <c r="G274" s="4" t="str">
        <f ca="1">IFERROR(__xludf.DUMMYFUNCTION("TEXTJOIN(""|"",TRUE,UNIQUE(FILTER(SPLIT(F274,"" ""),LEN(SPLIT(F274,"" ""))&gt;2)))"),"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f>
        <v>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v>
      </c>
      <c r="I274" s="1"/>
      <c r="J274" s="1"/>
    </row>
    <row r="275" spans="1:10" x14ac:dyDescent="0.2">
      <c r="A275" s="8" t="s">
        <v>2789</v>
      </c>
      <c r="B275" s="7" t="s">
        <v>2788</v>
      </c>
      <c r="C275" s="7" t="s">
        <v>2787</v>
      </c>
      <c r="D275" s="6">
        <v>700</v>
      </c>
      <c r="E275" s="5">
        <v>5</v>
      </c>
      <c r="F275" s="4" t="str">
        <f ca="1">IFERROR(__xludf.DUMMYFUNCTION("LOWER(REGEXREPLACE(B275&amp;"" ""&amp;C275,""[^а-яa-z0-9 ]"","" ""))"),"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f>
        <v xml:space="preserve">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v>
      </c>
      <c r="G275" s="4" t="str">
        <f ca="1">IFERROR(__xludf.DUMMYFUNCTION("TEXTJOIN(""|"",TRUE,UNIQUE(FILTER(SPLIT(F275,"" ""),LEN(SPLIT(F275,"" ""))&gt;2)))"),"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f>
        <v>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v>
      </c>
      <c r="I275" s="1"/>
      <c r="J275" s="1"/>
    </row>
    <row r="276" spans="1:10" x14ac:dyDescent="0.2">
      <c r="A276" s="8" t="s">
        <v>2786</v>
      </c>
      <c r="B276" s="7" t="s">
        <v>2785</v>
      </c>
      <c r="C276" s="7" t="s">
        <v>2784</v>
      </c>
      <c r="D276" s="6">
        <v>700</v>
      </c>
      <c r="E276" s="5">
        <v>5</v>
      </c>
      <c r="F276" s="4" t="str">
        <f ca="1">IFERROR(__xludf.DUMMYFUNCTION("LOWER(REGEXREPLACE(B276&amp;"" ""&amp;C276,""[^а-яa-z0-9 ]"","" ""))"),"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f>
        <v xml:space="preserve">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v>
      </c>
      <c r="G276" s="4" t="str">
        <f ca="1">IFERROR(__xludf.DUMMYFUNCTION("TEXTJOIN(""|"",TRUE,UNIQUE(FILTER(SPLIT(F276,"" ""),LEN(SPLIT(F276,"" ""))&gt;2)))"),"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f>
        <v>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v>
      </c>
      <c r="I276" s="1"/>
      <c r="J276" s="1"/>
    </row>
    <row r="277" spans="1:10" x14ac:dyDescent="0.2">
      <c r="A277" s="8" t="s">
        <v>2783</v>
      </c>
      <c r="B277" s="7" t="s">
        <v>2782</v>
      </c>
      <c r="C277" s="7" t="s">
        <v>2781</v>
      </c>
      <c r="D277" s="6">
        <v>700</v>
      </c>
      <c r="E277" s="5">
        <v>5</v>
      </c>
      <c r="F277" s="4" t="str">
        <f ca="1">IFERROR(__xludf.DUMMYFUNCTION("LOWER(REGEXREPLACE(B277&amp;"" ""&amp;C277,""[^а-яa-z0-9 ]"","" ""))"),"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f>
        <v xml:space="preserve">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v>
      </c>
      <c r="G277" s="4" t="str">
        <f ca="1">IFERROR(__xludf.DUMMYFUNCTION("TEXTJOIN(""|"",TRUE,UNIQUE(FILTER(SPLIT(F277,"" ""),LEN(SPLIT(F277,"" ""))&gt;2)))"),"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f>
        <v>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v>
      </c>
      <c r="I277" s="1"/>
      <c r="J277" s="1"/>
    </row>
    <row r="278" spans="1:10" x14ac:dyDescent="0.2">
      <c r="A278" s="8" t="s">
        <v>2780</v>
      </c>
      <c r="B278" s="7" t="s">
        <v>2779</v>
      </c>
      <c r="C278" s="7" t="s">
        <v>2778</v>
      </c>
      <c r="D278" s="6">
        <v>9500</v>
      </c>
      <c r="E278" s="5">
        <v>7</v>
      </c>
      <c r="F278" s="4" t="str">
        <f ca="1">IFERROR(__xludf.DUMMYFUNCTION("LOWER(REGEXREPLACE(B278&amp;"" ""&amp;C278,""[^а-яa-z0-9 ]"","" ""))"),"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помещении"&amp;" ")</f>
        <v xml:space="preserve">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v>
      </c>
      <c r="G278" s="4" t="str">
        <f ca="1">IFERROR(__xludf.DUMMYFUNCTION("TEXTJOIN(""|"",TRUE,UNIQUE(FILTER(SPLIT(F278,"" ""),LEN(SPLIT(F278,"" ""))&gt;2)))"),"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f>
        <v>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v>
      </c>
      <c r="I278" s="1"/>
      <c r="J278" s="1"/>
    </row>
    <row r="279" spans="1:10" x14ac:dyDescent="0.2">
      <c r="A279" s="8" t="s">
        <v>2777</v>
      </c>
      <c r="B279" s="7" t="s">
        <v>2776</v>
      </c>
      <c r="C279" s="7" t="s">
        <v>2775</v>
      </c>
      <c r="D279" s="6">
        <v>35700</v>
      </c>
      <c r="E279" s="5">
        <v>7</v>
      </c>
      <c r="F279" s="4" t="str">
        <f ca="1">IFERROR(__xludf.DUMMYFUNCTION("LOWER(REGEXREPLACE(B279&amp;"" ""&amp;C279,""[^а-яa-z0-9 ]"","" ""))"),"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идент"&amp;"ичности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f>
        <v xml:space="preserve">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v>
      </c>
      <c r="G279" s="4" t="str">
        <f ca="1">IFERROR(__xludf.DUMMYFUNCTION("TEXTJOIN(""|"",TRUE,UNIQUE(FILTER(SPLIT(F279,"" ""),LEN(SPLIT(F279,"" ""))&gt;2)))"),"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amp;"ому|наследию|расширение|кругозора|одходит|для|чтения|педагогом|или|родителями|также|для|тематических|занятий|бесед")</f>
        <v>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v>
      </c>
      <c r="I279" s="1"/>
      <c r="J279" s="1"/>
    </row>
    <row r="280" spans="1:10" x14ac:dyDescent="0.2">
      <c r="A280" s="8" t="s">
        <v>2774</v>
      </c>
      <c r="B280" s="7" t="s">
        <v>2773</v>
      </c>
      <c r="C280" s="7" t="s">
        <v>2772</v>
      </c>
      <c r="D280" s="6">
        <v>4000</v>
      </c>
      <c r="E280" s="5">
        <v>1</v>
      </c>
      <c r="F280" s="4" t="str">
        <f ca="1">IFERROR(__xludf.DUMMYFUNCTION("LOWER(REGEXREPLACE(B280&amp;"" ""&amp;C280,""[^а-яa-z0-9 ]"","" ""))"),"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о"&amp;"дходит для тематических занятий ")</f>
        <v xml:space="preserve">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v>
      </c>
      <c r="G280" s="4" t="str">
        <f ca="1">IFERROR(__xludf.DUMMYFUNCTION("TEXTJOIN(""|"",TRUE,UNIQUE(FILTER(SPLIT(F280,"" ""),LEN(SPLIT(F280,"" ""))&gt;2)))"),"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f>
        <v>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v>
      </c>
      <c r="I280" s="1"/>
      <c r="J280" s="1"/>
    </row>
    <row r="281" spans="1:10" x14ac:dyDescent="0.2">
      <c r="A281" s="8" t="s">
        <v>2771</v>
      </c>
      <c r="B281" s="7" t="s">
        <v>2770</v>
      </c>
      <c r="C281" s="7" t="s">
        <v>2769</v>
      </c>
      <c r="D281" s="6">
        <v>12700</v>
      </c>
      <c r="E281" s="5">
        <v>1</v>
      </c>
      <c r="F281" s="4" t="str">
        <f ca="1">IFERROR(__xludf.DUMMYFUNCTION("LOWER(REGEXREPLACE(B281&amp;"" ""&amp;C281,""[^а-яa-z0-9 ]"","" ""))"),"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одх"&amp;"одит для тематических занятий и спокойной деятельности ")</f>
        <v xml:space="preserve">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v>
      </c>
      <c r="G281" s="4" t="str">
        <f ca="1">IFERROR(__xludf.DUMMYFUNCTION("TEXTJOIN(""|"",TRUE,UNIQUE(FILTER(SPLIT(F281,"" ""),LEN(SPLIT(F281,"" ""))&gt;2)))"),"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amp;"анятий|спокойной|деятельности")</f>
        <v>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v>
      </c>
      <c r="I281" s="1"/>
      <c r="J281" s="1"/>
    </row>
    <row r="282" spans="1:10" x14ac:dyDescent="0.2">
      <c r="A282" s="8" t="s">
        <v>2768</v>
      </c>
      <c r="B282" s="7" t="s">
        <v>2767</v>
      </c>
      <c r="C282" s="7" t="s">
        <v>2766</v>
      </c>
      <c r="D282" s="6">
        <v>6700</v>
      </c>
      <c r="E282" s="5">
        <v>5</v>
      </c>
      <c r="F282" s="4" t="str">
        <f ca="1">IFERROR(__xludf.DUMMYFUNCTION("LOWER(REGEXREPLACE(B282&amp;"" ""&amp;C282,""[^а-яa-z0-9 ]"","" ""))"),"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профессиям"&amp;"и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f>
        <v xml:space="preserve">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v>
      </c>
      <c r="G282" s="4" t="str">
        <f ca="1">IFERROR(__xludf.DUMMYFUNCTION("TEXTJOIN(""|"",TRUE,UNIQUE(FILTER(SPLIT(F282,"" ""),LEN(SPLIT(F282,"" ""))&gt;2)))"),"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amp;"тся|при|рассматривании|изображений|обсуждении|расширении|представлений|окружающем|мире|льбомы|подходят|для|использования|образовательной|практике")</f>
        <v>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v>
      </c>
      <c r="I282" s="1"/>
      <c r="J282" s="1"/>
    </row>
    <row r="283" spans="1:10" x14ac:dyDescent="0.2">
      <c r="A283" s="8" t="s">
        <v>2765</v>
      </c>
      <c r="B283" s="7" t="s">
        <v>2764</v>
      </c>
      <c r="C283" s="7" t="s">
        <v>2763</v>
      </c>
      <c r="D283" s="6">
        <v>7400</v>
      </c>
      <c r="E283" s="5">
        <v>5</v>
      </c>
      <c r="F283" s="4" t="str">
        <f ca="1">IFERROR(__xludf.DUMMYFUNCTION("LOWER(REGEXREPLACE(B283&amp;"" ""&amp;C283,""[^а-яa-z0-9 ]"","" ""))"),"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аккура"&amp;"тное многократное использование   рименяется при совместном чтении и тематических занятиях ")</f>
        <v xml:space="preserve">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v>
      </c>
      <c r="G283" s="4" t="str">
        <f ca="1">IFERROR(__xludf.DUMMYFUNCTION("TEXTJOIN(""|"",TRUE,UNIQUE(FILTER(SPLIT(F283,"" ""),LEN(SPLIT(F283,"" ""))&gt;2)))"),"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amp;"яется|при|совместном|чтении|тематических|занятиях")</f>
        <v>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v>
      </c>
      <c r="I283" s="1"/>
      <c r="J283" s="1"/>
    </row>
    <row r="284" spans="1:10" x14ac:dyDescent="0.2">
      <c r="A284" s="8" t="s">
        <v>2762</v>
      </c>
      <c r="B284" s="7" t="s">
        <v>2761</v>
      </c>
      <c r="C284" s="7" t="s">
        <v>2760</v>
      </c>
      <c r="D284" s="6">
        <v>7400</v>
      </c>
      <c r="E284" s="5">
        <v>5</v>
      </c>
      <c r="F284" s="4" t="str">
        <f ca="1">IFERROR(__xludf.DUMMYFUNCTION("LOWER(REGEXREPLACE(B284&amp;"" ""&amp;C284,""[^а-яa-z0-9 ]"","" ""))"),"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ак"&amp;"куратного использования   рименяется при совместном чтении и тематических занятиях ")</f>
        <v xml:space="preserve">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v>
      </c>
      <c r="G284" s="4" t="str">
        <f ca="1">IFERROR(__xludf.DUMMYFUNCTION("TEXTJOIN(""|"",TRUE,UNIQUE(FILTER(SPLIT(F284,"" ""),LEN(SPLIT(F284,"" ""))&gt;2)))"),"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amp;"|при|совместном|чтении|тематических|занятиях")</f>
        <v>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v>
      </c>
      <c r="I284" s="1"/>
      <c r="J284" s="1"/>
    </row>
    <row r="285" spans="1:10" x14ac:dyDescent="0.2">
      <c r="A285" s="8" t="s">
        <v>2759</v>
      </c>
      <c r="B285" s="7" t="s">
        <v>2758</v>
      </c>
      <c r="C285" s="7" t="s">
        <v>2757</v>
      </c>
      <c r="D285" s="6">
        <v>9500</v>
      </c>
      <c r="E285" s="5">
        <v>1</v>
      </c>
      <c r="F285" s="4" t="str">
        <f ca="1">IFERROR(__xludf.DUMMYFUNCTION("LOWER(REGEXREPLACE(B285&amp;"" ""&amp;C285,""[^а-яa-z0-9 ]"","" ""))"),"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рассматривания"&amp;"   артонные страницы рассчитаны на многократное использование ")</f>
        <v xml:space="preserve">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v>
      </c>
      <c r="G285" s="4" t="str">
        <f ca="1">IFERROR(__xludf.DUMMYFUNCTION("TEXTJOIN(""|"",TRUE,UNIQUE(FILTER(SPLIT(F285,"" ""),LEN(SPLIT(F285,"" ""))&gt;2)))"),"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amp;"считаны|многократное|использование")</f>
        <v>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v>
      </c>
      <c r="I285" s="1"/>
      <c r="J285" s="1"/>
    </row>
    <row r="286" spans="1:10" x14ac:dyDescent="0.2">
      <c r="A286" s="8" t="s">
        <v>2756</v>
      </c>
      <c r="B286" s="7" t="s">
        <v>2755</v>
      </c>
      <c r="C286" s="7" t="s">
        <v>2754</v>
      </c>
      <c r="D286" s="6">
        <v>10600</v>
      </c>
      <c r="E286" s="5">
        <v>10</v>
      </c>
      <c r="F286" s="4" t="str">
        <f ca="1">IFERROR(__xludf.DUMMYFUNCTION("LOWER(REGEXREPLACE(B286&amp;"" ""&amp;C286,""[^а-яa-z0-9 ]"","" ""))"),"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ас"&amp;"считан на длительное хранение и использование ")</f>
        <v xml:space="preserve">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v>
      </c>
      <c r="G286" s="4" t="str">
        <f ca="1">IFERROR(__xludf.DUMMYFUNCTION("TEXTJOIN(""|"",TRUE,UNIQUE(FILTER(SPLIT(F286,"" ""),LEN(SPLIT(F286,"" ""))&gt;2)))"),"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amp;"ние|использование")</f>
        <v>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v>
      </c>
      <c r="I286" s="1"/>
      <c r="J286" s="1"/>
    </row>
    <row r="287" spans="1:10" x14ac:dyDescent="0.2">
      <c r="A287" s="8" t="s">
        <v>2753</v>
      </c>
      <c r="B287" s="8" t="s">
        <v>2752</v>
      </c>
      <c r="C287" s="7" t="s">
        <v>2751</v>
      </c>
      <c r="D287" s="6">
        <v>152000</v>
      </c>
      <c r="E287" s="5">
        <v>18</v>
      </c>
      <c r="F287" s="4" t="str">
        <f ca="1">IFERROR(__xludf.DUMMYFUNCTION("LOWER(REGEXREPLACE(B287&amp;"" ""&amp;C287,""[^а-яa-z0-9 ]"","" ""))"),"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f>
        <v xml:space="preserve">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v>
      </c>
      <c r="G287" s="4" t="str">
        <f ca="1">IFERROR(__xludf.DUMMYFUNCTION("TEXTJOIN(""|"",TRUE,UNIQUE(FILTER(SPLIT(F287,"" ""),LEN(SPLIT(F287,"" ""))&gt;2)))"),"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f>
        <v>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v>
      </c>
      <c r="I287" s="1"/>
      <c r="J287" s="1"/>
    </row>
    <row r="288" spans="1:10" x14ac:dyDescent="0.2">
      <c r="A288" s="7"/>
      <c r="B288" s="7"/>
      <c r="C288" s="9" t="s">
        <v>2750</v>
      </c>
      <c r="D288" s="6">
        <v>34799</v>
      </c>
      <c r="E288" s="5">
        <v>1</v>
      </c>
      <c r="F288" s="4" t="str">
        <f ca="1">IFERROR(__xludf.DUMMYFUNCTION("LOWER(REGEXREPLACE(B288&amp;"" ""&amp;C288,""[^а-яa-z0-9 ]"","" ""))"),"  теллаж двусторонний  3 полки  размер не менее 800х600х1100 мм")</f>
        <v xml:space="preserve">  теллаж двусторонний  3 полки  размер не менее 800х600х1100 мм</v>
      </c>
      <c r="G288" s="4" t="str">
        <f ca="1">IFERROR(__xludf.DUMMYFUNCTION("TEXTJOIN(""|"",TRUE,UNIQUE(FILTER(SPLIT(F288,"" ""),LEN(SPLIT(F288,"" ""))&gt;2)))"),"теллаж|двусторонний|полки|размер|менее|800х600х1100")</f>
        <v>теллаж|двусторонний|полки|размер|менее|800х600х1100</v>
      </c>
      <c r="I288" s="1"/>
      <c r="J288" s="1"/>
    </row>
    <row r="289" spans="1:10" x14ac:dyDescent="0.2">
      <c r="A289" s="8" t="s">
        <v>2749</v>
      </c>
      <c r="B289" s="7" t="s">
        <v>2748</v>
      </c>
      <c r="C289" s="7" t="s">
        <v>2747</v>
      </c>
      <c r="D289" s="6">
        <v>20700</v>
      </c>
      <c r="E289" s="5">
        <v>1</v>
      </c>
      <c r="F289" s="4" t="str">
        <f ca="1">IFERROR(__xludf.DUMMYFUNCTION("LOWER(REGEXREPLACE(B289&amp;"" ""&amp;C289,""[^а-яa-z0-9 ]"","" ""))")," ов р с казахскими орнаментами  ягкий ков р для зоны чтения и отдыха с традиционными казахскими узорами   снащ н антискользящим основанием ")</f>
        <v xml:space="preserve"> ов р с казахскими орнаментами  ягкий ков р для зоны чтения и отдыха с традиционными казахскими узорами   снащ н антискользящим основанием </v>
      </c>
      <c r="G289" s="4" t="str">
        <f ca="1">IFERROR(__xludf.DUMMYFUNCTION("TEXTJOIN(""|"",TRUE,UNIQUE(FILTER(SPLIT(F289,"" ""),LEN(SPLIT(F289,"" ""))&gt;2)))"),"казахскими|орнаментами|ягкий|ков|для|зоны|чтения|отдыха|традиционными|казахскими|узорами|снащ|антискользящим|основанием")</f>
        <v>казахскими|орнаментами|ягкий|ков|для|зоны|чтения|отдыха|традиционными|казахскими|узорами|снащ|антискользящим|основанием</v>
      </c>
      <c r="I289" s="1"/>
      <c r="J289" s="1"/>
    </row>
    <row r="290" spans="1:10" x14ac:dyDescent="0.2">
      <c r="A290" s="8" t="s">
        <v>2746</v>
      </c>
      <c r="B290" s="7" t="s">
        <v>2745</v>
      </c>
      <c r="C290" s="7" t="s">
        <v>2744</v>
      </c>
      <c r="D290" s="6">
        <v>4500</v>
      </c>
      <c r="E290" s="5">
        <v>25</v>
      </c>
      <c r="F290" s="4" t="str">
        <f ca="1">IFERROR(__xludf.DUMMYFUNCTION("LOWER(REGEXREPLACE(B290&amp;"" ""&amp;C290,""[^а-яa-z0-9 ]"","" ""))"),"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скольжени"&amp;"ю и л гкий в уходе   ассчитан на регулярное использование ")</f>
        <v xml:space="preserve">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v>
      </c>
      <c r="G290" s="4" t="str">
        <f ca="1">IFERROR(__xludf.DUMMYFUNCTION("TEXTJOIN(""|"",TRUE,UNIQUE(FILTER(SPLIT(F290,"" ""),LEN(SPLIT(F290,"" ""))&gt;2)))"),"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f>
        <v>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v>
      </c>
      <c r="I290" s="1"/>
      <c r="J290" s="1"/>
    </row>
    <row r="291" spans="1:10" x14ac:dyDescent="0.2">
      <c r="A291" s="8" t="s">
        <v>2743</v>
      </c>
      <c r="B291" s="7" t="s">
        <v>2742</v>
      </c>
      <c r="C291" s="7" t="s">
        <v>2741</v>
      </c>
      <c r="D291" s="6">
        <v>2900</v>
      </c>
      <c r="E291" s="5">
        <v>15</v>
      </c>
      <c r="F291" s="4" t="str">
        <f ca="1">IFERROR(__xludf.DUMMYFUNCTION("LOWER(REGEXREPLACE(B291&amp;"" ""&amp;C291,""[^а-яa-z0-9 ]"","" ""))"),"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м"&amp;"еста    комплект входит не менее 4 ковриков   азмер одного коврика   не менее 39 29 см  возможны дополнительные меньшие форматы  ")</f>
        <v xml:space="preserve">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v>
      </c>
      <c r="G291" s="4" t="str">
        <f ca="1">IFERROR(__xludf.DUMMYFUNCTION("TEXTJOIN(""|"",TRUE,UNIQUE(FILTER(SPLIT(F291,"" ""),LEN(SPLIT(F291,"" ""))&gt;2)))"),"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amp;"е|ковриков|азмер|одного|коврика|менее|возможны|дополнительные|меньшие|форматы")</f>
        <v>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v>
      </c>
      <c r="I291" s="1"/>
      <c r="J291" s="1"/>
    </row>
    <row r="292" spans="1:10" x14ac:dyDescent="0.2">
      <c r="A292" s="8" t="s">
        <v>2740</v>
      </c>
      <c r="B292" s="7" t="s">
        <v>2739</v>
      </c>
      <c r="C292" s="7" t="s">
        <v>2738</v>
      </c>
      <c r="D292" s="6">
        <v>12400</v>
      </c>
      <c r="E292" s="5">
        <v>1</v>
      </c>
      <c r="F292" s="4" t="str">
        <f ca="1">IFERROR(__xludf.DUMMYFUNCTION("LOWER(REGEXREPLACE(B292&amp;"" ""&amp;C292,""[^а-яa-z0-9 ]"","" ""))"),"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пастельн"&amp;"ые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f>
        <v xml:space="preserve">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v>
      </c>
      <c r="G292" s="4" t="str">
        <f ca="1">IFERROR(__xludf.DUMMYFUNCTION("TEXTJOIN(""|"",TRUE,UNIQUE(FILTER(SPLIT(F292,"" ""),LEN(SPLIT(F292,"" ""))&gt;2)))"),"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amp;"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f>
        <v>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v>
      </c>
      <c r="I292" s="1"/>
      <c r="J292" s="1"/>
    </row>
    <row r="293" spans="1:10" x14ac:dyDescent="0.2">
      <c r="A293" s="8" t="s">
        <v>2737</v>
      </c>
      <c r="B293" s="7" t="s">
        <v>2736</v>
      </c>
      <c r="C293" s="7" t="s">
        <v>2355</v>
      </c>
      <c r="D293" s="6">
        <v>7900</v>
      </c>
      <c r="E293" s="5">
        <v>1</v>
      </c>
      <c r="F293" s="4" t="str">
        <f ca="1">IFERROR(__xludf.DUMMYFUNCTION("LOWER(REGEXREPLACE(B293&amp;"" ""&amp;C293,""[^а-яa-z0-9 ]"","" ""))")," озы  орпеш    аян сулу  рус   англ    дапт   умисбаев   ")</f>
        <v xml:space="preserve"> озы  орпеш    аян сулу  рус   англ    дапт   умисбаев   </v>
      </c>
      <c r="G293" s="4" t="str">
        <f ca="1">IFERROR(__xludf.DUMMYFUNCTION("TEXTJOIN(""|"",TRUE,UNIQUE(FILTER(SPLIT(F293,"" ""),LEN(SPLIT(F293,"" ""))&gt;2)))"),"озы|орпеш|аян|сулу|рус|англ|дапт|умисбаев")</f>
        <v>озы|орпеш|аян|сулу|рус|англ|дапт|умисбаев</v>
      </c>
      <c r="I293" s="1"/>
      <c r="J293" s="1"/>
    </row>
    <row r="294" spans="1:10" x14ac:dyDescent="0.2">
      <c r="A294" s="8" t="s">
        <v>2735</v>
      </c>
      <c r="B294" s="7" t="s">
        <v>2734</v>
      </c>
      <c r="C294" s="7" t="s">
        <v>2414</v>
      </c>
      <c r="D294" s="6">
        <v>1400</v>
      </c>
      <c r="E294" s="5">
        <v>1</v>
      </c>
      <c r="F294" s="4" t="str">
        <f ca="1">IFERROR(__xludf.DUMMYFUNCTION("LOWER(REGEXREPLACE(B294&amp;"" ""&amp;C294,""[^а-яa-z0-9 ]"","" ""))"),"   ылды  бояма    й    мная  раскраска   аскрась по коду   ом  енаги   ")</f>
        <v xml:space="preserve">   ылды  бояма    й    мная  раскраска   аскрась по коду   ом  енаги   </v>
      </c>
      <c r="G294" s="4" t="str">
        <f ca="1">IFERROR(__xludf.DUMMYFUNCTION("TEXTJOIN(""|"",TRUE,UNIQUE(FILTER(SPLIT(F294,"" ""),LEN(SPLIT(F294,"" ""))&gt;2)))"),"ылды|бояма|мная|раскраска|аскрась|коду|енаги")</f>
        <v>ылды|бояма|мная|раскраска|аскрась|коду|енаги</v>
      </c>
      <c r="I294" s="1"/>
      <c r="J294" s="1"/>
    </row>
    <row r="295" spans="1:10" x14ac:dyDescent="0.2">
      <c r="A295" s="8" t="s">
        <v>2733</v>
      </c>
      <c r="B295" s="7" t="s">
        <v>2732</v>
      </c>
      <c r="C295" s="7" t="s">
        <v>2731</v>
      </c>
      <c r="D295" s="6">
        <v>19000</v>
      </c>
      <c r="E295" s="5">
        <v>1</v>
      </c>
      <c r="F295" s="4" t="str">
        <f ca="1">IFERROR(__xludf.DUMMYFUNCTION("LOWER(REGEXREPLACE(B295&amp;"" ""&amp;C295,""[^а-яa-z0-9 ]"","" ""))")," нтология планеты земля  лдершоу   ")</f>
        <v xml:space="preserve"> нтология планеты земля  лдершоу   </v>
      </c>
      <c r="G295" s="4" t="str">
        <f ca="1">IFERROR(__xludf.DUMMYFUNCTION("TEXTJOIN(""|"",TRUE,UNIQUE(FILTER(SPLIT(F295,"" ""),LEN(SPLIT(F295,"" ""))&gt;2)))"),"нтология|планеты|земля|лдершоу")</f>
        <v>нтология|планеты|земля|лдершоу</v>
      </c>
      <c r="I295" s="1"/>
      <c r="J295" s="1"/>
    </row>
    <row r="296" spans="1:10" x14ac:dyDescent="0.2">
      <c r="A296" s="8" t="s">
        <v>2730</v>
      </c>
      <c r="B296" s="7" t="s">
        <v>2729</v>
      </c>
      <c r="C296" s="7" t="s">
        <v>2728</v>
      </c>
      <c r="D296" s="6">
        <v>18400</v>
      </c>
      <c r="E296" s="5">
        <v>10</v>
      </c>
      <c r="F296" s="4" t="str">
        <f ca="1">IFERROR(__xludf.DUMMYFUNCTION("LOWER(REGEXREPLACE(B296&amp;"" ""&amp;C296,""[^а-яa-z0-9 ]"","" ""))"),"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должны"&amp;"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f>
        <v xml:space="preserve">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v>
      </c>
      <c r="G296" s="4" t="str">
        <f ca="1">IFERROR(__xludf.DUMMYFUNCTION("TEXTJOIN(""|"",TRUE,UNIQUE(FILTER(SPLIT(F296,"" ""),LEN(SPLIT(F296,"" ""))&gt;2)))"),"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amp;"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f>
        <v>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v>
      </c>
      <c r="I296" s="1"/>
      <c r="J296" s="1"/>
    </row>
    <row r="297" spans="1:10" x14ac:dyDescent="0.2">
      <c r="A297" s="8" t="s">
        <v>2727</v>
      </c>
      <c r="B297" s="7" t="s">
        <v>2726</v>
      </c>
      <c r="C297" s="7" t="s">
        <v>2725</v>
      </c>
      <c r="D297" s="6">
        <v>22800</v>
      </c>
      <c r="E297" s="5">
        <v>1</v>
      </c>
      <c r="F297" s="4" t="str">
        <f ca="1">IFERROR(__xludf.DUMMYFUNCTION("LOWER(REGEXREPLACE(B297&amp;"" ""&amp;C297,""[^а-яa-z0-9 ]"","" ""))"),"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о"&amp;"треза ткани   не менее 1 м  при поставке единицей товара    ветовая гамма допускает различные варианты по ассортименту ")</f>
        <v xml:space="preserve">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v>
      </c>
      <c r="G297" s="4" t="str">
        <f ca="1">IFERROR(__xludf.DUMMYFUNCTION("TEXTJOIN(""|"",TRUE,UNIQUE(FILTER(SPLIT(F297,"" ""),LEN(SPLIT(F297,"" ""))&gt;2)))"),"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amp;"авке|единицей|товара|ветовая|гамма|допускает|различные|варианты|ассортименту")</f>
        <v>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v>
      </c>
      <c r="I297" s="1"/>
      <c r="J297" s="1"/>
    </row>
    <row r="298" spans="1:10" x14ac:dyDescent="0.2">
      <c r="A298" s="8" t="s">
        <v>2724</v>
      </c>
      <c r="B298" s="7" t="s">
        <v>2723</v>
      </c>
      <c r="C298" s="7" t="s">
        <v>2722</v>
      </c>
      <c r="D298" s="6">
        <v>470300</v>
      </c>
      <c r="E298" s="5">
        <v>1</v>
      </c>
      <c r="F298" s="4" t="str">
        <f ca="1">IFERROR(__xludf.DUMMYFUNCTION("LOWER(REGEXREPLACE(B298&amp;"" ""&amp;C298,""[^а-яa-z0-9 ]"","" ""))")," олода для рубки мяса верх пэ ce ekp70x70  ержавеющая сталь 430   олщина  полиэтилена  10 cm    бортиком  без полки   араметры  700x700x850 мм")</f>
        <v xml:space="preserve"> олода для рубки мяса верх пэ ce ekp70x70  ержавеющая сталь 430   олщина  полиэтилена  10 cm    бортиком  без полки   араметры  700x700x850 мм</v>
      </c>
      <c r="G298" s="4" t="str">
        <f ca="1">IFERROR(__xludf.DUMMYFUNCTION("TEXTJOIN(""|"",TRUE,UNIQUE(FILTER(SPLIT(F298,"" ""),LEN(SPLIT(F298,"" ""))&gt;2)))"),"олода|для|рубки|мяса|верх|ekp70x70|ержавеющая|сталь|430|олщина|полиэтилена|бортиком|без|полки|араметры|700x700x850")</f>
        <v>олода|для|рубки|мяса|верх|ekp70x70|ержавеющая|сталь|430|олщина|полиэтилена|бортиком|без|полки|араметры|700x700x850</v>
      </c>
      <c r="I298" s="1"/>
      <c r="J298" s="1"/>
    </row>
    <row r="299" spans="1:10" x14ac:dyDescent="0.2">
      <c r="A299" s="8" t="s">
        <v>2721</v>
      </c>
      <c r="B299" s="7" t="s">
        <v>2720</v>
      </c>
      <c r="C299" s="7" t="s">
        <v>2719</v>
      </c>
      <c r="D299" s="6">
        <v>4500</v>
      </c>
      <c r="E299" s="5">
        <v>175</v>
      </c>
      <c r="F299" s="4" t="str">
        <f ca="1">IFERROR(__xludf.DUMMYFUNCTION("LOWER(REGEXREPLACE(B299&amp;"" ""&amp;C299,""[^а-яa-z0-9 ]"","" ""))"),"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проч"&amp;"ность и удобство удержания   абариты изделия составляют не менее 6 5 6 5 12 см   ассчитан на многократное использование в помещении ")</f>
        <v xml:space="preserve">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v>
      </c>
      <c r="G299" s="4" t="str">
        <f ca="1">IFERROR(__xludf.DUMMYFUNCTION("TEXTJOIN(""|"",TRUE,UNIQUE(FILTER(SPLIT(F299,"" ""),LEN(SPLIT(F299,"" ""))&gt;2)))"),"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amp;"ржания|абариты|изделия|составляют|менее|ассчитан|многократное|использование|помещении")</f>
        <v>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v>
      </c>
      <c r="I299" s="1"/>
      <c r="J299" s="1"/>
    </row>
    <row r="300" spans="1:10" x14ac:dyDescent="0.2">
      <c r="A300" s="8" t="s">
        <v>2718</v>
      </c>
      <c r="B300" s="7" t="s">
        <v>2717</v>
      </c>
      <c r="C300" s="7" t="s">
        <v>2716</v>
      </c>
      <c r="D300" s="6">
        <v>19000</v>
      </c>
      <c r="E300" s="5">
        <v>2</v>
      </c>
      <c r="F300" s="4" t="str">
        <f ca="1">IFERROR(__xludf.DUMMYFUNCTION("LOWER(REGEXREPLACE(B300&amp;"" ""&amp;C300,""[^а-яa-z0-9 ]"","" ""))"),"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"&amp;"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f>
        <v xml:space="preserve">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v>
      </c>
      <c r="G300" s="4" t="str">
        <f ca="1">IFERROR(__xludf.DUMMYFUNCTION("TEXTJOIN(""|"",TRUE,UNIQUE(FILTER(SPLIT(F300,"" ""),LEN(SPLIT(F300,"" ""))&gt;2)))"),"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amp;"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f>
        <v>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v>
      </c>
      <c r="I300" s="1"/>
      <c r="J300" s="1"/>
    </row>
    <row r="301" spans="1:10" x14ac:dyDescent="0.2">
      <c r="A301" s="8" t="s">
        <v>2715</v>
      </c>
      <c r="B301" s="7" t="s">
        <v>2714</v>
      </c>
      <c r="C301" s="7" t="s">
        <v>2713</v>
      </c>
      <c r="D301" s="6">
        <v>23500</v>
      </c>
      <c r="E301" s="5">
        <v>10</v>
      </c>
      <c r="F301" s="4" t="str">
        <f ca="1">IFERROR(__xludf.DUMMYFUNCTION("LOWER(REGEXREPLACE(B301&amp;"" ""&amp;C301,""[^а-яa-z0-9 ]"","" ""))"),"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игровые"&amp;"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"&amp;"время игры ")</f>
        <v xml:space="preserve">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v>
      </c>
      <c r="G301" s="4" t="str">
        <f ca="1">IFERROR(__xludf.DUMMYFUNCTION("TEXTJOIN(""|"",TRUE,UNIQUE(FILTER(SPLIT(F301,"" ""),LEN(SPLIT(F301,"" ""))&gt;2)))"),"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amp;"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f>
        <v>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v>
      </c>
      <c r="I301" s="1"/>
      <c r="J301" s="1"/>
    </row>
    <row r="302" spans="1:10" x14ac:dyDescent="0.2">
      <c r="A302" s="8" t="s">
        <v>2712</v>
      </c>
      <c r="B302" s="7" t="s">
        <v>2711</v>
      </c>
      <c r="C302" s="7" t="s">
        <v>2710</v>
      </c>
      <c r="D302" s="6">
        <v>1472500</v>
      </c>
      <c r="E302" s="5">
        <v>1</v>
      </c>
      <c r="F302" s="4" t="str">
        <f ca="1">IFERROR(__xludf.DUMMYFUNCTION("LOWER(REGEXREPLACE(B302&amp;"" ""&amp;C302,""[^а-яa-z0-9 ]"","" ""))"),"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стимул"&amp;"яции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f>
        <v xml:space="preserve">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v>
      </c>
      <c r="G302" s="4" t="str">
        <f ca="1">IFERROR(__xludf.DUMMYFUNCTION("TEXTJOIN(""|"",TRUE,UNIQUE(FILTER(SPLIT(F302,"" ""),LEN(SPLIT(F302,"" ""))&gt;2)))"),"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amp;"жения|эмоционального|напряжения|онструкция|устойчивая|предназначена|для|стационарного|размещения|сенсорных|психологических|зонах")</f>
        <v>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v>
      </c>
      <c r="I302" s="1"/>
      <c r="J302" s="1"/>
    </row>
    <row r="303" spans="1:10" x14ac:dyDescent="0.2">
      <c r="A303" s="8" t="s">
        <v>2709</v>
      </c>
      <c r="B303" s="7" t="s">
        <v>2708</v>
      </c>
      <c r="C303" s="7" t="s">
        <v>2707</v>
      </c>
      <c r="D303" s="6">
        <v>9100</v>
      </c>
      <c r="E303" s="5">
        <v>25</v>
      </c>
      <c r="F303" s="4" t="str">
        <f ca="1">IFERROR(__xludf.DUMMYFUNCTION("LOWER(REGEXREPLACE(B303&amp;"" ""&amp;C303,""[^а-яa-z0-9 ]"","" ""))"),"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цветораз"&amp;"личения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f>
        <v xml:space="preserve">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v>
      </c>
      <c r="G303" s="4" t="str">
        <f ca="1">IFERROR(__xludf.DUMMYFUNCTION("TEXTJOIN(""|"",TRUE,UNIQUE(FILTER(SPLIT(F303,"" ""),LEN(SPLIT(F303,"" ""))&gt;2)))"),"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amp;"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f>
        <v>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v>
      </c>
      <c r="I303" s="1"/>
      <c r="J303" s="1"/>
    </row>
    <row r="304" spans="1:10" x14ac:dyDescent="0.2">
      <c r="A304" s="8" t="s">
        <v>2706</v>
      </c>
      <c r="B304" s="7" t="s">
        <v>2705</v>
      </c>
      <c r="C304" s="7" t="s">
        <v>2704</v>
      </c>
      <c r="D304" s="6">
        <v>195400</v>
      </c>
      <c r="E304" s="5">
        <v>1</v>
      </c>
      <c r="F304" s="4" t="str">
        <f ca="1">IFERROR(__xludf.DUMMYFUNCTION("LOWER(REGEXREPLACE(B304&amp;"" ""&amp;C304,""[^а-яa-z0-9 ]"","" ""))"),"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социаль"&amp;"ные навыки  речь  эмоциональный интеллект и навыки взаимодействия   спользуется в психологических и игровых кабинетах ")</f>
        <v xml:space="preserve">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v>
      </c>
      <c r="G304" s="4" t="str">
        <f ca="1">IFERROR(__xludf.DUMMYFUNCTION("TEXTJOIN(""|"",TRUE,UNIQUE(FILTER(SPLIT(F304,"" ""),LEN(SPLIT(F304,"" ""))&gt;2)))"),"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amp;"ечь|эмоциональный|интеллект|навыки|взаимодействия|спользуется|психологических|игровых|кабинетах")</f>
        <v>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v>
      </c>
      <c r="I304" s="1"/>
      <c r="J304" s="1"/>
    </row>
    <row r="305" spans="1:10" x14ac:dyDescent="0.2">
      <c r="A305" s="8" t="s">
        <v>2703</v>
      </c>
      <c r="B305" s="7" t="s">
        <v>2702</v>
      </c>
      <c r="C305" s="7" t="s">
        <v>2701</v>
      </c>
      <c r="D305" s="6">
        <v>19000</v>
      </c>
      <c r="E305" s="5">
        <v>1</v>
      </c>
      <c r="F305" s="4" t="str">
        <f ca="1">IFERROR(__xludf.DUMMYFUNCTION("LOWER(REGEXREPLACE(B305&amp;"" ""&amp;C305,""[^а-яa-z0-9 ]"","" ""))"),"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для"&amp;" индивидуальных и подгрупповых занятий  а также в коррекционно развивающей практике ")</f>
        <v xml:space="preserve">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v>
      </c>
      <c r="G305" s="4" t="str">
        <f ca="1">IFERROR(__xludf.DUMMYFUNCTION("TEXTJOIN(""|"",TRUE,UNIQUE(FILTER(SPLIT(F305,"" ""),LEN(SPLIT(F305,"" ""))&gt;2)))"),"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amp;"овых|занятий|также|коррекционно|развивающей|практике")</f>
        <v>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v>
      </c>
      <c r="I305" s="1"/>
      <c r="J305" s="1"/>
    </row>
    <row r="306" spans="1:10" x14ac:dyDescent="0.2">
      <c r="A306" s="8" t="s">
        <v>2700</v>
      </c>
      <c r="B306" s="7" t="s">
        <v>2699</v>
      </c>
      <c r="C306" s="7" t="s">
        <v>2698</v>
      </c>
      <c r="D306" s="6">
        <v>18000</v>
      </c>
      <c r="E306" s="5">
        <v>1</v>
      </c>
      <c r="F306" s="4" t="str">
        <f ca="1">IFERROR(__xludf.DUMMYFUNCTION("LOWER(REGEXREPLACE(B306&amp;"" ""&amp;C306,""[^а-яa-z0-9 ]"","" ""))"),"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"&amp;"помещениях учреждения ")</f>
        <v xml:space="preserve">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v>
      </c>
      <c r="G306" s="4" t="str">
        <f ca="1">IFERROR(__xludf.DUMMYFUNCTION("TEXTJOIN(""|"",TRUE,UNIQUE(FILTER(SPLIT(F306,"" ""),LEN(SPLIT(F306,"" ""))&gt;2)))"),"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amp;"ния")</f>
        <v>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v>
      </c>
      <c r="I306" s="1"/>
      <c r="J306" s="1"/>
    </row>
    <row r="307" spans="1:10" x14ac:dyDescent="0.2">
      <c r="A307" s="8" t="s">
        <v>2697</v>
      </c>
      <c r="B307" s="7" t="s">
        <v>2696</v>
      </c>
      <c r="C307" s="7" t="s">
        <v>2695</v>
      </c>
      <c r="D307" s="6">
        <v>10600</v>
      </c>
      <c r="E307" s="5">
        <v>5</v>
      </c>
      <c r="F307" s="4" t="str">
        <f ca="1">IFERROR(__xludf.DUMMYFUNCTION("LOWER(REGEXREPLACE(B307&amp;"" ""&amp;C307,""[^а-яa-z0-9 ]"","" ""))"),"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ар"&amp;"точки рассчитаны на регулярное использование ")</f>
        <v xml:space="preserve">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v>
      </c>
      <c r="G307" s="4" t="str">
        <f ca="1">IFERROR(__xludf.DUMMYFUNCTION("TEXTJOIN(""|"",TRUE,UNIQUE(FILTER(SPLIT(F307,"" ""),LEN(SPLIT(F307,"" ""))&gt;2)))"),"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amp;"спользование")</f>
        <v>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v>
      </c>
      <c r="I307" s="1"/>
      <c r="J307" s="1"/>
    </row>
    <row r="308" spans="1:10" x14ac:dyDescent="0.2">
      <c r="A308" s="8" t="s">
        <v>2694</v>
      </c>
      <c r="B308" s="7" t="s">
        <v>2693</v>
      </c>
      <c r="C308" s="7" t="s">
        <v>2692</v>
      </c>
      <c r="D308" s="6">
        <v>47500</v>
      </c>
      <c r="E308" s="5">
        <v>7</v>
      </c>
      <c r="F308" s="4" t="str">
        <f ca="1">IFERROR(__xludf.DUMMYFUNCTION("LOWER(REGEXREPLACE(B308&amp;"" ""&amp;C308,""[^а-яa-z0-9 ]"","" ""))"),"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для"&amp;" организации книжного уголка и тематических занятий   ассчитан на регулярное использование ")</f>
        <v xml:space="preserve">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v>
      </c>
      <c r="G308" s="4" t="str">
        <f ca="1">IFERROR(__xludf.DUMMYFUNCTION("TEXTJOIN(""|"",TRUE,UNIQUE(FILTER(SPLIT(F308,"" ""),LEN(SPLIT(F308,"" ""))&gt;2)))"),"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amp;"|занятий|ассчитан|регулярное|использование")</f>
        <v>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v>
      </c>
      <c r="I308" s="1"/>
      <c r="J308" s="1"/>
    </row>
    <row r="309" spans="1:10" x14ac:dyDescent="0.2">
      <c r="A309" s="8" t="s">
        <v>2691</v>
      </c>
      <c r="B309" s="7" t="s">
        <v>2690</v>
      </c>
      <c r="C309" s="7" t="s">
        <v>2689</v>
      </c>
      <c r="D309" s="6">
        <v>714000</v>
      </c>
      <c r="E309" s="5">
        <v>45</v>
      </c>
      <c r="F309" s="4" t="str">
        <f ca="1">IFERROR(__xludf.DUMMYFUNCTION("LOWER(REGEXREPLACE(B309&amp;"" ""&amp;C309,""[^а-яa-z0-9 ]"","" ""))"),"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гк"&amp;"ость ухода  износостойкость и долговечность ")</f>
        <v xml:space="preserve">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v>
      </c>
      <c r="G309" s="4" t="str">
        <f ca="1">IFERROR(__xludf.DUMMYFUNCTION("TEXTJOIN(""|"",TRUE,UNIQUE(FILTER(SPLIT(F309,"" ""),LEN(SPLIT(F309,"" ""))&gt;2)))"),"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amp;"говечность")</f>
        <v>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v>
      </c>
      <c r="I309" s="1"/>
      <c r="J309" s="1"/>
    </row>
    <row r="310" spans="1:10" x14ac:dyDescent="0.2">
      <c r="A310" s="8" t="s">
        <v>2688</v>
      </c>
      <c r="B310" s="7" t="s">
        <v>2687</v>
      </c>
      <c r="C310" s="7" t="s">
        <v>2686</v>
      </c>
      <c r="D310" s="6">
        <v>36000</v>
      </c>
      <c r="E310" s="5">
        <v>960</v>
      </c>
      <c r="F310" s="4" t="str">
        <f ca="1">IFERROR(__xludf.DUMMYFUNCTION("LOWER(REGEXREPLACE(B310&amp;"" ""&amp;C310,""[^а-яa-z0-9 ]"","" ""))"),"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обработки"&amp;" ")</f>
        <v xml:space="preserve">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v>
      </c>
      <c r="G310" s="4" t="str">
        <f ca="1">IFERROR(__xludf.DUMMYFUNCTION("TEXTJOIN(""|"",TRUE,UNIQUE(FILTER(SPLIT(F310,"" ""),LEN(SPLIT(F310,"" ""))&gt;2)))"),"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f>
        <v>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v>
      </c>
      <c r="I310" s="1"/>
      <c r="J310" s="1"/>
    </row>
    <row r="311" spans="1:10" x14ac:dyDescent="0.2">
      <c r="A311" s="8" t="s">
        <v>2685</v>
      </c>
      <c r="B311" s="7" t="s">
        <v>2684</v>
      </c>
      <c r="C311" s="7" t="s">
        <v>2683</v>
      </c>
      <c r="D311" s="6">
        <v>5700</v>
      </c>
      <c r="E311" s="5">
        <v>1</v>
      </c>
      <c r="F311" s="4" t="str">
        <f ca="1">IFERROR(__xludf.DUMMYFUNCTION("LOWER(REGEXREPLACE(B311&amp;"" ""&amp;C311,""[^а-яa-z0-9 ]"","" ""))")," омпьютерл к программалау   алалар а арнал ан  ордерман   ")</f>
        <v xml:space="preserve"> омпьютерл к программалау   алалар а арнал ан  ордерман   </v>
      </c>
      <c r="G311" s="4" t="str">
        <f ca="1">IFERROR(__xludf.DUMMYFUNCTION("TEXTJOIN(""|"",TRUE,UNIQUE(FILTER(SPLIT(F311,"" ""),LEN(SPLIT(F311,"" ""))&gt;2)))"),"омпьютерл|программалау|алалар|арнал|ордерман")</f>
        <v>омпьютерл|программалау|алалар|арнал|ордерман</v>
      </c>
      <c r="I311" s="1"/>
      <c r="J311" s="1"/>
    </row>
    <row r="312" spans="1:10" x14ac:dyDescent="0.2">
      <c r="A312" s="8" t="s">
        <v>2682</v>
      </c>
      <c r="B312" s="7" t="s">
        <v>2681</v>
      </c>
      <c r="C312" s="7" t="s">
        <v>2680</v>
      </c>
      <c r="D312" s="6">
        <v>37900</v>
      </c>
      <c r="E312" s="5">
        <v>1</v>
      </c>
      <c r="F312" s="4" t="str">
        <f ca="1">IFERROR(__xludf.DUMMYFUNCTION("LOWER(REGEXREPLACE(B312&amp;"" ""&amp;C312,""[^а-яa-z0-9 ]"","" ""))")," онный мир казахов  октабай   ")</f>
        <v xml:space="preserve"> онный мир казахов  октабай   </v>
      </c>
      <c r="G312" s="4" t="str">
        <f ca="1">IFERROR(__xludf.DUMMYFUNCTION("TEXTJOIN(""|"",TRUE,UNIQUE(FILTER(SPLIT(F312,"" ""),LEN(SPLIT(F312,"" ""))&gt;2)))"),"онный|мир|казахов|октабай")</f>
        <v>онный|мир|казахов|октабай</v>
      </c>
      <c r="I312" s="1"/>
      <c r="J312" s="1"/>
    </row>
    <row r="313" spans="1:10" x14ac:dyDescent="0.2">
      <c r="A313" s="8" t="s">
        <v>2679</v>
      </c>
      <c r="B313" s="7" t="s">
        <v>2678</v>
      </c>
      <c r="C313" s="7" t="s">
        <v>2677</v>
      </c>
      <c r="D313" s="6">
        <v>14300</v>
      </c>
      <c r="E313" s="5">
        <v>14</v>
      </c>
      <c r="F313" s="4" t="str">
        <f ca="1">IFERROR(__xludf.DUMMYFUNCTION("LOWER(REGEXREPLACE(B313&amp;"" ""&amp;C313,""[^а-яa-z0-9 ]"","" ""))"),"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f>
        <v xml:space="preserve">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v>
      </c>
      <c r="G313" s="4" t="str">
        <f ca="1">IFERROR(__xludf.DUMMYFUNCTION("TEXTJOIN(""|"",TRUE,UNIQUE(FILTER(SPLIT(F313,"" ""),LEN(SPLIT(F313,"" ""))&gt;2)))"),"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f>
        <v>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v>
      </c>
      <c r="I313" s="1"/>
      <c r="J313" s="1"/>
    </row>
    <row r="314" spans="1:10" x14ac:dyDescent="0.2">
      <c r="A314" s="8" t="s">
        <v>2676</v>
      </c>
      <c r="B314" s="7" t="s">
        <v>2675</v>
      </c>
      <c r="C314" s="7" t="s">
        <v>2674</v>
      </c>
      <c r="D314" s="6">
        <v>34700</v>
      </c>
      <c r="E314" s="5">
        <v>1</v>
      </c>
      <c r="F314" s="4" t="str">
        <f ca="1">IFERROR(__xludf.DUMMYFUNCTION("LOWER(REGEXREPLACE(B314&amp;"" ""&amp;C314,""[^а-яa-z0-9 ]"","" ""))"),"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f>
        <v xml:space="preserve">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v>
      </c>
      <c r="G314" s="4" t="str">
        <f ca="1">IFERROR(__xludf.DUMMYFUNCTION("TEXTJOIN(""|"",TRUE,UNIQUE(FILTER(SPLIT(F314,"" ""),LEN(SPLIT(F314,"" ""))&gt;2)))"),"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f>
        <v>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v>
      </c>
      <c r="I314" s="1"/>
      <c r="J314" s="1"/>
    </row>
    <row r="315" spans="1:10" x14ac:dyDescent="0.2">
      <c r="A315" s="8" t="s">
        <v>2673</v>
      </c>
      <c r="B315" s="7" t="s">
        <v>2672</v>
      </c>
      <c r="C315" s="7" t="s">
        <v>2671</v>
      </c>
      <c r="D315" s="6">
        <v>46700</v>
      </c>
      <c r="E315" s="5">
        <v>5</v>
      </c>
      <c r="F315" s="4" t="str">
        <f ca="1">IFERROR(__xludf.DUMMYFUNCTION("LOWER(REGEXREPLACE(B315&amp;"" ""&amp;C315,""[^а-яa-z0-9 ]"","" ""))"),"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f>
        <v xml:space="preserve">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v>
      </c>
      <c r="G315" s="4" t="str">
        <f ca="1">IFERROR(__xludf.DUMMYFUNCTION("TEXTJOIN(""|"",TRUE,UNIQUE(FILTER(SPLIT(F315,"" ""),LEN(SPLIT(F315,"" ""))&gt;2)))"),"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f>
        <v>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v>
      </c>
      <c r="I315" s="1"/>
      <c r="J315" s="1"/>
    </row>
    <row r="316" spans="1:10" x14ac:dyDescent="0.2">
      <c r="A316" s="8" t="s">
        <v>2670</v>
      </c>
      <c r="B316" s="7" t="s">
        <v>2669</v>
      </c>
      <c r="C316" s="7" t="s">
        <v>2668</v>
      </c>
      <c r="D316" s="6">
        <v>34100</v>
      </c>
      <c r="E316" s="5">
        <v>5</v>
      </c>
      <c r="F316" s="4" t="str">
        <f ca="1">IFERROR(__xludf.DUMMYFUNCTION("LOWER(REGEXREPLACE(B316&amp;"" ""&amp;C316,""[^а-яa-z0-9 ]"","" ""))"),"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объек"&amp;"тов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сбор"&amp;"ку и разборку в условиях образовательной среды ")</f>
        <v xml:space="preserve">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v>
      </c>
      <c r="G316" s="4" t="str">
        <f ca="1">IFERROR(__xludf.DUMMYFUNCTION("TEXTJOIN(""|"",TRUE,UNIQUE(FILTER(SPLIT(F316,"" ""),LEN(SPLIT(F316,"" ""))&gt;2)))"),"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amp;"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amp;"ной|среды")</f>
        <v>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v>
      </c>
      <c r="I316" s="1"/>
      <c r="J316" s="1"/>
    </row>
    <row r="317" spans="1:10" x14ac:dyDescent="0.2">
      <c r="A317" s="8" t="s">
        <v>2667</v>
      </c>
      <c r="B317" s="7" t="s">
        <v>2666</v>
      </c>
      <c r="C317" s="7" t="s">
        <v>2665</v>
      </c>
      <c r="D317" s="6">
        <v>43200</v>
      </c>
      <c r="E317" s="5">
        <v>13</v>
      </c>
      <c r="F317" s="4" t="str">
        <f ca="1">IFERROR(__xludf.DUMMYFUNCTION("LOWER(REGEXREPLACE(B317&amp;"" ""&amp;C317,""[^а-яa-z0-9 ]"","" ""))"),"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пра"&amp;"вилами   ассчитана на хранение и применение в помещениях ")</f>
        <v xml:space="preserve">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v>
      </c>
      <c r="G317" s="4" t="str">
        <f ca="1">IFERROR(__xludf.DUMMYFUNCTION("TEXTJOIN(""|"",TRUE,UNIQUE(FILTER(SPLIT(F317,"" ""),LEN(SPLIT(F317,"" ""))&gt;2)))"),"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amp;"на|хранение|применение|помещениях")</f>
        <v>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v>
      </c>
      <c r="I317" s="1"/>
      <c r="J317" s="1"/>
    </row>
    <row r="318" spans="1:10" x14ac:dyDescent="0.2">
      <c r="A318" s="8" t="s">
        <v>2664</v>
      </c>
      <c r="B318" s="7" t="s">
        <v>2663</v>
      </c>
      <c r="C318" s="7" t="s">
        <v>2662</v>
      </c>
      <c r="D318" s="6">
        <v>14600</v>
      </c>
      <c r="E318" s="5">
        <v>7</v>
      </c>
      <c r="F318" s="4" t="str">
        <f ca="1">IFERROR(__xludf.DUMMYFUNCTION("LOWER(REGEXREPLACE(B318&amp;"" ""&amp;C318,""[^а-яa-z0-9 ]"","" ""))"),"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f>
        <v xml:space="preserve">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v>
      </c>
      <c r="G318" s="4" t="str">
        <f ca="1">IFERROR(__xludf.DUMMYFUNCTION("TEXTJOIN(""|"",TRUE,UNIQUE(FILTER(SPLIT(F318,"" ""),LEN(SPLIT(F318,"" ""))&gt;2)))"),"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f>
        <v>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v>
      </c>
      <c r="I318" s="1"/>
      <c r="J318" s="1"/>
    </row>
    <row r="319" spans="1:10" x14ac:dyDescent="0.2">
      <c r="A319" s="8" t="s">
        <v>2661</v>
      </c>
      <c r="B319" s="7" t="s">
        <v>2660</v>
      </c>
      <c r="C319" s="7" t="s">
        <v>2659</v>
      </c>
      <c r="D319" s="6">
        <v>66500</v>
      </c>
      <c r="E319" s="5">
        <v>5</v>
      </c>
      <c r="F319" s="4" t="str">
        <f ca="1">IFERROR(__xludf.DUMMYFUNCTION("LOWER(REGEXREPLACE(B319&amp;"" ""&amp;C319,""[^а-яa-z0-9 ]"","" ""))"),"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направ"&amp;"ленного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f>
        <v xml:space="preserve">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v>
      </c>
      <c r="G319" s="4" t="str">
        <f ca="1">IFERROR(__xludf.DUMMYFUNCTION("TEXTJOIN(""|"",TRUE,UNIQUE(FILTER(SPLIT(F319,"" ""),LEN(SPLIT(F319,"" ""))&gt;2)))"),"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amp;"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f>
        <v>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v>
      </c>
      <c r="I319" s="1"/>
      <c r="J319" s="1"/>
    </row>
    <row r="320" spans="1:10" x14ac:dyDescent="0.2">
      <c r="A320" s="8" t="s">
        <v>2658</v>
      </c>
      <c r="B320" s="7" t="s">
        <v>2657</v>
      </c>
      <c r="C320" s="7" t="s">
        <v>2656</v>
      </c>
      <c r="D320" s="6">
        <v>38000</v>
      </c>
      <c r="E320" s="5">
        <v>1</v>
      </c>
      <c r="F320" s="4" t="str">
        <f ca="1">IFERROR(__xludf.DUMMYFUNCTION("LOWER(REGEXREPLACE(B320&amp;"" ""&amp;C320,""[^а-яa-z0-9 ]"","" ""))"),"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f>
        <v xml:space="preserve">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v>
      </c>
      <c r="G320" s="4" t="str">
        <f ca="1">IFERROR(__xludf.DUMMYFUNCTION("TEXTJOIN(""|"",TRUE,UNIQUE(FILTER(SPLIT(F320,"" ""),LEN(SPLIT(F320,"" ""))&gt;2)))"),"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f>
        <v>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v>
      </c>
      <c r="I320" s="1"/>
      <c r="J320" s="1"/>
    </row>
    <row r="321" spans="1:10" x14ac:dyDescent="0.2">
      <c r="A321" s="8" t="s">
        <v>2655</v>
      </c>
      <c r="B321" s="7" t="s">
        <v>2654</v>
      </c>
      <c r="C321" s="7" t="s">
        <v>2653</v>
      </c>
      <c r="D321" s="6">
        <v>20000</v>
      </c>
      <c r="E321" s="5">
        <v>5</v>
      </c>
      <c r="F321" s="4" t="str">
        <f ca="1">IFERROR(__xludf.DUMMYFUNCTION("LOWER(REGEXREPLACE(B321&amp;"" ""&amp;C321,""[^а-яa-z0-9 ]"","" ""))"),"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фа"&amp;"нтазии ")</f>
        <v xml:space="preserve">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v>
      </c>
      <c r="G321" s="4" t="str">
        <f ca="1">IFERROR(__xludf.DUMMYFUNCTION("TEXTJOIN(""|"",TRUE,UNIQUE(FILTER(SPLIT(F321,"" ""),LEN(SPLIT(F321,"" ""))&gt;2)))"),"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f>
        <v>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v>
      </c>
      <c r="I321" s="1"/>
      <c r="J321" s="1"/>
    </row>
    <row r="322" spans="1:10" x14ac:dyDescent="0.2">
      <c r="A322" s="8" t="s">
        <v>2652</v>
      </c>
      <c r="B322" s="7" t="s">
        <v>2651</v>
      </c>
      <c r="C322" s="7" t="s">
        <v>2650</v>
      </c>
      <c r="D322" s="6">
        <v>52700</v>
      </c>
      <c r="E322" s="5">
        <v>5</v>
      </c>
      <c r="F322" s="4" t="str">
        <f ca="1">IFERROR(__xludf.DUMMYFUNCTION("LOWER(REGEXREPLACE(B322&amp;"" ""&amp;C322,""[^а-яa-z0-9 ]"","" ""))"),"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f>
        <v xml:space="preserve">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v>
      </c>
      <c r="G322" s="4" t="str">
        <f ca="1">IFERROR(__xludf.DUMMYFUNCTION("TEXTJOIN(""|"",TRUE,UNIQUE(FILTER(SPLIT(F322,"" ""),LEN(SPLIT(F322,"" ""))&gt;2)))"),"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f>
        <v>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v>
      </c>
      <c r="I322" s="1"/>
      <c r="J322" s="1"/>
    </row>
    <row r="323" spans="1:10" x14ac:dyDescent="0.2">
      <c r="A323" s="8" t="s">
        <v>2649</v>
      </c>
      <c r="B323" s="7" t="s">
        <v>2648</v>
      </c>
      <c r="C323" s="7" t="s">
        <v>2647</v>
      </c>
      <c r="D323" s="6">
        <v>940500</v>
      </c>
      <c r="E323" s="5">
        <v>1</v>
      </c>
      <c r="F323" s="4" t="str">
        <f ca="1">IFERROR(__xludf.DUMMYFUNCTION("LOWER(REGEXREPLACE(B323&amp;"" ""&amp;C323,""[^а-яa-z0-9 ]"","" ""))"),"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f>
        <v xml:space="preserve">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v>
      </c>
      <c r="G323" s="4" t="str">
        <f ca="1">IFERROR(__xludf.DUMMYFUNCTION("TEXTJOIN(""|"",TRUE,UNIQUE(FILTER(SPLIT(F323,"" ""),LEN(SPLIT(F323,"" ""))&gt;2)))"),"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f>
        <v>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v>
      </c>
      <c r="I323" s="1"/>
      <c r="J323" s="1"/>
    </row>
    <row r="324" spans="1:10" x14ac:dyDescent="0.2">
      <c r="A324" s="8" t="s">
        <v>2646</v>
      </c>
      <c r="B324" s="7" t="s">
        <v>2645</v>
      </c>
      <c r="C324" s="7" t="s">
        <v>2644</v>
      </c>
      <c r="D324" s="6">
        <v>47900</v>
      </c>
      <c r="E324" s="5">
        <v>7</v>
      </c>
      <c r="F324" s="4" t="str">
        <f ca="1">IFERROR(__xludf.DUMMYFUNCTION("LOWER(REGEXREPLACE(B324&amp;"" ""&amp;C324,""[^а-яa-z0-9 ]"","" ""))"),"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f>
        <v xml:space="preserve">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v>
      </c>
      <c r="G324" s="4" t="str">
        <f ca="1">IFERROR(__xludf.DUMMYFUNCTION("TEXTJOIN(""|"",TRUE,UNIQUE(FILTER(SPLIT(F324,"" ""),LEN(SPLIT(F324,"" ""))&gt;2)))"),"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f>
        <v>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v>
      </c>
      <c r="I324" s="1"/>
      <c r="J324" s="1"/>
    </row>
    <row r="325" spans="1:10" x14ac:dyDescent="0.2">
      <c r="A325" s="8" t="s">
        <v>2643</v>
      </c>
      <c r="B325" s="7" t="s">
        <v>2642</v>
      </c>
      <c r="C325" s="7" t="s">
        <v>2641</v>
      </c>
      <c r="D325" s="6">
        <v>85500</v>
      </c>
      <c r="E325" s="5">
        <v>1</v>
      </c>
      <c r="F325" s="4" t="str">
        <f ca="1">IFERROR(__xludf.DUMMYFUNCTION("LOWER(REGEXREPLACE(B325&amp;"" ""&amp;C325,""[^а-яa-z0-9 ]"","" ""))"),"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f>
        <v xml:space="preserve">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v>
      </c>
      <c r="G325" s="4" t="str">
        <f ca="1">IFERROR(__xludf.DUMMYFUNCTION("TEXTJOIN(""|"",TRUE,UNIQUE(FILTER(SPLIT(F325,"" ""),LEN(SPLIT(F325,"" ""))&gt;2)))"),"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f>
        <v>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v>
      </c>
      <c r="I325" s="1"/>
      <c r="J325" s="1"/>
    </row>
    <row r="326" spans="1:10" x14ac:dyDescent="0.2">
      <c r="A326" s="8" t="s">
        <v>2640</v>
      </c>
      <c r="B326" s="7" t="s">
        <v>2639</v>
      </c>
      <c r="C326" s="7" t="s">
        <v>2638</v>
      </c>
      <c r="D326" s="6">
        <v>18400</v>
      </c>
      <c r="E326" s="5">
        <v>7</v>
      </c>
      <c r="F326" s="4" t="str">
        <f ca="1">IFERROR(__xludf.DUMMYFUNCTION("LOWER(REGEXREPLACE(B326&amp;"" ""&amp;C326,""[^а-яa-z0-9 ]"","" ""))"),"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f>
        <v xml:space="preserve">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v>
      </c>
      <c r="G326" s="4" t="str">
        <f ca="1">IFERROR(__xludf.DUMMYFUNCTION("TEXTJOIN(""|"",TRUE,UNIQUE(FILTER(SPLIT(F326,"" ""),LEN(SPLIT(F326,"" ""))&gt;2)))"),"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f>
        <v>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v>
      </c>
      <c r="I326" s="1"/>
      <c r="J326" s="1"/>
    </row>
    <row r="327" spans="1:10" x14ac:dyDescent="0.2">
      <c r="A327" s="8" t="s">
        <v>2637</v>
      </c>
      <c r="B327" s="7" t="s">
        <v>2636</v>
      </c>
      <c r="C327" s="7" t="s">
        <v>2635</v>
      </c>
      <c r="D327" s="6">
        <v>30400</v>
      </c>
      <c r="E327" s="5">
        <v>1</v>
      </c>
      <c r="F327" s="4" t="str">
        <f ca="1">IFERROR(__xludf.DUMMYFUNCTION("LOWER(REGEXREPLACE(B327&amp;"" ""&amp;C327,""[^а-яa-z0-9 ]"","" ""))"),"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f>
        <v xml:space="preserve">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v>
      </c>
      <c r="G327" s="4" t="str">
        <f ca="1">IFERROR(__xludf.DUMMYFUNCTION("TEXTJOIN(""|"",TRUE,UNIQUE(FILTER(SPLIT(F327,"" ""),LEN(SPLIT(F327,"" ""))&gt;2)))"),"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f>
        <v>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v>
      </c>
      <c r="I327" s="1"/>
      <c r="J327" s="1"/>
    </row>
    <row r="328" spans="1:10" x14ac:dyDescent="0.2">
      <c r="A328" s="8" t="s">
        <v>2634</v>
      </c>
      <c r="B328" s="7" t="s">
        <v>2633</v>
      </c>
      <c r="C328" s="7" t="s">
        <v>2600</v>
      </c>
      <c r="D328" s="6">
        <v>18000</v>
      </c>
      <c r="E328" s="5">
        <v>1</v>
      </c>
      <c r="F328" s="4" t="str">
        <f ca="1">IFERROR(__xludf.DUMMYFUNCTION("LOWER(REGEXREPLACE(B328&amp;"" ""&amp;C328,""[^а-яa-z0-9 ]"","" ""))")," хмет   лаш арда тысы  маханбет     ")</f>
        <v xml:space="preserve"> хмет   лаш арда тысы  маханбет     </v>
      </c>
      <c r="G328" s="4" t="str">
        <f ca="1">IFERROR(__xludf.DUMMYFUNCTION("TEXTJOIN(""|"",TRUE,UNIQUE(FILTER(SPLIT(F328,"" ""),LEN(SPLIT(F328,"" ""))&gt;2)))"),"хмет|лаш|арда|тысы|маханбет")</f>
        <v>хмет|лаш|арда|тысы|маханбет</v>
      </c>
      <c r="I328" s="1"/>
      <c r="J328" s="1"/>
    </row>
    <row r="329" spans="1:10" x14ac:dyDescent="0.2">
      <c r="A329" s="8" t="s">
        <v>2632</v>
      </c>
      <c r="B329" s="7" t="s">
        <v>2631</v>
      </c>
      <c r="C329" s="7" t="s">
        <v>2630</v>
      </c>
      <c r="D329" s="6">
        <v>50400</v>
      </c>
      <c r="E329" s="5">
        <v>2</v>
      </c>
      <c r="F329" s="4" t="str">
        <f ca="1">IFERROR(__xludf.DUMMYFUNCTION("LOWER(REGEXREPLACE(B329&amp;"" ""&amp;C329,""[^а-яa-z0-9 ]"","" ""))"),"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п"&amp;"оверхность пластика обеспечивает легкость мытья")</f>
        <v xml:space="preserve">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v>
      </c>
      <c r="G329" s="4" t="str">
        <f ca="1">IFERROR(__xludf.DUMMYFUNCTION("TEXTJOIN(""|"",TRUE,UNIQUE(FILTER(SPLIT(F329,"" ""),LEN(SPLIT(F329,"" ""))&gt;2)))"),"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amp;"обеспечивает|легкость|мытья")</f>
        <v>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v>
      </c>
      <c r="I329" s="1"/>
      <c r="J329" s="1"/>
    </row>
    <row r="330" spans="1:10" x14ac:dyDescent="0.2">
      <c r="A330" s="8" t="s">
        <v>2629</v>
      </c>
      <c r="B330" s="7" t="s">
        <v>2628</v>
      </c>
      <c r="C330" s="7" t="s">
        <v>2627</v>
      </c>
      <c r="D330" s="6">
        <v>45000</v>
      </c>
      <c r="E330" s="5">
        <v>6</v>
      </c>
      <c r="F330" s="4" t="str">
        <f ca="1">IFERROR(__xludf.DUMMYFUNCTION("LOWER(REGEXREPLACE(B330&amp;"" ""&amp;C330,""[^а-яa-z0-9 ]"","" ""))"),"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f>
        <v xml:space="preserve">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v>
      </c>
      <c r="G330" s="4" t="str">
        <f ca="1">IFERROR(__xludf.DUMMYFUNCTION("TEXTJOIN(""|"",TRUE,UNIQUE(FILTER(SPLIT(F330,"" ""),LEN(SPLIT(F330,"" ""))&gt;2)))"),"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f>
        <v>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v>
      </c>
      <c r="I330" s="1"/>
      <c r="J330" s="1"/>
    </row>
    <row r="331" spans="1:10" x14ac:dyDescent="0.2">
      <c r="A331" s="8" t="s">
        <v>2626</v>
      </c>
      <c r="B331" s="7" t="s">
        <v>2625</v>
      </c>
      <c r="C331" s="7" t="s">
        <v>2624</v>
      </c>
      <c r="D331" s="6">
        <v>13000</v>
      </c>
      <c r="E331" s="5">
        <v>8</v>
      </c>
      <c r="F331" s="4" t="str">
        <f ca="1">IFERROR(__xludf.DUMMYFUNCTION("LOWER(REGEXREPLACE(B331&amp;"" ""&amp;C331,""[^а-яa-z0-9 ]"","" ""))"),"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f>
        <v xml:space="preserve">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v>
      </c>
      <c r="G331" s="4" t="str">
        <f ca="1">IFERROR(__xludf.DUMMYFUNCTION("TEXTJOIN(""|"",TRUE,UNIQUE(FILTER(SPLIT(F331,"" ""),LEN(SPLIT(F331,"" ""))&gt;2)))"),"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f>
        <v>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v>
      </c>
      <c r="I331" s="1"/>
      <c r="J331" s="1"/>
    </row>
    <row r="332" spans="1:10" x14ac:dyDescent="0.2">
      <c r="A332" s="8" t="s">
        <v>2623</v>
      </c>
      <c r="B332" s="7" t="s">
        <v>2622</v>
      </c>
      <c r="C332" s="7" t="s">
        <v>2621</v>
      </c>
      <c r="D332" s="6">
        <v>9700</v>
      </c>
      <c r="E332" s="5">
        <v>3</v>
      </c>
      <c r="F332" s="4" t="str">
        <f ca="1">IFERROR(__xludf.DUMMYFUNCTION("LOWER(REGEXREPLACE(B332&amp;"" ""&amp;C332,""[^а-яa-z0-9 ]"","" ""))"),"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f>
        <v xml:space="preserve">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v>
      </c>
      <c r="G332" s="4" t="str">
        <f ca="1">IFERROR(__xludf.DUMMYFUNCTION("TEXTJOIN(""|"",TRUE,UNIQUE(FILTER(SPLIT(F332,"" ""),LEN(SPLIT(F332,"" ""))&gt;2)))"),"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f>
        <v>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v>
      </c>
      <c r="I332" s="1"/>
      <c r="J332" s="1"/>
    </row>
    <row r="333" spans="1:10" x14ac:dyDescent="0.2">
      <c r="A333" s="8" t="s">
        <v>2620</v>
      </c>
      <c r="B333" s="7" t="s">
        <v>2619</v>
      </c>
      <c r="C333" s="7" t="s">
        <v>2618</v>
      </c>
      <c r="D333" s="6">
        <v>1700</v>
      </c>
      <c r="E333" s="5">
        <v>3</v>
      </c>
      <c r="F333" s="4" t="str">
        <f ca="1">IFERROR(__xludf.DUMMYFUNCTION("LOWER(REGEXREPLACE(B333&amp;"" ""&amp;C333,""[^а-яa-z0-9 ]"","" ""))"),"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f>
        <v xml:space="preserve">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v>
      </c>
      <c r="G333" s="4" t="str">
        <f ca="1">IFERROR(__xludf.DUMMYFUNCTION("TEXTJOIN(""|"",TRUE,UNIQUE(FILTER(SPLIT(F333,"" ""),LEN(SPLIT(F333,"" ""))&gt;2)))"),"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f>
        <v>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v>
      </c>
      <c r="I333" s="1"/>
      <c r="J333" s="1"/>
    </row>
    <row r="334" spans="1:10" x14ac:dyDescent="0.2">
      <c r="A334" s="8" t="s">
        <v>2617</v>
      </c>
      <c r="B334" s="7" t="s">
        <v>2616</v>
      </c>
      <c r="C334" s="7" t="s">
        <v>2615</v>
      </c>
      <c r="D334" s="6">
        <v>10800</v>
      </c>
      <c r="E334" s="5">
        <v>2</v>
      </c>
      <c r="F334" s="4" t="str">
        <f ca="1">IFERROR(__xludf.DUMMYFUNCTION("LOWER(REGEXREPLACE(B334&amp;"" ""&amp;C334,""[^а-яa-z0-9 ]"","" ""))"),"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f>
        <v xml:space="preserve">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v>
      </c>
      <c r="G334" s="4" t="str">
        <f ca="1">IFERROR(__xludf.DUMMYFUNCTION("TEXTJOIN(""|"",TRUE,UNIQUE(FILTER(SPLIT(F334,"" ""),LEN(SPLIT(F334,"" ""))&gt;2)))"),"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f>
        <v>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v>
      </c>
      <c r="I334" s="1"/>
      <c r="J334" s="1"/>
    </row>
    <row r="335" spans="1:10" x14ac:dyDescent="0.2">
      <c r="A335" s="8" t="s">
        <v>2614</v>
      </c>
      <c r="B335" s="7" t="s">
        <v>2613</v>
      </c>
      <c r="C335" s="7" t="s">
        <v>2612</v>
      </c>
      <c r="D335" s="6">
        <v>6700</v>
      </c>
      <c r="E335" s="5">
        <v>7</v>
      </c>
      <c r="F335" s="4" t="str">
        <f ca="1">IFERROR(__xludf.DUMMYFUNCTION("LOWER(REGEXREPLACE(B335&amp;"" ""&amp;C335,""[^а-яa-z0-9 ]"","" ""))"),"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f>
        <v xml:space="preserve">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v>
      </c>
      <c r="G335" s="4" t="str">
        <f ca="1">IFERROR(__xludf.DUMMYFUNCTION("TEXTJOIN(""|"",TRUE,UNIQUE(FILTER(SPLIT(F335,"" ""),LEN(SPLIT(F335,"" ""))&gt;2)))"),"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f>
        <v>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v>
      </c>
      <c r="I335" s="1"/>
      <c r="J335" s="1"/>
    </row>
    <row r="336" spans="1:10" x14ac:dyDescent="0.2">
      <c r="A336" s="8" t="s">
        <v>2611</v>
      </c>
      <c r="B336" s="7" t="s">
        <v>2610</v>
      </c>
      <c r="C336" s="7" t="s">
        <v>2609</v>
      </c>
      <c r="D336" s="6">
        <v>1900</v>
      </c>
      <c r="E336" s="5">
        <v>5</v>
      </c>
      <c r="F336" s="4" t="str">
        <f ca="1">IFERROR(__xludf.DUMMYFUNCTION("LOWER(REGEXREPLACE(B336&amp;"" ""&amp;C336,""[^а-яa-z0-9 ]"","" ""))"),"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f>
        <v xml:space="preserve">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v>
      </c>
      <c r="G336" s="4" t="str">
        <f ca="1">IFERROR(__xludf.DUMMYFUNCTION("TEXTJOIN(""|"",TRUE,UNIQUE(FILTER(SPLIT(F336,"" ""),LEN(SPLIT(F336,"" ""))&gt;2)))"),"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f>
        <v>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v>
      </c>
      <c r="I336" s="1"/>
      <c r="J336" s="1"/>
    </row>
    <row r="337" spans="1:10" x14ac:dyDescent="0.2">
      <c r="A337" s="8" t="s">
        <v>2608</v>
      </c>
      <c r="B337" s="7" t="s">
        <v>2607</v>
      </c>
      <c r="C337" s="7" t="s">
        <v>2606</v>
      </c>
      <c r="D337" s="6">
        <v>1900</v>
      </c>
      <c r="E337" s="5">
        <v>14</v>
      </c>
      <c r="F337" s="4" t="str">
        <f ca="1">IFERROR(__xludf.DUMMYFUNCTION("LOWER(REGEXREPLACE(B337&amp;"" ""&amp;C337,""[^а-яa-z0-9 ]"","" ""))"),"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f>
        <v xml:space="preserve">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v>
      </c>
      <c r="G337" s="4" t="str">
        <f ca="1">IFERROR(__xludf.DUMMYFUNCTION("TEXTJOIN(""|"",TRUE,UNIQUE(FILTER(SPLIT(F337,"" ""),LEN(SPLIT(F337,"" ""))&gt;2)))"),"орзина|для|мусора|сетчатая|етчатая|корзина|для|бумаги|обеспечивает|вентиляцию|визуальный|контроль|наполнения|спользуется|кабинетах|рабочих|зонах")</f>
        <v>орзина|для|мусора|сетчатая|етчатая|корзина|для|бумаги|обеспечивает|вентиляцию|визуальный|контроль|наполнения|спользуется|кабинетах|рабочих|зонах</v>
      </c>
      <c r="I337" s="1"/>
      <c r="J337" s="1"/>
    </row>
    <row r="338" spans="1:10" x14ac:dyDescent="0.2">
      <c r="A338" s="8" t="s">
        <v>2605</v>
      </c>
      <c r="B338" s="7" t="s">
        <v>2604</v>
      </c>
      <c r="C338" s="7" t="s">
        <v>2603</v>
      </c>
      <c r="D338" s="6">
        <v>35100</v>
      </c>
      <c r="E338" s="5">
        <v>97</v>
      </c>
      <c r="F338" s="4" t="str">
        <f ca="1">IFERROR(__xludf.DUMMYFUNCTION("LOWER(REGEXREPLACE(B338&amp;"" ""&amp;C338,""[^а-яa-z0-9 ]"",""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G338" s="4" t="str">
        <f ca="1">IFERROR(__xludf.DUMMYFUNCTION("TEXTJOIN(""|"",TRUE,UNIQUE(FILTER(SPLIT(F338,"" ""),LEN(SPLIT(F338,""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I338" s="1"/>
      <c r="J338" s="1"/>
    </row>
    <row r="339" spans="1:10" x14ac:dyDescent="0.2">
      <c r="A339" s="8" t="s">
        <v>2602</v>
      </c>
      <c r="B339" s="7" t="s">
        <v>2601</v>
      </c>
      <c r="C339" s="7" t="s">
        <v>2600</v>
      </c>
      <c r="D339" s="6">
        <v>18000</v>
      </c>
      <c r="E339" s="5">
        <v>1</v>
      </c>
      <c r="F339" s="4" t="str">
        <f ca="1">IFERROR(__xludf.DUMMYFUNCTION("LOWER(REGEXREPLACE(B339&amp;"" ""&amp;C339,""[^а-яa-z0-9 ]"","" ""))")," хмет   ордость нации  маханбет     ")</f>
        <v xml:space="preserve"> хмет   ордость нации  маханбет     </v>
      </c>
      <c r="G339" s="4" t="str">
        <f ca="1">IFERROR(__xludf.DUMMYFUNCTION("TEXTJOIN(""|"",TRUE,UNIQUE(FILTER(SPLIT(F339,"" ""),LEN(SPLIT(F339,"" ""))&gt;2)))"),"хмет|ордость|нации|маханбет")</f>
        <v>хмет|ордость|нации|маханбет</v>
      </c>
      <c r="I339" s="1"/>
      <c r="J339" s="1"/>
    </row>
    <row r="340" spans="1:10" x14ac:dyDescent="0.2">
      <c r="A340" s="8" t="s">
        <v>2599</v>
      </c>
      <c r="B340" s="7" t="s">
        <v>2598</v>
      </c>
      <c r="C340" s="7" t="s">
        <v>2597</v>
      </c>
      <c r="D340" s="6">
        <v>64600</v>
      </c>
      <c r="E340" s="5">
        <v>1</v>
      </c>
      <c r="F340" s="4" t="str">
        <f ca="1">IFERROR(__xludf.DUMMYFUNCTION("LOWER(REGEXREPLACE(B340&amp;"" ""&amp;C340,""[^а-яa-z0-9 ]"","" ""))"),"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"&amp;"сохраняет форму и облегчает сортировку мячей после занятий   спользуется педагогом или детьми под контролем взрослого ")</f>
        <v xml:space="preserve">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v>
      </c>
      <c r="G340" s="4" t="str">
        <f ca="1">IFERROR(__xludf.DUMMYFUNCTION("TEXTJOIN(""|"",TRUE,UNIQUE(FILTER(SPLIT(F340,"" ""),LEN(SPLIT(F340,"" ""))&gt;2)))"),"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amp;"ортировку|мячей|после|занятий|спользуется|педагогом|или|детьми|под|контролем|взрослого")</f>
        <v>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v>
      </c>
      <c r="I340" s="1"/>
      <c r="J340" s="1"/>
    </row>
    <row r="341" spans="1:10" x14ac:dyDescent="0.2">
      <c r="A341" s="8" t="s">
        <v>2596</v>
      </c>
      <c r="B341" s="7" t="s">
        <v>2595</v>
      </c>
      <c r="C341" s="7" t="s">
        <v>2594</v>
      </c>
      <c r="D341" s="6">
        <v>102600</v>
      </c>
      <c r="E341" s="5">
        <v>1</v>
      </c>
      <c r="F341" s="4" t="str">
        <f ca="1">IFERROR(__xludf.DUMMYFUNCTION("LOWER(REGEXREPLACE(B341&amp;"" ""&amp;C341,""[^а-яa-z0-9 ]"","" ""))"),"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с"&amp;"пособствует формированию у детей навыков организации пространства и аккуратного обращения с оборудованием ")</f>
        <v xml:space="preserve">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v>
      </c>
      <c r="G341" s="4" t="str">
        <f ca="1">IFERROR(__xludf.DUMMYFUNCTION("TEXTJOIN(""|"",TRUE,UNIQUE(FILTER(SPLIT(F341,"" ""),LEN(SPLIT(F341,"" ""))&gt;2)))"),"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amp;"|детей|навыков|организации|пространства|аккуратного|обращения|оборудованием")</f>
        <v>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v>
      </c>
      <c r="I341" s="1"/>
      <c r="J341" s="1"/>
    </row>
    <row r="342" spans="1:10" x14ac:dyDescent="0.2">
      <c r="A342" s="8" t="s">
        <v>2593</v>
      </c>
      <c r="B342" s="7" t="s">
        <v>2592</v>
      </c>
      <c r="C342" s="7" t="s">
        <v>2591</v>
      </c>
      <c r="D342" s="6">
        <v>6300</v>
      </c>
      <c r="E342" s="5">
        <v>50</v>
      </c>
      <c r="F342" s="4" t="str">
        <f ca="1">IFERROR(__xludf.DUMMYFUNCTION("LOWER(REGEXREPLACE(B342&amp;"" ""&amp;C342,""[^а-яa-z0-9 ]"","" ""))"),"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системати"&amp;"зации документов в административных и методических помещениях ")</f>
        <v xml:space="preserve">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v>
      </c>
      <c r="G342" s="4" t="str">
        <f ca="1">IFERROR(__xludf.DUMMYFUNCTION("TEXTJOIN(""|"",TRUE,UNIQUE(FILTER(SPLIT(F342,"" ""),LEN(SPLIT(F342,"" ""))&gt;2)))"),"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amp;"инистративных|методических|помещениях")</f>
        <v>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v>
      </c>
      <c r="I342" s="1"/>
      <c r="J342" s="1"/>
    </row>
    <row r="343" spans="1:10" x14ac:dyDescent="0.2">
      <c r="A343" s="8" t="s">
        <v>2590</v>
      </c>
      <c r="B343" s="7" t="s">
        <v>2589</v>
      </c>
      <c r="C343" s="7" t="s">
        <v>2588</v>
      </c>
      <c r="D343" s="6">
        <v>28100</v>
      </c>
      <c r="E343" s="5">
        <v>5</v>
      </c>
      <c r="F343" s="4" t="str">
        <f ca="1">IFERROR(__xludf.DUMMYFUNCTION("LOWER(REGEXREPLACE(B343&amp;"" ""&amp;C343,""[^а-яa-z0-9 ]"","" ""))"),"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конструкци"&amp;"я устойчивая и безопасная ")</f>
        <v xml:space="preserve">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v>
      </c>
      <c r="G343" s="4" t="str">
        <f ca="1">IFERROR(__xludf.DUMMYFUNCTION("TEXTJOIN(""|"",TRUE,UNIQUE(FILTER(SPLIT(F343,"" ""),LEN(SPLIT(F343,"" ""))&gt;2)))"),"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amp;"пасная")</f>
        <v>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v>
      </c>
      <c r="I343" s="1"/>
      <c r="J343" s="1"/>
    </row>
    <row r="344" spans="1:10" x14ac:dyDescent="0.2">
      <c r="A344" s="8" t="s">
        <v>2587</v>
      </c>
      <c r="B344" s="7" t="s">
        <v>2586</v>
      </c>
      <c r="C344" s="7" t="s">
        <v>2585</v>
      </c>
      <c r="D344" s="6">
        <v>54900</v>
      </c>
      <c r="E344" s="5">
        <v>1</v>
      </c>
      <c r="F344" s="4" t="str">
        <f ca="1">IFERROR(__xludf.DUMMYFUNCTION("LOWER(REGEXREPLACE(B344&amp;"" ""&amp;C344,""[^а-яa-z0-9 ]"","" ""))")," оробка стерилизационная круглая  бикс   спользуется для стерилизации и хранения медицинских инструментов ")</f>
        <v xml:space="preserve"> оробка стерилизационная круглая  бикс   спользуется для стерилизации и хранения медицинских инструментов </v>
      </c>
      <c r="G344" s="4" t="str">
        <f ca="1">IFERROR(__xludf.DUMMYFUNCTION("TEXTJOIN(""|"",TRUE,UNIQUE(FILTER(SPLIT(F344,"" ""),LEN(SPLIT(F344,"" ""))&gt;2)))"),"оробка|стерилизационная|круглая|бикс|спользуется|для|стерилизации|хранения|медицинских|инструментов")</f>
        <v>оробка|стерилизационная|круглая|бикс|спользуется|для|стерилизации|хранения|медицинских|инструментов</v>
      </c>
      <c r="I344" s="1"/>
      <c r="J344" s="1"/>
    </row>
    <row r="345" spans="1:10" x14ac:dyDescent="0.2">
      <c r="A345" s="8" t="s">
        <v>2584</v>
      </c>
      <c r="B345" s="7" t="s">
        <v>2583</v>
      </c>
      <c r="C345" s="7" t="s">
        <v>2582</v>
      </c>
      <c r="D345" s="6">
        <v>86600</v>
      </c>
      <c r="E345" s="5">
        <v>1</v>
      </c>
      <c r="F345" s="4" t="str">
        <f ca="1">IFERROR(__xludf.DUMMYFUNCTION("LOWER(REGEXREPLACE(B345&amp;"" ""&amp;C345,""[^а-яa-z0-9 ]"","" ""))")," оробка стерилизационная круглая  бикс  большая  редназначена для стерилизации и хранения большего объ ма медицинских инструментов и материалов ")</f>
        <v xml:space="preserve"> оробка стерилизационная круглая  бикс  большая  редназначена для стерилизации и хранения большего объ ма медицинских инструментов и материалов </v>
      </c>
      <c r="G345" s="4" t="str">
        <f ca="1">IFERROR(__xludf.DUMMYFUNCTION("TEXTJOIN(""|"",TRUE,UNIQUE(FILTER(SPLIT(F345,"" ""),LEN(SPLIT(F345,"" ""))&gt;2)))"),"оробка|стерилизационная|круглая|бикс|большая|редназначена|для|стерилизации|хранения|большего|объ|медицинских|инструментов|материалов")</f>
        <v>оробка|стерилизационная|круглая|бикс|большая|редназначена|для|стерилизации|хранения|большего|объ|медицинских|инструментов|материалов</v>
      </c>
      <c r="I345" s="1"/>
      <c r="J345" s="1"/>
    </row>
    <row r="346" spans="1:10" x14ac:dyDescent="0.2">
      <c r="A346" s="8" t="s">
        <v>2581</v>
      </c>
      <c r="B346" s="7" t="s">
        <v>2580</v>
      </c>
      <c r="C346" s="7" t="s">
        <v>2579</v>
      </c>
      <c r="D346" s="6">
        <v>10500</v>
      </c>
      <c r="E346" s="5">
        <v>4</v>
      </c>
      <c r="F346" s="4" t="str">
        <f ca="1">IFERROR(__xludf.DUMMYFUNCTION("LOWER(REGEXREPLACE(B346&amp;"" ""&amp;C346,""[^а-яa-z0-9 ]"","" ""))"),"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мимики"&amp;" и образного мышления ")</f>
        <v xml:space="preserve">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v>
      </c>
      <c r="G346" s="4" t="str">
        <f ca="1">IFERROR(__xludf.DUMMYFUNCTION("TEXTJOIN(""|"",TRUE,UNIQUE(FILTER(SPLIT(F346,"" ""),LEN(SPLIT(F346,"" ""))&gt;2)))"),"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f>
        <v>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v>
      </c>
      <c r="I346" s="1"/>
      <c r="J346" s="1"/>
    </row>
    <row r="347" spans="1:10" x14ac:dyDescent="0.2">
      <c r="A347" s="8" t="s">
        <v>2578</v>
      </c>
      <c r="B347" s="7" t="s">
        <v>2577</v>
      </c>
      <c r="C347" s="7" t="s">
        <v>2576</v>
      </c>
      <c r="D347" s="6">
        <v>2900</v>
      </c>
      <c r="E347" s="5">
        <v>5</v>
      </c>
      <c r="F347" s="4" t="str">
        <f ca="1">IFERROR(__xludf.DUMMYFUNCTION("LOWER(REGEXREPLACE(B347&amp;"" ""&amp;C347,""[^а-яa-z0-9 ]"","" ""))"),"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р"&amp;"ечи  коммуникативных и социальных навыков ")</f>
        <v xml:space="preserve">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v>
      </c>
      <c r="G347" s="4" t="str">
        <f ca="1">IFERROR(__xludf.DUMMYFUNCTION("TEXTJOIN(""|"",TRUE,UNIQUE(FILTER(SPLIT(F347,"" ""),LEN(SPLIT(F347,"" ""))&gt;2)))"),"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amp;"|навыков")</f>
        <v>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v>
      </c>
      <c r="I347" s="1"/>
      <c r="J347" s="1"/>
    </row>
    <row r="348" spans="1:10" x14ac:dyDescent="0.2">
      <c r="A348" s="8" t="s">
        <v>2575</v>
      </c>
      <c r="B348" s="7" t="s">
        <v>2574</v>
      </c>
      <c r="C348" s="7" t="s">
        <v>2573</v>
      </c>
      <c r="D348" s="6">
        <v>39900</v>
      </c>
      <c r="E348" s="5">
        <v>5</v>
      </c>
      <c r="F348" s="4" t="str">
        <f ca="1">IFERROR(__xludf.DUMMYFUNCTION("LOWER(REGEXREPLACE(B348&amp;"" ""&amp;C348,""[^а-яa-z0-9 ]"","" ""))"),"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использован"&amp;"ию   спользуется для развития познавательного интереса  воображения и сюжетно ролевой игры   одходит для участия в утренниках и образовательных проектах ")</f>
        <v xml:space="preserve">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v>
      </c>
      <c r="G348" s="4" t="str">
        <f ca="1">IFERROR(__xludf.DUMMYFUNCTION("TEXTJOIN(""|"",TRUE,UNIQUE(FILTER(SPLIT(F348,"" ""),LEN(SPLIT(F348,"" ""))&gt;2)))"),"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amp;"ия|познавательного|интереса|воображения|сюжетно|ролевой|игры|одходит|для|участия|утренниках|образовательных|проектах")</f>
        <v>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v>
      </c>
      <c r="I348" s="1"/>
      <c r="J348" s="1"/>
    </row>
    <row r="349" spans="1:10" x14ac:dyDescent="0.2">
      <c r="A349" s="8" t="s">
        <v>2572</v>
      </c>
      <c r="B349" s="7" t="s">
        <v>2571</v>
      </c>
      <c r="C349" s="7" t="s">
        <v>2570</v>
      </c>
      <c r="D349" s="6">
        <v>12200</v>
      </c>
      <c r="E349" s="5">
        <v>14</v>
      </c>
      <c r="F349" s="4" t="str">
        <f ca="1">IFERROR(__xludf.DUMMYFUNCTION("LOWER(REGEXREPLACE(B349&amp;"" ""&amp;C349,""[^а-яa-z0-9 ]"","" ""))"),"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f>
        <v xml:space="preserve">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v>
      </c>
      <c r="G349" s="4" t="str">
        <f ca="1">IFERROR(__xludf.DUMMYFUNCTION("TEXTJOIN(""|"",TRUE,UNIQUE(FILTER(SPLIT(F349,"" ""),LEN(SPLIT(F349,"" ""))&gt;2)))"),"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f>
        <v>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v>
      </c>
      <c r="I349" s="1"/>
      <c r="J349" s="1"/>
    </row>
    <row r="350" spans="1:10" x14ac:dyDescent="0.2">
      <c r="A350" s="8" t="s">
        <v>2569</v>
      </c>
      <c r="B350" s="7" t="s">
        <v>2568</v>
      </c>
      <c r="C350" s="7"/>
      <c r="D350" s="6">
        <v>1700</v>
      </c>
      <c r="E350" s="5">
        <v>1</v>
      </c>
      <c r="F350" s="4" t="str">
        <f ca="1">IFERROR(__xludf.DUMMYFUNCTION("LOWER(REGEXREPLACE(B350&amp;"" ""&amp;C350,""[^а-яa-z0-9 ]"","" ""))")," шуды  алай же уге болады   ак подавить злость   ow to control anger  каз   рус   англ яз   ")</f>
        <v xml:space="preserve"> шуды  алай же уге болады   ак подавить злость   ow to control anger  каз   рус   англ яз   </v>
      </c>
      <c r="G350" s="4" t="str">
        <f ca="1">IFERROR(__xludf.DUMMYFUNCTION("TEXTJOIN(""|"",TRUE,UNIQUE(FILTER(SPLIT(F350,"" ""),LEN(SPLIT(F350,"" ""))&gt;2)))"),"шуды|алай|уге|болады|подавить|злость|control|anger|каз|рус|англ")</f>
        <v>шуды|алай|уге|болады|подавить|злость|control|anger|каз|рус|англ</v>
      </c>
      <c r="I350" s="1"/>
      <c r="J350" s="1"/>
    </row>
    <row r="351" spans="1:10" x14ac:dyDescent="0.2">
      <c r="A351" s="8" t="s">
        <v>2567</v>
      </c>
      <c r="B351" s="7" t="s">
        <v>2566</v>
      </c>
      <c r="C351" s="7" t="s">
        <v>2565</v>
      </c>
      <c r="D351" s="6">
        <v>17500</v>
      </c>
      <c r="E351" s="5">
        <v>14</v>
      </c>
      <c r="F351" s="4" t="str">
        <f ca="1">IFERROR(__xludf.DUMMYFUNCTION("LOWER(REGEXREPLACE(B351&amp;"" ""&amp;C351,""[^а-яa-z0-9 ]"","" ""))"),"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социальн"&amp;"ых ролях ")</f>
        <v xml:space="preserve">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v>
      </c>
      <c r="G351" s="4" t="str">
        <f ca="1">IFERROR(__xludf.DUMMYFUNCTION("TEXTJOIN(""|"",TRUE,UNIQUE(FILTER(SPLIT(F351,"" ""),LEN(SPLIT(F351,"" ""))&gt;2)))"),"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f>
        <v>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v>
      </c>
      <c r="I351" s="1"/>
      <c r="J351" s="1"/>
    </row>
    <row r="352" spans="1:10" x14ac:dyDescent="0.2">
      <c r="A352" s="8" t="s">
        <v>2564</v>
      </c>
      <c r="B352" s="7" t="s">
        <v>2563</v>
      </c>
      <c r="C352" s="7" t="s">
        <v>2562</v>
      </c>
      <c r="D352" s="6">
        <v>36100</v>
      </c>
      <c r="E352" s="5">
        <v>5</v>
      </c>
      <c r="F352" s="4" t="str">
        <f ca="1">IFERROR(__xludf.DUMMYFUNCTION("LOWER(REGEXREPLACE(B352&amp;"" ""&amp;C352,""[^а-яa-z0-9 ]"","" ""))"),"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выразительност"&amp;"и и ролевой игры ")</f>
        <v xml:space="preserve">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v>
      </c>
      <c r="G352" s="4" t="str">
        <f ca="1">IFERROR(__xludf.DUMMYFUNCTION("TEXTJOIN(""|"",TRUE,UNIQUE(FILTER(SPLIT(F352,"" ""),LEN(SPLIT(F352,"" ""))&gt;2)))"),"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f>
        <v>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v>
      </c>
      <c r="I352" s="1"/>
      <c r="J352" s="1"/>
    </row>
    <row r="353" spans="1:10" x14ac:dyDescent="0.2">
      <c r="A353" s="8" t="s">
        <v>2561</v>
      </c>
      <c r="B353" s="7" t="s">
        <v>2560</v>
      </c>
      <c r="C353" s="7" t="s">
        <v>2559</v>
      </c>
      <c r="D353" s="6">
        <v>17800</v>
      </c>
      <c r="E353" s="5">
        <v>12</v>
      </c>
      <c r="F353" s="4" t="str">
        <f ca="1">IFERROR(__xludf.DUMMYFUNCTION("LOWER(REGEXREPLACE(B353&amp;"" ""&amp;C353,""[^а-яa-z0-9 ]"","" ""))"),"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выраз"&amp;"ительность ")</f>
        <v xml:space="preserve">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v>
      </c>
      <c r="G353" s="4" t="str">
        <f ca="1">IFERROR(__xludf.DUMMYFUNCTION("TEXTJOIN(""|"",TRUE,UNIQUE(FILTER(SPLIT(F353,"" ""),LEN(SPLIT(F353,"" ""))&gt;2)))"),"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f>
        <v>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v>
      </c>
      <c r="I353" s="1"/>
      <c r="J353" s="1"/>
    </row>
    <row r="354" spans="1:10" x14ac:dyDescent="0.2">
      <c r="A354" s="8" t="s">
        <v>2558</v>
      </c>
      <c r="B354" s="7" t="s">
        <v>2557</v>
      </c>
      <c r="C354" s="7" t="s">
        <v>2556</v>
      </c>
      <c r="D354" s="6">
        <v>25500</v>
      </c>
      <c r="E354" s="5">
        <v>5</v>
      </c>
      <c r="F354" s="4" t="str">
        <f ca="1">IFERROR(__xludf.DUMMYFUNCTION("LOWER(REGEXREPLACE(B354&amp;"" ""&amp;C354,""[^а-яa-z0-9 ]"","" ""))"),"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поним"&amp;"ания трудовой деятельности взрослых ")</f>
        <v xml:space="preserve">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v>
      </c>
      <c r="G354" s="4" t="str">
        <f ca="1">IFERROR(__xludf.DUMMYFUNCTION("TEXTJOIN(""|"",TRUE,UNIQUE(FILTER(SPLIT(F354,"" ""),LEN(SPLIT(F354,"" ""))&gt;2)))"),"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amp;"ьности|взрослых")</f>
        <v>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v>
      </c>
      <c r="I354" s="1"/>
      <c r="J354" s="1"/>
    </row>
    <row r="355" spans="1:10" x14ac:dyDescent="0.2">
      <c r="A355" s="8" t="s">
        <v>2555</v>
      </c>
      <c r="B355" s="7" t="s">
        <v>2554</v>
      </c>
      <c r="C355" s="7" t="s">
        <v>2553</v>
      </c>
      <c r="D355" s="6">
        <v>10800</v>
      </c>
      <c r="E355" s="5">
        <v>14</v>
      </c>
      <c r="F355" s="4" t="str">
        <f ca="1">IFERROR(__xludf.DUMMYFUNCTION("LOWER(REGEXREPLACE(B355&amp;"" ""&amp;C355,""[^а-яa-z0-9 ]"","" ""))")," остюм врача  абор доктора детский           костюм врача для детей карнавальный для утренника  сада   3 предмета медика  халат  колпак  игрушка стетоскоп ")</f>
        <v xml:space="preserve"> остюм врача  абор доктора детский           костюм врача для детей карнавальный для утренника  сада   3 предмета медика  халат  колпак  игрушка стетоскоп </v>
      </c>
      <c r="G355" s="4" t="str">
        <f ca="1">IFERROR(__xludf.DUMMYFUNCTION("TEXTJOIN(""|"",TRUE,UNIQUE(FILTER(SPLIT(F355,"" ""),LEN(SPLIT(F355,"" ""))&gt;2)))"),"остюм|врача|абор|доктора|детский|костюм|врача|для|детей|карнавальный|для|утренника|сада|предмета|медика|халат|колпак|игрушка|стетоскоп")</f>
        <v>остюм|врача|абор|доктора|детский|костюм|врача|для|детей|карнавальный|для|утренника|сада|предмета|медика|халат|колпак|игрушка|стетоскоп</v>
      </c>
      <c r="I355" s="1"/>
      <c r="J355" s="1"/>
    </row>
    <row r="356" spans="1:10" x14ac:dyDescent="0.2">
      <c r="A356" s="8" t="s">
        <v>2552</v>
      </c>
      <c r="B356" s="7" t="s">
        <v>2551</v>
      </c>
      <c r="C356" s="7" t="s">
        <v>2550</v>
      </c>
      <c r="D356" s="6">
        <v>5200</v>
      </c>
      <c r="E356" s="5">
        <v>1</v>
      </c>
      <c r="F356" s="4" t="str">
        <f ca="1">IFERROR(__xludf.DUMMYFUNCTION("LOWER(REGEXREPLACE(B356&amp;"" ""&amp;C356,""[^а-яa-z0-9 ]"","" ""))"),"  ксерек   ерый лютый  каз рус яз      уезов")</f>
        <v xml:space="preserve">  ксерек   ерый лютый  каз рус яз      уезов</v>
      </c>
      <c r="G356" s="4" t="str">
        <f ca="1">IFERROR(__xludf.DUMMYFUNCTION("TEXTJOIN(""|"",TRUE,UNIQUE(FILTER(SPLIT(F356,"" ""),LEN(SPLIT(F356,"" ""))&gt;2)))"),"ксерек|ерый|лютый|каз|рус|уезов")</f>
        <v>ксерек|ерый|лютый|каз|рус|уезов</v>
      </c>
      <c r="I356" s="1"/>
      <c r="J356" s="1"/>
    </row>
    <row r="357" spans="1:10" x14ac:dyDescent="0.2">
      <c r="A357" s="8" t="s">
        <v>2549</v>
      </c>
      <c r="B357" s="7" t="s">
        <v>2548</v>
      </c>
      <c r="C357" s="7" t="s">
        <v>2547</v>
      </c>
      <c r="D357" s="6">
        <v>1700</v>
      </c>
      <c r="E357" s="5">
        <v>1</v>
      </c>
      <c r="F357" s="4" t="str">
        <f ca="1">IFERROR(__xludf.DUMMYFUNCTION("LOWER(REGEXREPLACE(B357&amp;"" ""&amp;C357,""[^а-яa-z0-9 ]"","" ""))"),"  ктем к н  к н лд     маков")</f>
        <v xml:space="preserve">  ктем к н  к н лд     маков</v>
      </c>
      <c r="G357" s="4" t="str">
        <f ca="1">IFERROR(__xludf.DUMMYFUNCTION("TEXTJOIN(""|"",TRUE,UNIQUE(FILTER(SPLIT(F357,"" ""),LEN(SPLIT(F357,"" ""))&gt;2)))"),"ктем|маков")</f>
        <v>ктем|маков</v>
      </c>
      <c r="I357" s="1"/>
      <c r="J357" s="1"/>
    </row>
    <row r="358" spans="1:10" x14ac:dyDescent="0.2">
      <c r="A358" s="8" t="s">
        <v>2546</v>
      </c>
      <c r="B358" s="7" t="s">
        <v>2545</v>
      </c>
      <c r="C358" s="7" t="s">
        <v>2544</v>
      </c>
      <c r="D358" s="6">
        <v>2800</v>
      </c>
      <c r="E358" s="5">
        <v>10</v>
      </c>
      <c r="F358" s="4" t="str">
        <f ca="1">IFERROR(__xludf.DUMMYFUNCTION("LOWER(REGEXREPLACE(B358&amp;"" ""&amp;C358,""[^а-яa-z0-9 ]"","" ""))")," раски акриловые  криловые краски на водной основе  предназначенные для детского творчества   езопасны  легко наносятся и быстро высыхают ")</f>
        <v xml:space="preserve"> раски акриловые  криловые краски на водной основе  предназначенные для детского творчества   езопасны  легко наносятся и быстро высыхают </v>
      </c>
      <c r="G358" s="4" t="str">
        <f ca="1">IFERROR(__xludf.DUMMYFUNCTION("TEXTJOIN(""|"",TRUE,UNIQUE(FILTER(SPLIT(F358,"" ""),LEN(SPLIT(F358,"" ""))&gt;2)))"),"раски|акриловые|криловые|краски|водной|основе|предназначенные|для|детского|творчества|езопасны|легко|наносятся|быстро|высыхают")</f>
        <v>раски|акриловые|криловые|краски|водной|основе|предназначенные|для|детского|творчества|езопасны|легко|наносятся|быстро|высыхают</v>
      </c>
      <c r="I358" s="1"/>
      <c r="J358" s="1"/>
    </row>
    <row r="359" spans="1:10" x14ac:dyDescent="0.2">
      <c r="A359" s="8" t="s">
        <v>2543</v>
      </c>
      <c r="B359" s="7" t="s">
        <v>2542</v>
      </c>
      <c r="C359" s="7" t="s">
        <v>2541</v>
      </c>
      <c r="D359" s="6">
        <v>7200</v>
      </c>
      <c r="E359" s="5">
        <v>1</v>
      </c>
      <c r="F359" s="4" t="str">
        <f ca="1">IFERROR(__xludf.DUMMYFUNCTION("LOWER(REGEXREPLACE(B359&amp;"" ""&amp;C359,""[^а-яa-z0-9 ]"","" ""))")," дебиет  лем не саяхат   рестоматия 2 4 сыныпка арнал ан   растыр ан     фтибекова")</f>
        <v xml:space="preserve"> дебиет  лем не саяхат   рестоматия 2 4 сыныпка арнал ан   растыр ан     фтибекова</v>
      </c>
      <c r="G359" s="4" t="str">
        <f ca="1">IFERROR(__xludf.DUMMYFUNCTION("TEXTJOIN(""|"",TRUE,UNIQUE(FILTER(SPLIT(F359,"" ""),LEN(SPLIT(F359,"" ""))&gt;2)))"),"дебиет|лем|саяхат|рестоматия|сыныпка|арнал|растыр|фтибекова")</f>
        <v>дебиет|лем|саяхат|рестоматия|сыныпка|арнал|растыр|фтибекова</v>
      </c>
      <c r="I359" s="1"/>
      <c r="J359" s="1"/>
    </row>
    <row r="360" spans="1:10" x14ac:dyDescent="0.2">
      <c r="A360" s="8" t="s">
        <v>2540</v>
      </c>
      <c r="B360" s="7" t="s">
        <v>2539</v>
      </c>
      <c r="C360" s="7" t="s">
        <v>2538</v>
      </c>
      <c r="D360" s="6">
        <v>22800</v>
      </c>
      <c r="E360" s="5">
        <v>5</v>
      </c>
      <c r="F360" s="4" t="str">
        <f ca="1">IFERROR(__xludf.DUMMYFUNCTION("LOWER(REGEXREPLACE(B360&amp;"" ""&amp;C360,""[^а-яa-z0-9 ]"","" ""))"),"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ощущение"&amp;"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част"&amp;"ь декоративного и сенсорного оформления среды   одбираются с уч том устойчивости  безопасности и удобства ухода в условиях постоянного пребывания детей ")</f>
        <v xml:space="preserve">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v>
      </c>
      <c r="G360" s="4" t="str">
        <f ca="1">IFERROR(__xludf.DUMMYFUNCTION("TEXTJOIN(""|"",TRUE,UNIQUE(FILTER(SPLIT(F360,"" ""),LEN(SPLIT(F360,"" ""))&gt;2)))"),"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amp;"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amp;"мления|среды|одбираются|том|устойчивости|безопасности|удобства|ухода|условиях|постоянного|пребывания|детей")</f>
        <v>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v>
      </c>
      <c r="I360" s="1"/>
      <c r="J360" s="1"/>
    </row>
    <row r="361" spans="1:10" x14ac:dyDescent="0.2">
      <c r="A361" s="8" t="s">
        <v>2537</v>
      </c>
      <c r="B361" s="7" t="s">
        <v>2536</v>
      </c>
      <c r="C361" s="7" t="s">
        <v>2535</v>
      </c>
      <c r="D361" s="6">
        <v>11400</v>
      </c>
      <c r="E361" s="5">
        <v>1</v>
      </c>
      <c r="F361" s="4" t="str">
        <f ca="1">IFERROR(__xludf.DUMMYFUNCTION("LOWER(REGEXREPLACE(B361&amp;"" ""&amp;C361,""[^а-яa-z0-9 ]"","" ""))"),"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прос"&amp;"транственного мышления и навыков конструирования у детей дошкольного возраста  способствует развитию координации движений и командной работы")</f>
        <v xml:space="preserve">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v>
      </c>
      <c r="G361" s="4" t="str">
        <f ca="1">IFERROR(__xludf.DUMMYFUNCTION("TEXTJOIN(""|"",TRUE,UNIQUE(FILTER(SPLIT(F361,"" ""),LEN(SPLIT(F361,"" ""))&gt;2)))"),"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amp;"ования|детей|дошкольного|возраста|способствует|развитию|координации|движений|командной|работы")</f>
        <v>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v>
      </c>
      <c r="I361" s="1"/>
      <c r="J361" s="1"/>
    </row>
    <row r="362" spans="1:10" x14ac:dyDescent="0.2">
      <c r="A362" s="8" t="s">
        <v>2534</v>
      </c>
      <c r="B362" s="7" t="s">
        <v>2533</v>
      </c>
      <c r="C362" s="7" t="s">
        <v>2532</v>
      </c>
      <c r="D362" s="6">
        <v>9500</v>
      </c>
      <c r="E362" s="5">
        <v>5</v>
      </c>
      <c r="F362" s="4" t="str">
        <f ca="1">IFERROR(__xludf.DUMMYFUNCTION("LOWER(REGEXREPLACE(B362&amp;"" ""&amp;C362,""[^а-яa-z0-9 ]"","" ""))"),"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к"&amp;"лассификации по цвету и форме ")</f>
        <v xml:space="preserve">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v>
      </c>
      <c r="G362" s="4" t="str">
        <f ca="1">IFERROR(__xludf.DUMMYFUNCTION("TEXTJOIN(""|"",TRUE,UNIQUE(FILTER(SPLIT(F362,"" ""),LEN(SPLIT(F362,"" ""))&gt;2)))"),"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amp;"|форме")</f>
        <v>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v>
      </c>
      <c r="I362" s="1"/>
      <c r="J362" s="1"/>
    </row>
    <row r="363" spans="1:10" x14ac:dyDescent="0.2">
      <c r="A363" s="8" t="s">
        <v>2531</v>
      </c>
      <c r="B363" s="7" t="s">
        <v>2530</v>
      </c>
      <c r="C363" s="7" t="s">
        <v>2529</v>
      </c>
      <c r="D363" s="6">
        <v>30400</v>
      </c>
      <c r="E363" s="5">
        <v>10</v>
      </c>
      <c r="F363" s="4" t="str">
        <f ca="1">IFERROR(__xludf.DUMMYFUNCTION("LOWER(REGEXREPLACE(B363&amp;"" ""&amp;C363,""[^а-яa-z0-9 ]"","" ""))"),"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испо"&amp;"льзование ")</f>
        <v xml:space="preserve">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v>
      </c>
      <c r="G363" s="4" t="str">
        <f ca="1">IFERROR(__xludf.DUMMYFUNCTION("TEXTJOIN(""|"",TRUE,UNIQUE(FILTER(SPLIT(F363,"" ""),LEN(SPLIT(F363,"" ""))&gt;2)))"),"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f>
        <v>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v>
      </c>
      <c r="I363" s="1"/>
      <c r="J363" s="1"/>
    </row>
    <row r="364" spans="1:10" x14ac:dyDescent="0.2">
      <c r="A364" s="8" t="s">
        <v>2528</v>
      </c>
      <c r="B364" s="7" t="s">
        <v>2527</v>
      </c>
      <c r="C364" s="7" t="s">
        <v>2526</v>
      </c>
      <c r="D364" s="6">
        <v>15200</v>
      </c>
      <c r="E364" s="5">
        <v>1</v>
      </c>
      <c r="F364" s="4" t="str">
        <f ca="1">IFERROR(__xludf.DUMMYFUNCTION("LOWER(REGEXREPLACE(B364&amp;"" ""&amp;C364,""[^а-яa-z0-9 ]"","" ""))"),"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f>
        <v xml:space="preserve">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v>
      </c>
      <c r="G364" s="4" t="str">
        <f ca="1">IFERROR(__xludf.DUMMYFUNCTION("TEXTJOIN(""|"",TRUE,UNIQUE(FILTER(SPLIT(F364,"" ""),LEN(SPLIT(F364,"" ""))&gt;2)))"),"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f>
        <v>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v>
      </c>
      <c r="I364" s="1"/>
      <c r="J364" s="1"/>
    </row>
    <row r="365" spans="1:10" x14ac:dyDescent="0.2">
      <c r="A365" s="8" t="s">
        <v>2525</v>
      </c>
      <c r="B365" s="7" t="s">
        <v>2524</v>
      </c>
      <c r="C365" s="7" t="s">
        <v>2523</v>
      </c>
      <c r="D365" s="6">
        <v>61400</v>
      </c>
      <c r="E365" s="5">
        <v>7</v>
      </c>
      <c r="F365" s="4" t="str">
        <f ca="1">IFERROR(__xludf.DUMMYFUNCTION("LOWER(REGEXREPLACE(B365&amp;"" ""&amp;C365,""[^а-яa-z0-9 ]"","" ""))"),"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f>
        <v xml:space="preserve">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v>
      </c>
      <c r="G365" s="4" t="str">
        <f ca="1">IFERROR(__xludf.DUMMYFUNCTION("TEXTJOIN(""|"",TRUE,UNIQUE(FILTER(SPLIT(F365,"" ""),LEN(SPLIT(F365,"" ""))&gt;2)))"),"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f>
        <v>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v>
      </c>
      <c r="I365" s="1"/>
      <c r="J365" s="1"/>
    </row>
    <row r="366" spans="1:10" x14ac:dyDescent="0.2">
      <c r="A366" s="8" t="s">
        <v>2522</v>
      </c>
      <c r="B366" s="7" t="s">
        <v>2521</v>
      </c>
      <c r="C366" s="7" t="s">
        <v>2520</v>
      </c>
      <c r="D366" s="6">
        <v>29100</v>
      </c>
      <c r="E366" s="5">
        <v>5</v>
      </c>
      <c r="F366" s="4" t="str">
        <f ca="1">IFERROR(__xludf.DUMMYFUNCTION("LOWER(REGEXREPLACE(B366&amp;"" ""&amp;C366,""[^а-яa-z0-9 ]"","" ""))"),"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использован"&amp;"ию ")</f>
        <v xml:space="preserve">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v>
      </c>
      <c r="G366" s="4" t="str">
        <f ca="1">IFERROR(__xludf.DUMMYFUNCTION("TEXTJOIN(""|"",TRUE,UNIQUE(FILTER(SPLIT(F366,"" ""),LEN(SPLIT(F366,"" ""))&gt;2)))"),"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f>
        <v>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v>
      </c>
      <c r="I366" s="1"/>
      <c r="J366" s="1"/>
    </row>
    <row r="367" spans="1:10" x14ac:dyDescent="0.2">
      <c r="A367" s="8" t="s">
        <v>2519</v>
      </c>
      <c r="B367" s="7" t="s">
        <v>2518</v>
      </c>
      <c r="C367" s="7" t="s">
        <v>2517</v>
      </c>
      <c r="D367" s="6">
        <v>26800</v>
      </c>
      <c r="E367" s="5">
        <v>5</v>
      </c>
      <c r="F367" s="4" t="str">
        <f ca="1">IFERROR(__xludf.DUMMYFUNCTION("LOWER(REGEXREPLACE(B367&amp;"" ""&amp;C367,""[^а-яa-z0-9 ]"","" ""))"),"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f>
        <v xml:space="preserve">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v>
      </c>
      <c r="G367" s="4" t="str">
        <f ca="1">IFERROR(__xludf.DUMMYFUNCTION("TEXTJOIN(""|"",TRUE,UNIQUE(FILTER(SPLIT(F367,"" ""),LEN(SPLIT(F367,"" ""))&gt;2)))"),"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f>
        <v>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v>
      </c>
      <c r="I367" s="1"/>
      <c r="J367" s="1"/>
    </row>
    <row r="368" spans="1:10" x14ac:dyDescent="0.2">
      <c r="A368" s="8" t="s">
        <v>2516</v>
      </c>
      <c r="B368" s="7" t="s">
        <v>2515</v>
      </c>
      <c r="C368" s="7" t="s">
        <v>2514</v>
      </c>
      <c r="D368" s="6">
        <v>39700</v>
      </c>
      <c r="E368" s="5">
        <v>7</v>
      </c>
      <c r="F368" s="4" t="str">
        <f ca="1">IFERROR(__xludf.DUMMYFUNCTION("LOWER(REGEXREPLACE(B368&amp;"" ""&amp;C368,""[^а-яa-z0-9 ]"","" ""))"),"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f>
        <v xml:space="preserve">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v>
      </c>
      <c r="G368" s="4" t="str">
        <f ca="1">IFERROR(__xludf.DUMMYFUNCTION("TEXTJOIN(""|"",TRUE,UNIQUE(FILTER(SPLIT(F368,"" ""),LEN(SPLIT(F368,"" ""))&gt;2)))"),"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f>
        <v>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v>
      </c>
      <c r="I368" s="1"/>
      <c r="J368" s="1"/>
    </row>
    <row r="369" spans="1:10" x14ac:dyDescent="0.2">
      <c r="A369" s="8" t="s">
        <v>2513</v>
      </c>
      <c r="B369" s="7" t="s">
        <v>2512</v>
      </c>
      <c r="C369" s="7" t="s">
        <v>2189</v>
      </c>
      <c r="D369" s="6">
        <v>6800</v>
      </c>
      <c r="E369" s="5">
        <v>1</v>
      </c>
      <c r="F369" s="4" t="str">
        <f ca="1">IFERROR(__xludf.DUMMYFUNCTION("LOWER(REGEXREPLACE(B369&amp;"" ""&amp;C369,""[^а-яa-z0-9 ]"","" ""))")," депт л к  дем л к  тет леу лы   ")</f>
        <v xml:space="preserve"> депт л к  дем л к  тет леу лы   </v>
      </c>
      <c r="G369" s="4" t="str">
        <f ca="1">IFERROR(__xludf.DUMMYFUNCTION("TEXTJOIN(""|"",TRUE,UNIQUE(FILTER(SPLIT(F369,"" ""),LEN(SPLIT(F369,"" ""))&gt;2)))"),"депт|дем|тет|леу")</f>
        <v>депт|дем|тет|леу</v>
      </c>
      <c r="I369" s="1"/>
      <c r="J369" s="1"/>
    </row>
    <row r="370" spans="1:10" x14ac:dyDescent="0.2">
      <c r="A370" s="8" t="s">
        <v>2511</v>
      </c>
      <c r="B370" s="7" t="s">
        <v>2510</v>
      </c>
      <c r="C370" s="7" t="s">
        <v>2509</v>
      </c>
      <c r="D370" s="6">
        <v>24500</v>
      </c>
      <c r="E370" s="5">
        <v>5</v>
      </c>
      <c r="F370" s="4" t="str">
        <f ca="1">IFERROR(__xludf.DUMMYFUNCTION("LOWER(REGEXREPLACE(B370&amp;"" ""&amp;C370,""[^а-яa-z0-9 ]"","" ""))"),"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"&amp;"единица ")</f>
        <v xml:space="preserve">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v>
      </c>
      <c r="G370" s="4" t="str">
        <f ca="1">IFERROR(__xludf.DUMMYFUNCTION("TEXTJOIN(""|"",TRUE,UNIQUE(FILTER(SPLIT(F370,"" ""),LEN(SPLIT(F370,"" ""))&gt;2)))"),"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f>
        <v>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v>
      </c>
      <c r="I370" s="1"/>
      <c r="J370" s="1"/>
    </row>
    <row r="371" spans="1:10" x14ac:dyDescent="0.2">
      <c r="A371" s="8" t="s">
        <v>2508</v>
      </c>
      <c r="B371" s="7" t="s">
        <v>2507</v>
      </c>
      <c r="C371" s="7" t="s">
        <v>2506</v>
      </c>
      <c r="D371" s="6">
        <v>18100</v>
      </c>
      <c r="E371" s="5">
        <v>1</v>
      </c>
      <c r="F371" s="4" t="str">
        <f ca="1">IFERROR(__xludf.DUMMYFUNCTION("LOWER(REGEXREPLACE(B371&amp;"" ""&amp;C371,""[^а-яa-z0-9 ]"","" ""))"),"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f>
        <v xml:space="preserve">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v>
      </c>
      <c r="G371" s="4" t="str">
        <f ca="1">IFERROR(__xludf.DUMMYFUNCTION("TEXTJOIN(""|"",TRUE,UNIQUE(FILTER(SPLIT(F371,"" ""),LEN(SPLIT(F371,"" ""))&gt;2)))"),"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f>
        <v>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v>
      </c>
      <c r="I371" s="1"/>
      <c r="J371" s="1"/>
    </row>
    <row r="372" spans="1:10" x14ac:dyDescent="0.2">
      <c r="A372" s="8" t="s">
        <v>2505</v>
      </c>
      <c r="B372" s="7" t="s">
        <v>2504</v>
      </c>
      <c r="C372" s="7" t="s">
        <v>2503</v>
      </c>
      <c r="D372" s="6">
        <v>26800</v>
      </c>
      <c r="E372" s="5">
        <v>5</v>
      </c>
      <c r="F372" s="4" t="str">
        <f ca="1">IFERROR(__xludf.DUMMYFUNCTION("LOWER(REGEXREPLACE(B372&amp;"" ""&amp;C372,""[^а-яa-z0-9 ]"","" ""))"),"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f>
        <v xml:space="preserve">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v>
      </c>
      <c r="G372" s="4" t="str">
        <f ca="1">IFERROR(__xludf.DUMMYFUNCTION("TEXTJOIN(""|"",TRUE,UNIQUE(FILTER(SPLIT(F372,"" ""),LEN(SPLIT(F372,"" ""))&gt;2)))"),"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f>
        <v>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v>
      </c>
      <c r="I372" s="1"/>
      <c r="J372" s="1"/>
    </row>
    <row r="373" spans="1:10" x14ac:dyDescent="0.2">
      <c r="A373" s="8" t="s">
        <v>2502</v>
      </c>
      <c r="B373" s="7" t="s">
        <v>2501</v>
      </c>
      <c r="C373" s="7" t="s">
        <v>2500</v>
      </c>
      <c r="D373" s="6">
        <v>47500</v>
      </c>
      <c r="E373" s="5">
        <v>5</v>
      </c>
      <c r="F373" s="4" t="str">
        <f ca="1">IFERROR(__xludf.DUMMYFUNCTION("LOWER(REGEXREPLACE(B373&amp;"" ""&amp;C373,""[^а-яa-z0-9 ]"","" ""))"),"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f>
        <v xml:space="preserve">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v>
      </c>
      <c r="G373" s="4" t="str">
        <f ca="1">IFERROR(__xludf.DUMMYFUNCTION("TEXTJOIN(""|"",TRUE,UNIQUE(FILTER(SPLIT(F373,"" ""),LEN(SPLIT(F373,"" ""))&gt;2)))"),"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f>
        <v>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v>
      </c>
      <c r="I373" s="1"/>
      <c r="J373" s="1"/>
    </row>
    <row r="374" spans="1:10" x14ac:dyDescent="0.2">
      <c r="A374" s="8" t="s">
        <v>2499</v>
      </c>
      <c r="B374" s="7" t="s">
        <v>2498</v>
      </c>
      <c r="C374" s="7" t="s">
        <v>2497</v>
      </c>
      <c r="D374" s="6">
        <v>25800</v>
      </c>
      <c r="E374" s="5">
        <v>5</v>
      </c>
      <c r="F374" s="4" t="str">
        <f ca="1">IFERROR(__xludf.DUMMYFUNCTION("LOWER(REGEXREPLACE(B374&amp;"" ""&amp;C374,""[^а-яa-z0-9 ]"","" ""))"),"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f>
        <v xml:space="preserve">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v>
      </c>
      <c r="G374" s="4" t="str">
        <f ca="1">IFERROR(__xludf.DUMMYFUNCTION("TEXTJOIN(""|"",TRUE,UNIQUE(FILTER(SPLIT(F374,"" ""),LEN(SPLIT(F374,"" ""))&gt;2)))"),"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f>
        <v>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v>
      </c>
      <c r="I374" s="1"/>
      <c r="J374" s="1"/>
    </row>
    <row r="375" spans="1:10" x14ac:dyDescent="0.2">
      <c r="A375" s="8" t="s">
        <v>2496</v>
      </c>
      <c r="B375" s="7" t="s">
        <v>2495</v>
      </c>
      <c r="C375" s="7" t="s">
        <v>2494</v>
      </c>
      <c r="D375" s="6">
        <v>4900</v>
      </c>
      <c r="E375" s="5">
        <v>7</v>
      </c>
      <c r="F375" s="4" t="str">
        <f ca="1">IFERROR(__xludf.DUMMYFUNCTION("LOWER(REGEXREPLACE(B375&amp;"" ""&amp;C375,""[^а-яa-z0-9 ]"","" ""))"),"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f>
        <v xml:space="preserve">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v>
      </c>
      <c r="G375" s="4" t="str">
        <f ca="1">IFERROR(__xludf.DUMMYFUNCTION("TEXTJOIN(""|"",TRUE,UNIQUE(FILTER(SPLIT(F375,"" ""),LEN(SPLIT(F375,"" ""))&gt;2)))"),"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f>
        <v>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v>
      </c>
      <c r="I375" s="1"/>
      <c r="J375" s="1"/>
    </row>
    <row r="376" spans="1:10" x14ac:dyDescent="0.2">
      <c r="A376" s="8" t="s">
        <v>2493</v>
      </c>
      <c r="B376" s="7" t="s">
        <v>2492</v>
      </c>
      <c r="C376" s="7" t="s">
        <v>2491</v>
      </c>
      <c r="D376" s="6">
        <v>31900</v>
      </c>
      <c r="E376" s="5">
        <v>10</v>
      </c>
      <c r="F376" s="4" t="str">
        <f ca="1">IFERROR(__xludf.DUMMYFUNCTION("LOWER(REGEXREPLACE(B376&amp;"" ""&amp;C376,""[^а-яa-z0-9 ]"","" ""))"),"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п"&amp;"озволяет удерживать куклу в сидячем и стоячем положении ")</f>
        <v xml:space="preserve">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v>
      </c>
      <c r="G376" s="4" t="str">
        <f ca="1">IFERROR(__xludf.DUMMYFUNCTION("TEXTJOIN(""|"",TRUE,UNIQUE(FILTER(SPLIT(F376,"" ""),LEN(SPLIT(F376,"" ""))&gt;2)))"),"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amp;"идячем|стоячем|положении")</f>
        <v>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v>
      </c>
      <c r="I376" s="1"/>
      <c r="J376" s="1"/>
    </row>
    <row r="377" spans="1:10" x14ac:dyDescent="0.2">
      <c r="A377" s="8" t="s">
        <v>2490</v>
      </c>
      <c r="B377" s="7" t="s">
        <v>2489</v>
      </c>
      <c r="C377" s="7" t="s">
        <v>2488</v>
      </c>
      <c r="D377" s="6">
        <v>9500</v>
      </c>
      <c r="E377" s="5">
        <v>3</v>
      </c>
      <c r="F377" s="4" t="str">
        <f ca="1">IFERROR(__xludf.DUMMYFUNCTION("LOWER(REGEXREPLACE(B377&amp;"" ""&amp;C377,""[^а-яa-z0-9 ]"","" ""))"),"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f>
        <v xml:space="preserve">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v>
      </c>
      <c r="G377" s="4" t="str">
        <f ca="1">IFERROR(__xludf.DUMMYFUNCTION("TEXTJOIN(""|"",TRUE,UNIQUE(FILTER(SPLIT(F377,"" ""),LEN(SPLIT(F377,"" ""))&gt;2)))"),"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f>
        <v>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v>
      </c>
      <c r="I377" s="1"/>
      <c r="J377" s="1"/>
    </row>
    <row r="378" spans="1:10" x14ac:dyDescent="0.2">
      <c r="A378" s="8" t="s">
        <v>2487</v>
      </c>
      <c r="B378" s="7" t="s">
        <v>2486</v>
      </c>
      <c r="C378" s="7" t="s">
        <v>2485</v>
      </c>
      <c r="D378" s="6">
        <v>14200</v>
      </c>
      <c r="E378" s="5">
        <v>8</v>
      </c>
      <c r="F378" s="4" t="str">
        <f ca="1">IFERROR(__xludf.DUMMYFUNCTION("LOWER(REGEXREPLACE(B378&amp;"" ""&amp;C378,""[^а-яa-z0-9 ]"","" ""))"),"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f>
        <v xml:space="preserve">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v>
      </c>
      <c r="G378" s="4" t="str">
        <f ca="1">IFERROR(__xludf.DUMMYFUNCTION("TEXTJOIN(""|"",TRUE,UNIQUE(FILTER(SPLIT(F378,"" ""),LEN(SPLIT(F378,"" ""))&gt;2)))"),"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f>
        <v>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v>
      </c>
      <c r="I378" s="1"/>
      <c r="J378" s="1"/>
    </row>
    <row r="379" spans="1:10" x14ac:dyDescent="0.2">
      <c r="A379" s="8" t="s">
        <v>2484</v>
      </c>
      <c r="B379" s="7" t="s">
        <v>2483</v>
      </c>
      <c r="C379" s="7" t="s">
        <v>2482</v>
      </c>
      <c r="D379" s="6">
        <v>7600</v>
      </c>
      <c r="E379" s="5">
        <v>1</v>
      </c>
      <c r="F379" s="4" t="str">
        <f ca="1">IFERROR(__xludf.DUMMYFUNCTION("LOWER(REGEXREPLACE(B379&amp;"" ""&amp;C379,""[^а-яa-z0-9 ]"","" ""))"),"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f>
        <v xml:space="preserve">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v>
      </c>
      <c r="G379" s="4" t="str">
        <f ca="1">IFERROR(__xludf.DUMMYFUNCTION("TEXTJOIN(""|"",TRUE,UNIQUE(FILTER(SPLIT(F379,"" ""),LEN(SPLIT(F379,"" ""))&gt;2)))"),"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f>
        <v>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v>
      </c>
      <c r="I379" s="1"/>
      <c r="J379" s="1"/>
    </row>
    <row r="380" spans="1:10" x14ac:dyDescent="0.2">
      <c r="A380" s="8" t="s">
        <v>2481</v>
      </c>
      <c r="B380" s="7" t="s">
        <v>2480</v>
      </c>
      <c r="C380" s="7" t="s">
        <v>2479</v>
      </c>
      <c r="D380" s="6">
        <v>27900</v>
      </c>
      <c r="E380" s="5">
        <v>1</v>
      </c>
      <c r="F380" s="4" t="str">
        <f ca="1">IFERROR(__xludf.DUMMYFUNCTION("LOWER(REGEXREPLACE(B380&amp;"" ""&amp;C380,""[^а-яa-z0-9 ]"","" ""))")," лемн   м дени жау арлары под ред      анфорд  перевод  арипова    ")</f>
        <v xml:space="preserve"> лемн   м дени жау арлары под ред      анфорд  перевод  арипова    </v>
      </c>
      <c r="G380" s="4" t="str">
        <f ca="1">IFERROR(__xludf.DUMMYFUNCTION("TEXTJOIN(""|"",TRUE,UNIQUE(FILTER(SPLIT(F380,"" ""),LEN(SPLIT(F380,"" ""))&gt;2)))"),"лемн|дени|жау|арлары|под|ред|анфорд|перевод|арипова")</f>
        <v>лемн|дени|жау|арлары|под|ред|анфорд|перевод|арипова</v>
      </c>
      <c r="I380" s="1"/>
      <c r="J380" s="1"/>
    </row>
    <row r="381" spans="1:10" x14ac:dyDescent="0.2">
      <c r="A381" s="8" t="s">
        <v>2478</v>
      </c>
      <c r="B381" s="7" t="s">
        <v>2477</v>
      </c>
      <c r="C381" s="7" t="s">
        <v>2476</v>
      </c>
      <c r="D381" s="6">
        <v>21900</v>
      </c>
      <c r="E381" s="5">
        <v>1</v>
      </c>
      <c r="F381" s="4" t="str">
        <f ca="1">IFERROR(__xludf.DUMMYFUNCTION("LOWER(REGEXREPLACE(B381&amp;"" ""&amp;C381,""[^а-яa-z0-9 ]"","" ""))"),"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f>
        <v xml:space="preserve">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v>
      </c>
      <c r="G381" s="4" t="str">
        <f ca="1">IFERROR(__xludf.DUMMYFUNCTION("TEXTJOIN(""|"",TRUE,UNIQUE(FILTER(SPLIT(F381,"" ""),LEN(SPLIT(F381,"" ""))&gt;2)))"),"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f>
        <v>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v>
      </c>
      <c r="I381" s="1"/>
      <c r="J381" s="1"/>
    </row>
    <row r="382" spans="1:10" x14ac:dyDescent="0.2">
      <c r="A382" s="8" t="s">
        <v>2475</v>
      </c>
      <c r="B382" s="7" t="s">
        <v>2474</v>
      </c>
      <c r="C382" s="7" t="s">
        <v>2473</v>
      </c>
      <c r="D382" s="6">
        <v>38800</v>
      </c>
      <c r="E382" s="5">
        <v>12</v>
      </c>
      <c r="F382" s="4" t="str">
        <f ca="1">IFERROR(__xludf.DUMMYFUNCTION("LOWER(REGEXREPLACE(B382&amp;"" ""&amp;C382,""[^а-яa-z0-9 ]"","" ""))"),"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соци"&amp;"альных навыков ")</f>
        <v xml:space="preserve">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v>
      </c>
      <c r="G382" s="4" t="str">
        <f ca="1">IFERROR(__xludf.DUMMYFUNCTION("TEXTJOIN(""|"",TRUE,UNIQUE(FILTER(SPLIT(F382,"" ""),LEN(SPLIT(F382,"" ""))&gt;2)))"),"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f>
        <v>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v>
      </c>
      <c r="I382" s="1"/>
      <c r="J382" s="1"/>
    </row>
    <row r="383" spans="1:10" x14ac:dyDescent="0.2">
      <c r="A383" s="8" t="s">
        <v>2472</v>
      </c>
      <c r="B383" s="7" t="s">
        <v>2471</v>
      </c>
      <c r="C383" s="7" t="s">
        <v>2470</v>
      </c>
      <c r="D383" s="6">
        <v>11400</v>
      </c>
      <c r="E383" s="5">
        <v>1</v>
      </c>
      <c r="F383" s="4" t="str">
        <f ca="1">IFERROR(__xludf.DUMMYFUNCTION("LOWER(REGEXREPLACE(B383&amp;"" ""&amp;C383,""[^а-яa-z0-9 ]"","" ""))"),"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f>
        <v xml:space="preserve">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v>
      </c>
      <c r="G383" s="4" t="str">
        <f ca="1">IFERROR(__xludf.DUMMYFUNCTION("TEXTJOIN(""|"",TRUE,UNIQUE(FILTER(SPLIT(F383,"" ""),LEN(SPLIT(F383,"" ""))&gt;2)))"),"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f>
        <v>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v>
      </c>
      <c r="I383" s="1"/>
      <c r="J383" s="1"/>
    </row>
    <row r="384" spans="1:10" x14ac:dyDescent="0.2">
      <c r="A384" s="8" t="s">
        <v>2469</v>
      </c>
      <c r="B384" s="7" t="s">
        <v>2468</v>
      </c>
      <c r="C384" s="7" t="s">
        <v>2467</v>
      </c>
      <c r="D384" s="6">
        <v>44400</v>
      </c>
      <c r="E384" s="5">
        <v>7</v>
      </c>
      <c r="F384" s="4" t="str">
        <f ca="1">IFERROR(__xludf.DUMMYFUNCTION("LOWER(REGEXREPLACE(B384&amp;"" ""&amp;C384,""[^а-яa-z0-9 ]"","" ""))"),"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f>
        <v xml:space="preserve">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v>
      </c>
      <c r="G384" s="4" t="str">
        <f ca="1">IFERROR(__xludf.DUMMYFUNCTION("TEXTJOIN(""|"",TRUE,UNIQUE(FILTER(SPLIT(F384,"" ""),LEN(SPLIT(F384,"" ""))&gt;2)))"),"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f>
        <v>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v>
      </c>
      <c r="I384" s="1"/>
      <c r="J384" s="1"/>
    </row>
    <row r="385" spans="1:10" x14ac:dyDescent="0.2">
      <c r="A385" s="8" t="s">
        <v>2466</v>
      </c>
      <c r="B385" s="7" t="s">
        <v>2465</v>
      </c>
      <c r="C385" s="7" t="s">
        <v>2464</v>
      </c>
      <c r="D385" s="6">
        <v>5700</v>
      </c>
      <c r="E385" s="5">
        <v>7</v>
      </c>
      <c r="F385" s="4" t="str">
        <f ca="1">IFERROR(__xludf.DUMMYFUNCTION("LOWER(REGEXREPLACE(B385&amp;"" ""&amp;C385,""[^а-яa-z0-9 ]"","" ""))"),"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ст"&amp;"роение позволяет менять позы и расширяет игровые сценарии ")</f>
        <v xml:space="preserve">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v>
      </c>
      <c r="G385" s="4" t="str">
        <f ca="1">IFERROR(__xludf.DUMMYFUNCTION("TEXTJOIN(""|"",TRUE,UNIQUE(FILTER(SPLIT(F385,"" ""),LEN(SPLIT(F385,"" ""))&gt;2)))"),"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amp;"яет|менять|позы|расширяет|игровые|сценарии")</f>
        <v>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v>
      </c>
      <c r="I385" s="1"/>
      <c r="J385" s="1"/>
    </row>
    <row r="386" spans="1:10" x14ac:dyDescent="0.2">
      <c r="A386" s="8" t="s">
        <v>2463</v>
      </c>
      <c r="B386" s="7" t="s">
        <v>2462</v>
      </c>
      <c r="C386" s="7" t="s">
        <v>2461</v>
      </c>
      <c r="D386" s="6">
        <v>22800</v>
      </c>
      <c r="E386" s="5">
        <v>35</v>
      </c>
      <c r="F386" s="4" t="str">
        <f ca="1">IFERROR(__xludf.DUMMYFUNCTION("LOWER(REGEXREPLACE(B386&amp;"" ""&amp;C386,""[^а-яa-z0-9 ]"","" ""))"),"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де"&amp;"ятельности ")</f>
        <v xml:space="preserve">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v>
      </c>
      <c r="G386" s="4" t="str">
        <f ca="1">IFERROR(__xludf.DUMMYFUNCTION("TEXTJOIN(""|"",TRUE,UNIQUE(FILTER(SPLIT(F386,"" ""),LEN(SPLIT(F386,"" ""))&gt;2)))"),"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f>
        <v>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v>
      </c>
      <c r="I386" s="1"/>
      <c r="J386" s="1"/>
    </row>
    <row r="387" spans="1:10" x14ac:dyDescent="0.2">
      <c r="A387" s="8" t="s">
        <v>2460</v>
      </c>
      <c r="B387" s="7" t="s">
        <v>2459</v>
      </c>
      <c r="C387" s="7" t="s">
        <v>2458</v>
      </c>
      <c r="D387" s="6">
        <v>10800</v>
      </c>
      <c r="E387" s="5">
        <v>5</v>
      </c>
      <c r="F387" s="4" t="str">
        <f ca="1">IFERROR(__xludf.DUMMYFUNCTION("LOWER(REGEXREPLACE(B387&amp;"" ""&amp;C387,""[^а-яa-z0-9 ]"","" ""))"),"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f>
        <v xml:space="preserve">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v>
      </c>
      <c r="G387" s="4" t="str">
        <f ca="1">IFERROR(__xludf.DUMMYFUNCTION("TEXTJOIN(""|"",TRUE,UNIQUE(FILTER(SPLIT(F387,"" ""),LEN(SPLIT(F387,"" ""))&gt;2)))"),"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f>
        <v>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v>
      </c>
      <c r="I387" s="1"/>
      <c r="J387" s="1"/>
    </row>
    <row r="388" spans="1:10" x14ac:dyDescent="0.2">
      <c r="A388" s="8" t="s">
        <v>2457</v>
      </c>
      <c r="B388" s="7" t="s">
        <v>2456</v>
      </c>
      <c r="C388" s="7" t="s">
        <v>2455</v>
      </c>
      <c r="D388" s="6">
        <v>47500</v>
      </c>
      <c r="E388" s="5">
        <v>12</v>
      </c>
      <c r="F388" s="4" t="str">
        <f ca="1">IFERROR(__xludf.DUMMYFUNCTION("LOWER(REGEXREPLACE(B388&amp;"" ""&amp;C388,""[^а-яa-z0-9 ]"","" ""))"),"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неско"&amp;"льких детей ")</f>
        <v xml:space="preserve">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v>
      </c>
      <c r="G388" s="4" t="str">
        <f ca="1">IFERROR(__xludf.DUMMYFUNCTION("TEXTJOIN(""|"",TRUE,UNIQUE(FILTER(SPLIT(F388,"" ""),LEN(SPLIT(F388,"" ""))&gt;2)))"),"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f>
        <v>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v>
      </c>
      <c r="I388" s="1"/>
      <c r="J388" s="1"/>
    </row>
    <row r="389" spans="1:10" x14ac:dyDescent="0.2">
      <c r="A389" s="8" t="s">
        <v>2454</v>
      </c>
      <c r="B389" s="7" t="s">
        <v>2453</v>
      </c>
      <c r="C389" s="7" t="s">
        <v>2452</v>
      </c>
      <c r="D389" s="6">
        <v>57000</v>
      </c>
      <c r="E389" s="5">
        <v>7</v>
      </c>
      <c r="F389" s="4" t="str">
        <f ca="1">IFERROR(__xludf.DUMMYFUNCTION("LOWER(REGEXREPLACE(B389&amp;"" ""&amp;C389,""[^а-яa-z0-9 ]"","" ""))"),"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составл"&amp;"яет не менее 70 см   атериал изготовления   дерево ")</f>
        <v xml:space="preserve">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v>
      </c>
      <c r="G389" s="4" t="str">
        <f ca="1">IFERROR(__xludf.DUMMYFUNCTION("TEXTJOIN(""|"",TRUE,UNIQUE(FILTER(SPLIT(F389,"" ""),LEN(SPLIT(F389,"" ""))&gt;2)))"),"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amp;"ал|изготовления|дерево")</f>
        <v>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v>
      </c>
      <c r="I389" s="1"/>
      <c r="J389" s="1"/>
    </row>
    <row r="390" spans="1:10" x14ac:dyDescent="0.2">
      <c r="A390" s="8" t="s">
        <v>2451</v>
      </c>
      <c r="B390" s="7" t="s">
        <v>2450</v>
      </c>
      <c r="C390" s="7" t="s">
        <v>2449</v>
      </c>
      <c r="D390" s="6">
        <v>5700</v>
      </c>
      <c r="E390" s="5">
        <v>5</v>
      </c>
      <c r="F390" s="4" t="str">
        <f ca="1">IFERROR(__xludf.DUMMYFUNCTION("LOWER(REGEXREPLACE(B390&amp;"" ""&amp;C390,""[^а-яa-z0-9 ]"","" ""))"),"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контроле"&amp;"м педагога ")</f>
        <v xml:space="preserve">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v>
      </c>
      <c r="G390" s="4" t="str">
        <f ca="1">IFERROR(__xludf.DUMMYFUNCTION("TEXTJOIN(""|"",TRUE,UNIQUE(FILTER(SPLIT(F390,"" ""),LEN(SPLIT(F390,"" ""))&gt;2)))"),"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f>
        <v>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v>
      </c>
      <c r="I390" s="1"/>
      <c r="J390" s="1"/>
    </row>
    <row r="391" spans="1:10" x14ac:dyDescent="0.2">
      <c r="A391" s="8" t="s">
        <v>2448</v>
      </c>
      <c r="B391" s="7" t="s">
        <v>2447</v>
      </c>
      <c r="C391" s="7" t="s">
        <v>1692</v>
      </c>
      <c r="D391" s="6">
        <v>8400</v>
      </c>
      <c r="E391" s="5">
        <v>1</v>
      </c>
      <c r="F391" s="4" t="str">
        <f ca="1">IFERROR(__xludf.DUMMYFUNCTION("LOWER(REGEXREPLACE(B391&amp;"" ""&amp;C391,""[^а-яa-z0-9 ]"","" ""))")," лемн    лы кереметтер   ш   ")</f>
        <v xml:space="preserve"> лемн    лы кереметтер   ш   </v>
      </c>
      <c r="G391" s="4" t="str">
        <f ca="1">IFERROR(__xludf.DUMMYFUNCTION("TEXTJOIN(""|"",TRUE,UNIQUE(FILTER(SPLIT(F391,"" ""),LEN(SPLIT(F391,"" ""))&gt;2)))"),"лемн|кереметтер")</f>
        <v>лемн|кереметтер</v>
      </c>
      <c r="I391" s="1"/>
      <c r="J391" s="1"/>
    </row>
    <row r="392" spans="1:10" x14ac:dyDescent="0.2">
      <c r="A392" s="8" t="s">
        <v>2446</v>
      </c>
      <c r="B392" s="7" t="s">
        <v>2445</v>
      </c>
      <c r="C392" s="7" t="s">
        <v>2444</v>
      </c>
      <c r="D392" s="6">
        <v>16800</v>
      </c>
      <c r="E392" s="5">
        <v>5</v>
      </c>
      <c r="F392" s="4" t="str">
        <f ca="1">IFERROR(__xludf.DUMMYFUNCTION("LOWER(REGEXREPLACE(B392&amp;"" ""&amp;C392,""[^а-яa-z0-9 ]"","" ""))"),"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заняти"&amp;"й и игровых постановок    комплект входит не менее 5 кукол ")</f>
        <v xml:space="preserve">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v>
      </c>
      <c r="G392" s="4" t="str">
        <f ca="1">IFERROR(__xludf.DUMMYFUNCTION("TEXTJOIN(""|"",TRUE,UNIQUE(FILTER(SPLIT(F392,"" ""),LEN(SPLIT(F392,"" ""))&gt;2)))"),"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amp;"к|комплект|входит|менее|кукол")</f>
        <v>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v>
      </c>
      <c r="I392" s="1"/>
      <c r="J392" s="1"/>
    </row>
    <row r="393" spans="1:10" x14ac:dyDescent="0.2">
      <c r="A393" s="8" t="s">
        <v>2443</v>
      </c>
      <c r="B393" s="7" t="s">
        <v>2442</v>
      </c>
      <c r="C393" s="7" t="s">
        <v>2441</v>
      </c>
      <c r="D393" s="6">
        <v>14900</v>
      </c>
      <c r="E393" s="5">
        <v>5</v>
      </c>
      <c r="F393" s="4" t="str">
        <f ca="1">IFERROR(__xludf.DUMMYFUNCTION("LOWER(REGEXREPLACE(B393&amp;"" ""&amp;C393,""[^а-яa-z0-9 ]"","" ""))"),"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перчат"&amp;"очных кукол ")</f>
        <v xml:space="preserve">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v>
      </c>
      <c r="G393" s="4" t="str">
        <f ca="1">IFERROR(__xludf.DUMMYFUNCTION("TEXTJOIN(""|"",TRUE,UNIQUE(FILTER(SPLIT(F393,"" ""),LEN(SPLIT(F393,"" ""))&gt;2)))"),"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f>
        <v>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v>
      </c>
      <c r="I393" s="1"/>
      <c r="J393" s="1"/>
    </row>
    <row r="394" spans="1:10" x14ac:dyDescent="0.2">
      <c r="A394" s="8" t="s">
        <v>2440</v>
      </c>
      <c r="B394" s="7" t="s">
        <v>2439</v>
      </c>
      <c r="C394" s="7" t="s">
        <v>2438</v>
      </c>
      <c r="D394" s="6">
        <v>76500</v>
      </c>
      <c r="E394" s="5">
        <v>2</v>
      </c>
      <c r="F394" s="4" t="str">
        <f ca="1">IFERROR(__xludf.DUMMYFUNCTION("LOWER(REGEXREPLACE(B394&amp;"" ""&amp;C394,""[^а-яa-z0-9 ]"","" ""))"),"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f>
        <v xml:space="preserve">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v>
      </c>
      <c r="G394" s="4" t="str">
        <f ca="1">IFERROR(__xludf.DUMMYFUNCTION("TEXTJOIN(""|"",TRUE,UNIQUE(FILTER(SPLIT(F394,"" ""),LEN(SPLIT(F394,"" ""))&gt;2)))"),"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f>
        <v>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v>
      </c>
      <c r="I394" s="1"/>
      <c r="J394" s="1"/>
    </row>
    <row r="395" spans="1:10" x14ac:dyDescent="0.2">
      <c r="A395" s="8" t="s">
        <v>2437</v>
      </c>
      <c r="B395" s="7" t="s">
        <v>2436</v>
      </c>
      <c r="C395" s="7" t="s">
        <v>2435</v>
      </c>
      <c r="D395" s="6">
        <v>27900</v>
      </c>
      <c r="E395" s="5">
        <v>1</v>
      </c>
      <c r="F395" s="4" t="str">
        <f ca="1">IFERROR(__xludf.DUMMYFUNCTION("LOWER(REGEXREPLACE(B395&amp;"" ""&amp;C395,""[^а-яa-z0-9 ]"","" ""))")," ультурные сокровища мира под ред      анфорд  перевод  санова    ")</f>
        <v xml:space="preserve"> ультурные сокровища мира под ред      анфорд  перевод  санова    </v>
      </c>
      <c r="G395" s="4" t="str">
        <f ca="1">IFERROR(__xludf.DUMMYFUNCTION("TEXTJOIN(""|"",TRUE,UNIQUE(FILTER(SPLIT(F395,"" ""),LEN(SPLIT(F395,"" ""))&gt;2)))"),"ультурные|сокровища|мира|под|ред|анфорд|перевод|санова")</f>
        <v>ультурные|сокровища|мира|под|ред|анфорд|перевод|санова</v>
      </c>
      <c r="I395" s="1"/>
      <c r="J395" s="1"/>
    </row>
    <row r="396" spans="1:10" x14ac:dyDescent="0.2">
      <c r="A396" s="8" t="s">
        <v>2434</v>
      </c>
      <c r="B396" s="7" t="s">
        <v>2433</v>
      </c>
      <c r="C396" s="7" t="s">
        <v>2432</v>
      </c>
      <c r="D396" s="6">
        <v>8000</v>
      </c>
      <c r="E396" s="5">
        <v>1</v>
      </c>
      <c r="F396" s="4" t="str">
        <f ca="1">IFERROR(__xludf.DUMMYFUNCTION("LOWER(REGEXREPLACE(B396&amp;"" ""&amp;C396,""[^а-яa-z0-9 ]"","" ""))"),"  н н рындай   н кей    йымбетов")</f>
        <v xml:space="preserve">  н н рындай   н кей    йымбетов</v>
      </c>
      <c r="G396" s="4" t="str">
        <f ca="1">IFERROR(__xludf.DUMMYFUNCTION("TEXTJOIN(""|"",TRUE,UNIQUE(FILTER(SPLIT(F396,"" ""),LEN(SPLIT(F396,"" ""))&gt;2)))"),"рындай|кей|йымбетов")</f>
        <v>рындай|кей|йымбетов</v>
      </c>
      <c r="I396" s="1"/>
      <c r="J396" s="1"/>
    </row>
    <row r="397" spans="1:10" x14ac:dyDescent="0.2">
      <c r="A397" s="8" t="s">
        <v>2431</v>
      </c>
      <c r="B397" s="7" t="s">
        <v>2430</v>
      </c>
      <c r="C397" s="7" t="s">
        <v>2429</v>
      </c>
      <c r="D397" s="6">
        <v>8000</v>
      </c>
      <c r="E397" s="5">
        <v>1</v>
      </c>
      <c r="F397" s="4" t="str">
        <f ca="1">IFERROR(__xludf.DUMMYFUNCTION("LOWER(REGEXREPLACE(B397&amp;"" ""&amp;C397,""[^а-яa-z0-9 ]"","" ""))"),"  шт н сыры неде   ызы ты физика  аммонд   ")</f>
        <v xml:space="preserve">  шт н сыры неде   ызы ты физика  аммонд   </v>
      </c>
      <c r="G397" s="4" t="str">
        <f ca="1">IFERROR(__xludf.DUMMYFUNCTION("TEXTJOIN(""|"",TRUE,UNIQUE(FILTER(SPLIT(F397,"" ""),LEN(SPLIT(F397,"" ""))&gt;2)))"),"сыры|неде|ызы|физика|аммонд")</f>
        <v>сыры|неде|ызы|физика|аммонд</v>
      </c>
      <c r="I397" s="1"/>
      <c r="J397" s="1"/>
    </row>
    <row r="398" spans="1:10" x14ac:dyDescent="0.2">
      <c r="A398" s="8" t="s">
        <v>2428</v>
      </c>
      <c r="B398" s="7" t="s">
        <v>2427</v>
      </c>
      <c r="C398" s="7" t="s">
        <v>2426</v>
      </c>
      <c r="D398" s="6">
        <v>15900</v>
      </c>
      <c r="E398" s="5">
        <v>1</v>
      </c>
      <c r="F398" s="4" t="str">
        <f ca="1">IFERROR(__xludf.DUMMYFUNCTION("LOWER(REGEXREPLACE(B398&amp;"" ""&amp;C398,""[^а-яa-z0-9 ]"","" ""))")," аза  афоризмдер   аймерденов   ")</f>
        <v xml:space="preserve"> аза  афоризмдер   аймерденов   </v>
      </c>
      <c r="G398" s="4" t="str">
        <f ca="1">IFERROR(__xludf.DUMMYFUNCTION("TEXTJOIN(""|"",TRUE,UNIQUE(FILTER(SPLIT(F398,"" ""),LEN(SPLIT(F398,"" ""))&gt;2)))"),"аза|афоризмдер|аймерденов")</f>
        <v>аза|афоризмдер|аймерденов</v>
      </c>
      <c r="I398" s="1"/>
      <c r="J398" s="1"/>
    </row>
    <row r="399" spans="1:10" x14ac:dyDescent="0.2">
      <c r="A399" s="8" t="s">
        <v>2425</v>
      </c>
      <c r="B399" s="7" t="s">
        <v>2424</v>
      </c>
      <c r="C399" s="7" t="s">
        <v>2423</v>
      </c>
      <c r="D399" s="6">
        <v>12000</v>
      </c>
      <c r="E399" s="5">
        <v>7</v>
      </c>
      <c r="F399" s="4" t="str">
        <f ca="1">IFERROR(__xludf.DUMMYFUNCTION("LOWER(REGEXREPLACE(B399&amp;"" ""&amp;C399,""[^а-яa-z0-9 ]"","" ""))"),"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f>
        <v xml:space="preserve">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v>
      </c>
      <c r="G399" s="4" t="str">
        <f ca="1">IFERROR(__xludf.DUMMYFUNCTION("TEXTJOIN(""|"",TRUE,UNIQUE(FILTER(SPLIT(F399,"" ""),LEN(SPLIT(F399,"" ""))&gt;2)))"),"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f>
        <v>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v>
      </c>
      <c r="I399" s="1"/>
      <c r="J399" s="1"/>
    </row>
    <row r="400" spans="1:10" x14ac:dyDescent="0.2">
      <c r="A400" s="8" t="s">
        <v>2422</v>
      </c>
      <c r="B400" s="7" t="s">
        <v>2421</v>
      </c>
      <c r="C400" s="7" t="s">
        <v>2420</v>
      </c>
      <c r="D400" s="6">
        <v>12400</v>
      </c>
      <c r="E400" s="5">
        <v>125</v>
      </c>
      <c r="F400" s="4" t="str">
        <f ca="1">IFERROR(__xludf.DUMMYFUNCTION("LOWER(REGEXREPLACE(B400&amp;"" ""&amp;C400,""[^а-яa-z0-9 ]"","" ""))"),"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f>
        <v xml:space="preserve">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v>
      </c>
      <c r="G400" s="4" t="str">
        <f ca="1">IFERROR(__xludf.DUMMYFUNCTION("TEXTJOIN(""|"",TRUE,UNIQUE(FILTER(SPLIT(F400,"" ""),LEN(SPLIT(F400,"" ""))&gt;2)))"),"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f>
        <v>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v>
      </c>
      <c r="I400" s="1"/>
      <c r="J400" s="1"/>
    </row>
    <row r="401" spans="1:10" x14ac:dyDescent="0.2">
      <c r="A401" s="8" t="s">
        <v>2419</v>
      </c>
      <c r="B401" s="7" t="s">
        <v>2418</v>
      </c>
      <c r="C401" s="7" t="s">
        <v>2417</v>
      </c>
      <c r="D401" s="6">
        <v>12000</v>
      </c>
      <c r="E401" s="5">
        <v>1</v>
      </c>
      <c r="F401" s="4" t="str">
        <f ca="1">IFERROR(__xludf.DUMMYFUNCTION("LOWER(REGEXREPLACE(B401&amp;"" ""&amp;C401,""[^а-яa-z0-9 ]"","" ""))")," аза  ертег лер     растар ан   аева    ")</f>
        <v xml:space="preserve"> аза  ертег лер     растар ан   аева    </v>
      </c>
      <c r="G401" s="4" t="str">
        <f ca="1">IFERROR(__xludf.DUMMYFUNCTION("TEXTJOIN(""|"",TRUE,UNIQUE(FILTER(SPLIT(F401,"" ""),LEN(SPLIT(F401,"" ""))&gt;2)))"),"аза|ертег|лер|растар|аева")</f>
        <v>аза|ертег|лер|растар|аева</v>
      </c>
      <c r="I401" s="1"/>
      <c r="J401" s="1"/>
    </row>
    <row r="402" spans="1:10" x14ac:dyDescent="0.2">
      <c r="A402" s="8" t="s">
        <v>2416</v>
      </c>
      <c r="B402" s="7" t="s">
        <v>2415</v>
      </c>
      <c r="C402" s="7" t="s">
        <v>2414</v>
      </c>
      <c r="D402" s="6">
        <v>1400</v>
      </c>
      <c r="E402" s="5">
        <v>1</v>
      </c>
      <c r="F402" s="4" t="str">
        <f ca="1">IFERROR(__xludf.DUMMYFUNCTION("LOWER(REGEXREPLACE(B402&amp;"" ""&amp;C402,""[^а-яa-z0-9 ]"","" ""))"),"   ылды  бояма    ермада    мная  раскраска   аскрась по коду   а ферме  енаги   ")</f>
        <v xml:space="preserve">   ылды  бояма    ермада    мная  раскраска   аскрась по коду   а ферме  енаги   </v>
      </c>
      <c r="G402" s="4" t="str">
        <f ca="1">IFERROR(__xludf.DUMMYFUNCTION("TEXTJOIN(""|"",TRUE,UNIQUE(FILTER(SPLIT(F402,"" ""),LEN(SPLIT(F402,"" ""))&gt;2)))"),"ылды|бояма|ермада|мная|раскраска|аскрась|коду|ферме|енаги")</f>
        <v>ылды|бояма|ермада|мная|раскраска|аскрась|коду|ферме|енаги</v>
      </c>
      <c r="I402" s="1"/>
      <c r="J402" s="1"/>
    </row>
    <row r="403" spans="1:10" x14ac:dyDescent="0.2">
      <c r="A403" s="8" t="s">
        <v>2413</v>
      </c>
      <c r="B403" s="7" t="s">
        <v>2412</v>
      </c>
      <c r="C403" s="7" t="s">
        <v>2411</v>
      </c>
      <c r="D403" s="6">
        <v>10000</v>
      </c>
      <c r="E403" s="5">
        <v>1</v>
      </c>
      <c r="F403" s="4" t="str">
        <f ca="1">IFERROR(__xludf.DUMMYFUNCTION("LOWER(REGEXREPLACE(B403&amp;"" ""&amp;C403,""[^а-яa-z0-9 ]"","" ""))")," алалар а аманат     олда алиев")</f>
        <v xml:space="preserve"> алалар а аманат     олда алиев</v>
      </c>
      <c r="G403" s="4" t="str">
        <f ca="1">IFERROR(__xludf.DUMMYFUNCTION("TEXTJOIN(""|"",TRUE,UNIQUE(FILTER(SPLIT(F403,"" ""),LEN(SPLIT(F403,"" ""))&gt;2)))"),"алалар|аманат|олда|алиев")</f>
        <v>алалар|аманат|олда|алиев</v>
      </c>
      <c r="I403" s="1"/>
      <c r="J403" s="1"/>
    </row>
    <row r="404" spans="1:10" x14ac:dyDescent="0.2">
      <c r="A404" s="8" t="s">
        <v>2410</v>
      </c>
      <c r="B404" s="7" t="s">
        <v>2409</v>
      </c>
      <c r="C404" s="7" t="s">
        <v>2408</v>
      </c>
      <c r="D404" s="6">
        <v>14000</v>
      </c>
      <c r="E404" s="5">
        <v>1</v>
      </c>
      <c r="F404" s="4" t="str">
        <f ca="1">IFERROR(__xludf.DUMMYFUNCTION("LOWER(REGEXREPLACE(B404&amp;"" ""&amp;C404,""[^а-яa-z0-9 ]"","" ""))")," аза  ма ал мателдерi   азахские пословицы и поговорки  каз   рус яз   сост    ужикова   ")</f>
        <v xml:space="preserve"> аза  ма ал мателдерi   азахские пословицы и поговорки  каз   рус яз   сост    ужикова   </v>
      </c>
      <c r="G404" s="4" t="str">
        <f ca="1">IFERROR(__xludf.DUMMYFUNCTION("TEXTJOIN(""|"",TRUE,UNIQUE(FILTER(SPLIT(F404,"" ""),LEN(SPLIT(F404,"" ""))&gt;2)))"),"аза|мателдерi|азахские|пословицы|поговорки|каз|рус|сост|ужикова")</f>
        <v>аза|мателдерi|азахские|пословицы|поговорки|каз|рус|сост|ужикова</v>
      </c>
      <c r="I404" s="1"/>
      <c r="J404" s="1"/>
    </row>
    <row r="405" spans="1:10" x14ac:dyDescent="0.2">
      <c r="A405" s="8" t="s">
        <v>2407</v>
      </c>
      <c r="B405" s="7" t="s">
        <v>2406</v>
      </c>
      <c r="C405" s="7" t="s">
        <v>2189</v>
      </c>
      <c r="D405" s="6">
        <v>700</v>
      </c>
      <c r="E405" s="5">
        <v>1</v>
      </c>
      <c r="F405" s="4" t="str">
        <f ca="1">IFERROR(__xludf.DUMMYFUNCTION("LOWER(REGEXREPLACE(B405&amp;"" ""&amp;C405,""[^а-яa-z0-9 ]"","" ""))")," аза  оркестр    азахский оркестр  каз   рус   англ яз    тет леу лы   ")</f>
        <v xml:space="preserve"> аза  оркестр    азахский оркестр  каз   рус   англ яз    тет леу лы   </v>
      </c>
      <c r="G405" s="4" t="str">
        <f ca="1">IFERROR(__xludf.DUMMYFUNCTION("TEXTJOIN(""|"",TRUE,UNIQUE(FILTER(SPLIT(F405,"" ""),LEN(SPLIT(F405,"" ""))&gt;2)))"),"аза|оркестр|азахский|оркестр|каз|рус|англ|тет|леу")</f>
        <v>аза|оркестр|азахский|оркестр|каз|рус|англ|тет|леу</v>
      </c>
      <c r="I405" s="1"/>
      <c r="J405" s="1"/>
    </row>
    <row r="406" spans="1:10" x14ac:dyDescent="0.2">
      <c r="A406" s="8" t="s">
        <v>2405</v>
      </c>
      <c r="B406" s="7" t="s">
        <v>2404</v>
      </c>
      <c r="C406" s="7" t="s">
        <v>2403</v>
      </c>
      <c r="D406" s="6">
        <v>10600</v>
      </c>
      <c r="E406" s="5">
        <v>1</v>
      </c>
      <c r="F406" s="4" t="str">
        <f ca="1">IFERROR(__xludf.DUMMYFUNCTION("LOWER(REGEXREPLACE(B406&amp;"" ""&amp;C406,""[^а-яa-z0-9 ]"","" ""))")," аза  портреттер н   тарихы    пш л к   танымды  басылым  скенд р  бдешев   ")</f>
        <v xml:space="preserve"> аза  портреттер н   тарихы    пш л к   танымды  басылым  скенд р  бдешев   </v>
      </c>
      <c r="G406" s="4" t="str">
        <f ca="1">IFERROR(__xludf.DUMMYFUNCTION("TEXTJOIN(""|"",TRUE,UNIQUE(FILTER(SPLIT(F406,"" ""),LEN(SPLIT(F406,"" ""))&gt;2)))"),"аза|портреттер|тарихы|танымды|басылым|скенд|бдешев")</f>
        <v>аза|портреттер|тарихы|танымды|басылым|скенд|бдешев</v>
      </c>
      <c r="I406" s="1"/>
      <c r="J406" s="1"/>
    </row>
    <row r="407" spans="1:10" x14ac:dyDescent="0.2">
      <c r="A407" s="8" t="s">
        <v>2402</v>
      </c>
      <c r="B407" s="7" t="s">
        <v>2401</v>
      </c>
      <c r="C407" s="7" t="s">
        <v>2400</v>
      </c>
      <c r="D407" s="6">
        <v>5900</v>
      </c>
      <c r="E407" s="5">
        <v>1</v>
      </c>
      <c r="F407" s="4" t="str">
        <f ca="1">IFERROR(__xludf.DUMMYFUNCTION("LOWER(REGEXREPLACE(B407&amp;"" ""&amp;C407,""[^а-яa-z0-9 ]"","" ""))")," аза  хал ыны  салт д стурлерi   радиции и обряды казахского народа   azakh traditions and customs  каз   рус   англ яз      енжеахметулы")</f>
        <v xml:space="preserve"> аза  хал ыны  салт д стурлерi   радиции и обряды казахского народа   azakh traditions and customs  каз   рус   англ яз      енжеахметулы</v>
      </c>
      <c r="G407" s="4" t="str">
        <f ca="1">IFERROR(__xludf.DUMMYFUNCTION("TEXTJOIN(""|"",TRUE,UNIQUE(FILTER(SPLIT(F407,"" ""),LEN(SPLIT(F407,"" ""))&gt;2)))"),"аза|хал|ыны|салт|стурлерi|радиции|обряды|казахского|народа|azakh|traditions|and|customs|каз|рус|англ|енжеахметулы")</f>
        <v>аза|хал|ыны|салт|стурлерi|радиции|обряды|казахского|народа|azakh|traditions|and|customs|каз|рус|англ|енжеахметулы</v>
      </c>
      <c r="I407" s="1"/>
      <c r="J407" s="1"/>
    </row>
    <row r="408" spans="1:10" x14ac:dyDescent="0.2">
      <c r="A408" s="8" t="s">
        <v>2399</v>
      </c>
      <c r="B408" s="7" t="s">
        <v>2398</v>
      </c>
      <c r="C408" s="7" t="s">
        <v>2397</v>
      </c>
      <c r="D408" s="6">
        <v>24900</v>
      </c>
      <c r="E408" s="5">
        <v>1</v>
      </c>
      <c r="F408" s="4" t="str">
        <f ca="1">IFERROR(__xludf.DUMMYFUNCTION("LOWER(REGEXREPLACE(B408&amp;"" ""&amp;C408,""[^а-яa-z0-9 ]"","" ""))")," аза  хал ыны  т рмысы мен м дениет    ыт и культура казахского народа   ife and culture of the  azakh people  каз   рус   англ яз      енжеахмет лы")</f>
        <v xml:space="preserve"> аза  хал ыны  т рмысы мен м дениет    ыт и культура казахского народа   ife and culture of the  azakh people  каз   рус   англ яз      енжеахмет лы</v>
      </c>
      <c r="G408" s="4" t="str">
        <f ca="1">IFERROR(__xludf.DUMMYFUNCTION("TEXTJOIN(""|"",TRUE,UNIQUE(FILTER(SPLIT(F408,"" ""),LEN(SPLIT(F408,"" ""))&gt;2)))"),"аза|хал|ыны|рмысы|мен|дениет|культура|казахского|народа|ife|and|culture|the|azakh|people|каз|рус|англ|енжеахмет")</f>
        <v>аза|хал|ыны|рмысы|мен|дениет|культура|казахского|народа|ife|and|culture|the|azakh|people|каз|рус|англ|енжеахмет</v>
      </c>
      <c r="I408" s="1"/>
      <c r="J408" s="1"/>
    </row>
    <row r="409" spans="1:10" x14ac:dyDescent="0.2">
      <c r="A409" s="8" t="s">
        <v>2396</v>
      </c>
      <c r="B409" s="7" t="s">
        <v>2395</v>
      </c>
      <c r="C409" s="7" t="s">
        <v>1239</v>
      </c>
      <c r="D409" s="6">
        <v>24900</v>
      </c>
      <c r="E409" s="5">
        <v>1</v>
      </c>
      <c r="F409" s="4" t="str">
        <f ca="1">IFERROR(__xludf.DUMMYFUNCTION("LOWER(REGEXREPLACE(B409&amp;"" ""&amp;C409,""[^а-яa-z0-9 ]"","" ""))")," аза  хал ыны   лтты  ки мдер    ациональная одежда казахского народа   ational clofhes of  azakh people  каз   рус   англ яз    инаят   ")</f>
        <v xml:space="preserve"> аза  хал ыны   лтты  ки мдер    ациональная одежда казахского народа   ational clofhes of  azakh people  каз   рус   англ яз    инаят   </v>
      </c>
      <c r="G409" s="4" t="str">
        <f ca="1">IFERROR(__xludf.DUMMYFUNCTION("TEXTJOIN(""|"",TRUE,UNIQUE(FILTER(SPLIT(F409,"" ""),LEN(SPLIT(F409,"" ""))&gt;2)))"),"аза|хал|ыны|лтты|мдер|ациональная|одежда|казахского|народа|ational|clofhes|azakh|people|каз|рус|англ|инаят")</f>
        <v>аза|хал|ыны|лтты|мдер|ациональная|одежда|казахского|народа|ational|clofhes|azakh|people|каз|рус|англ|инаят</v>
      </c>
      <c r="I409" s="1"/>
      <c r="J409" s="1"/>
    </row>
    <row r="410" spans="1:10" x14ac:dyDescent="0.2">
      <c r="A410" s="8" t="s">
        <v>2394</v>
      </c>
      <c r="B410" s="7" t="s">
        <v>2393</v>
      </c>
      <c r="C410" s="7" t="s">
        <v>2385</v>
      </c>
      <c r="D410" s="6">
        <v>25100</v>
      </c>
      <c r="E410" s="5">
        <v>1</v>
      </c>
      <c r="F410" s="4" t="str">
        <f ca="1">IFERROR(__xludf.DUMMYFUNCTION("LOWER(REGEXREPLACE(B410&amp;"" ""&amp;C410,""[^а-яa-z0-9 ]"","" ""))")," аза стан  оры тары   аповедный  азахстан  azakhstan protected wilderness  каз рус англ   кушкин   ")</f>
        <v xml:space="preserve"> аза стан  оры тары   аповедный  азахстан  azakhstan protected wilderness  каз рус англ   кушкин   </v>
      </c>
      <c r="G410" s="4" t="str">
        <f ca="1">IFERROR(__xludf.DUMMYFUNCTION("TEXTJOIN(""|"",TRUE,UNIQUE(FILTER(SPLIT(F410,"" ""),LEN(SPLIT(F410,"" ""))&gt;2)))"),"аза|стан|оры|тары|аповедный|азахстан|azakhstan|protected|wilderness|каз|рус|англ|кушкин")</f>
        <v>аза|стан|оры|тары|аповедный|азахстан|azakhstan|protected|wilderness|каз|рус|англ|кушкин</v>
      </c>
      <c r="I410" s="1"/>
      <c r="J410" s="1"/>
    </row>
    <row r="411" spans="1:10" x14ac:dyDescent="0.2">
      <c r="A411" s="8" t="s">
        <v>2392</v>
      </c>
      <c r="B411" s="7" t="s">
        <v>2391</v>
      </c>
      <c r="C411" s="7" t="s">
        <v>2388</v>
      </c>
      <c r="D411" s="6">
        <v>11000</v>
      </c>
      <c r="E411" s="5">
        <v>1</v>
      </c>
      <c r="F411" s="4" t="str">
        <f ca="1">IFERROR(__xludf.DUMMYFUNCTION("LOWER(REGEXREPLACE(B411&amp;"" ""&amp;C411,""[^а-яa-z0-9 ]"","" ""))")," аза стан хал ы ертег лер   4 7 жас аралы ында ы балалар а арнал ан   растар ан     лпей сова")</f>
        <v xml:space="preserve"> аза стан хал ы ертег лер   4 7 жас аралы ында ы балалар а арнал ан   растар ан     лпей сова</v>
      </c>
      <c r="G411" s="4" t="str">
        <f ca="1">IFERROR(__xludf.DUMMYFUNCTION("TEXTJOIN(""|"",TRUE,UNIQUE(FILTER(SPLIT(F411,"" ""),LEN(SPLIT(F411,"" ""))&gt;2)))"),"аза|стан|хал|ертег|лер|жас|аралы|ында|балалар|арнал|растар|лпей|сова")</f>
        <v>аза|стан|хал|ертег|лер|жас|аралы|ында|балалар|арнал|растар|лпей|сова</v>
      </c>
      <c r="I411" s="1"/>
      <c r="J411" s="1"/>
    </row>
    <row r="412" spans="1:10" x14ac:dyDescent="0.2">
      <c r="A412" s="8" t="s">
        <v>2390</v>
      </c>
      <c r="B412" s="7" t="s">
        <v>2389</v>
      </c>
      <c r="C412" s="7" t="s">
        <v>2388</v>
      </c>
      <c r="D412" s="6">
        <v>11000</v>
      </c>
      <c r="E412" s="5">
        <v>1</v>
      </c>
      <c r="F412" s="4" t="str">
        <f ca="1">IFERROR(__xludf.DUMMYFUNCTION("LOWER(REGEXREPLACE(B412&amp;"" ""&amp;C412,""[^а-яa-z0-9 ]"","" ""))")," аза стан хал ы ертег лер   8 11 жас аралы ында ы балалар а арнал ан   растар ан     лпей сова")</f>
        <v xml:space="preserve"> аза стан хал ы ертег лер   8 11 жас аралы ында ы балалар а арнал ан   растар ан     лпей сова</v>
      </c>
      <c r="G412" s="4" t="str">
        <f ca="1">IFERROR(__xludf.DUMMYFUNCTION("TEXTJOIN(""|"",TRUE,UNIQUE(FILTER(SPLIT(F412,"" ""),LEN(SPLIT(F412,"" ""))&gt;2)))"),"аза|стан|хал|ертег|лер|жас|аралы|ында|балалар|арнал|растар|лпей|сова")</f>
        <v>аза|стан|хал|ертег|лер|жас|аралы|ында|балалар|арнал|растар|лпей|сова</v>
      </c>
      <c r="I412" s="1"/>
      <c r="J412" s="1"/>
    </row>
    <row r="413" spans="1:10" x14ac:dyDescent="0.2">
      <c r="A413" s="8" t="s">
        <v>2387</v>
      </c>
      <c r="B413" s="7" t="s">
        <v>2386</v>
      </c>
      <c r="C413" s="7" t="s">
        <v>2385</v>
      </c>
      <c r="D413" s="6">
        <v>31900</v>
      </c>
      <c r="E413" s="5">
        <v>1</v>
      </c>
      <c r="F413" s="4" t="str">
        <f ca="1">IFERROR(__xludf.DUMMYFUNCTION("LOWER(REGEXREPLACE(B413&amp;"" ""&amp;C413,""[^а-яa-z0-9 ]"","" ""))")," аза станны   ажайып таби аты  дивительная природа  азахстана  he wondering nature of  azakhstan  каз   рус   англ яз    кушкин   ")</f>
        <v xml:space="preserve"> аза станны   ажайып таби аты  дивительная природа  азахстана  he wondering nature of  azakhstan  каз   рус   англ яз    кушкин   </v>
      </c>
      <c r="G413" s="4" t="str">
        <f ca="1">IFERROR(__xludf.DUMMYFUNCTION("TEXTJOIN(""|"",TRUE,UNIQUE(FILTER(SPLIT(F413,"" ""),LEN(SPLIT(F413,"" ""))&gt;2)))"),"аза|станны|ажайып|таби|аты|дивительная|природа|азахстана|wondering|nature|azakhstan|каз|рус|англ|кушкин")</f>
        <v>аза|станны|ажайып|таби|аты|дивительная|природа|азахстана|wondering|nature|azakhstan|каз|рус|англ|кушкин</v>
      </c>
      <c r="I413" s="1"/>
      <c r="J413" s="1"/>
    </row>
    <row r="414" spans="1:10" x14ac:dyDescent="0.2">
      <c r="A414" s="8" t="s">
        <v>2384</v>
      </c>
      <c r="B414" s="7" t="s">
        <v>2383</v>
      </c>
      <c r="C414" s="7" t="s">
        <v>2382</v>
      </c>
      <c r="D414" s="6">
        <v>19900</v>
      </c>
      <c r="E414" s="5">
        <v>1</v>
      </c>
      <c r="F414" s="4" t="str">
        <f ca="1">IFERROR(__xludf.DUMMYFUNCTION("LOWER(REGEXREPLACE(B414&amp;"" ""&amp;C414,""[^а-яa-z0-9 ]"","" ""))")," алалар а  аза стан  еспубликасыны   онституциясы туралы  спанова   ")</f>
        <v xml:space="preserve"> алалар а  аза стан  еспубликасыны   онституциясы туралы  спанова   </v>
      </c>
      <c r="G414" s="4" t="str">
        <f ca="1">IFERROR(__xludf.DUMMYFUNCTION("TEXTJOIN(""|"",TRUE,UNIQUE(FILTER(SPLIT(F414,"" ""),LEN(SPLIT(F414,"" ""))&gt;2)))"),"алалар|аза|стан|еспубликасыны|онституциясы|туралы|спанова")</f>
        <v>алалар|аза|стан|еспубликасыны|онституциясы|туралы|спанова</v>
      </c>
      <c r="I414" s="1"/>
      <c r="J414" s="1"/>
    </row>
    <row r="415" spans="1:10" x14ac:dyDescent="0.2">
      <c r="A415" s="8" t="s">
        <v>2381</v>
      </c>
      <c r="B415" s="7" t="s">
        <v>2380</v>
      </c>
      <c r="C415" s="7" t="s">
        <v>2379</v>
      </c>
      <c r="D415" s="6">
        <v>23900</v>
      </c>
      <c r="E415" s="5">
        <v>1</v>
      </c>
      <c r="F415" s="4" t="str">
        <f ca="1">IFERROR(__xludf.DUMMYFUNCTION("LOWER(REGEXREPLACE(B415&amp;"" ""&amp;C415,""[^а-яa-z0-9 ]"","" ""))")," аза ты  дар ан дастар аны   ациональная кухня казахов  енжеахмет лы   ")</f>
        <v xml:space="preserve"> аза ты  дар ан дастар аны   ациональная кухня казахов  енжеахмет лы   </v>
      </c>
      <c r="G415" s="4" t="str">
        <f ca="1">IFERROR(__xludf.DUMMYFUNCTION("TEXTJOIN(""|"",TRUE,UNIQUE(FILTER(SPLIT(F415,"" ""),LEN(SPLIT(F415,"" ""))&gt;2)))"),"аза|дар|дастар|аны|ациональная|кухня|казахов|енжеахмет")</f>
        <v>аза|дар|дастар|аны|ациональная|кухня|казахов|енжеахмет</v>
      </c>
      <c r="I415" s="1"/>
      <c r="J415" s="1"/>
    </row>
    <row r="416" spans="1:10" x14ac:dyDescent="0.2">
      <c r="A416" s="8" t="s">
        <v>2378</v>
      </c>
      <c r="B416" s="7" t="s">
        <v>2377</v>
      </c>
      <c r="C416" s="7" t="s">
        <v>2376</v>
      </c>
      <c r="D416" s="6">
        <v>21000</v>
      </c>
      <c r="E416" s="5">
        <v>1</v>
      </c>
      <c r="F416" s="4" t="str">
        <f ca="1">IFERROR(__xludf.DUMMYFUNCTION("LOWER(REGEXREPLACE(B416&amp;"" ""&amp;C416,""[^а-яa-z0-9 ]"","" ""))")," аза ты  д стурл  кару жара ыны  этнографиясы     хметжан")</f>
        <v xml:space="preserve"> аза ты  д стурл  кару жара ыны  этнографиясы     хметжан</v>
      </c>
      <c r="G416" s="4" t="str">
        <f ca="1">IFERROR(__xludf.DUMMYFUNCTION("TEXTJOIN(""|"",TRUE,UNIQUE(FILTER(SPLIT(F416,"" ""),LEN(SPLIT(F416,"" ""))&gt;2)))"),"аза|стурл|кару|жара|ыны|этнографиясы|хметжан")</f>
        <v>аза|стурл|кару|жара|ыны|этнографиясы|хметжан</v>
      </c>
      <c r="I416" s="1"/>
      <c r="J416" s="1"/>
    </row>
    <row r="417" spans="1:10" x14ac:dyDescent="0.2">
      <c r="A417" s="8" t="s">
        <v>2375</v>
      </c>
      <c r="B417" s="7" t="s">
        <v>2374</v>
      </c>
      <c r="C417" s="7" t="s">
        <v>2373</v>
      </c>
      <c r="D417" s="6">
        <v>21900</v>
      </c>
      <c r="E417" s="5">
        <v>1</v>
      </c>
      <c r="F417" s="4" t="str">
        <f ca="1">IFERROR(__xludf.DUMMYFUNCTION("LOWER(REGEXREPLACE(B417&amp;"" ""&amp;C417,""[^а-яa-z0-9 ]"","" ""))")," аза ты  д стурл  музыкалы  аспаптары  акишева   ")</f>
        <v xml:space="preserve"> аза ты  д стурл  музыкалы  аспаптары  акишева   </v>
      </c>
      <c r="G417" s="4" t="str">
        <f ca="1">IFERROR(__xludf.DUMMYFUNCTION("TEXTJOIN(""|"",TRUE,UNIQUE(FILTER(SPLIT(F417,"" ""),LEN(SPLIT(F417,"" ""))&gt;2)))"),"аза|стурл|музыкалы|аспаптары|акишева")</f>
        <v>аза|стурл|музыкалы|аспаптары|акишева</v>
      </c>
      <c r="I417" s="1"/>
      <c r="J417" s="1"/>
    </row>
    <row r="418" spans="1:10" x14ac:dyDescent="0.2">
      <c r="A418" s="8" t="s">
        <v>2372</v>
      </c>
      <c r="B418" s="7" t="s">
        <v>2371</v>
      </c>
      <c r="C418" s="7" t="s">
        <v>2370</v>
      </c>
      <c r="D418" s="6">
        <v>23900</v>
      </c>
      <c r="E418" s="5">
        <v>1</v>
      </c>
      <c r="F418" s="4" t="str">
        <f ca="1">IFERROR(__xludf.DUMMYFUNCTION("LOWER(REGEXREPLACE(B418&amp;"" ""&amp;C418,""[^а-яa-z0-9 ]"","" ""))")," аза ты  д ст рл    ра  б йымдары   радиционные лоскутные изделия казахов   azakh traditional patchwork  каз   рус   англ яз    екеева     ")</f>
        <v xml:space="preserve"> аза ты  д ст рл    ра  б йымдары   радиционные лоскутные изделия казахов   azakh traditional patchwork  каз   рус   англ яз    екеева     </v>
      </c>
      <c r="G418" s="4" t="str">
        <f ca="1">IFERROR(__xludf.DUMMYFUNCTION("TEXTJOIN(""|"",TRUE,UNIQUE(FILTER(SPLIT(F418,"" ""),LEN(SPLIT(F418,"" ""))&gt;2)))"),"аза|йымдары|радиционные|лоскутные|изделия|казахов|azakh|traditional|patchwork|каз|рус|англ|екеева")</f>
        <v>аза|йымдары|радиционные|лоскутные|изделия|казахов|azakh|traditional|patchwork|каз|рус|англ|екеева</v>
      </c>
      <c r="I418" s="1"/>
      <c r="J418" s="1"/>
    </row>
    <row r="419" spans="1:10" x14ac:dyDescent="0.2">
      <c r="A419" s="8" t="s">
        <v>2369</v>
      </c>
      <c r="B419" s="7" t="s">
        <v>2368</v>
      </c>
      <c r="C419" s="7" t="s">
        <v>2367</v>
      </c>
      <c r="D419" s="6">
        <v>23900</v>
      </c>
      <c r="E419" s="5">
        <v>1</v>
      </c>
      <c r="F419" s="4" t="str">
        <f ca="1">IFERROR(__xludf.DUMMYFUNCTION("LOWER(REGEXREPLACE(B419&amp;"" ""&amp;C419,""[^а-яa-z0-9 ]"","" ""))")," аза ты  зергел к  нер   велирное искусство казахов   eweler s art of  azakhs  каз   рус   англ яз      охтабаева")</f>
        <v xml:space="preserve"> аза ты  зергел к  нер   велирное искусство казахов   eweler s art of  azakhs  каз   рус   англ яз      охтабаева</v>
      </c>
      <c r="G419" s="4" t="str">
        <f ca="1">IFERROR(__xludf.DUMMYFUNCTION("TEXTJOIN(""|"",TRUE,UNIQUE(FILTER(SPLIT(F419,"" ""),LEN(SPLIT(F419,"" ""))&gt;2)))"),"аза|зергел|нер|велирное|искусство|казахов|eweler|art|azakhs|каз|рус|англ|охтабаева")</f>
        <v>аза|зергел|нер|велирное|искусство|казахов|eweler|art|azakhs|каз|рус|англ|охтабаева</v>
      </c>
      <c r="I419" s="1"/>
      <c r="J419" s="1"/>
    </row>
    <row r="420" spans="1:10" x14ac:dyDescent="0.2">
      <c r="A420" s="8" t="s">
        <v>2366</v>
      </c>
      <c r="B420" s="7" t="s">
        <v>2365</v>
      </c>
      <c r="C420" s="7" t="s">
        <v>2364</v>
      </c>
      <c r="D420" s="6">
        <v>27900</v>
      </c>
      <c r="E420" s="5">
        <v>1</v>
      </c>
      <c r="F420" s="4" t="str">
        <f ca="1">IFERROR(__xludf.DUMMYFUNCTION("LOWER(REGEXREPLACE(B420&amp;"" ""&amp;C420,""[^а-яa-z0-9 ]"","" ""))")," аза ты  кесте т гу  нер    ышивальное искусство казахов   mbroidery art of  azakhs  охтабаева   ")</f>
        <v xml:space="preserve"> аза ты  кесте т гу  нер    ышивальное искусство казахов   mbroidery art of  azakhs  охтабаева   </v>
      </c>
      <c r="G420" s="4" t="str">
        <f ca="1">IFERROR(__xludf.DUMMYFUNCTION("TEXTJOIN(""|"",TRUE,UNIQUE(FILTER(SPLIT(F420,"" ""),LEN(SPLIT(F420,"" ""))&gt;2)))"),"аза|кесте|нер|ышивальное|искусство|казахов|mbroidery|art|azakhs|охтабаева")</f>
        <v>аза|кесте|нер|ышивальное|искусство|казахов|mbroidery|art|azakhs|охтабаева</v>
      </c>
      <c r="I420" s="1"/>
      <c r="J420" s="1"/>
    </row>
    <row r="421" spans="1:10" x14ac:dyDescent="0.2">
      <c r="A421" s="8" t="s">
        <v>2363</v>
      </c>
      <c r="B421" s="7" t="s">
        <v>2362</v>
      </c>
      <c r="C421" s="7"/>
      <c r="D421" s="6">
        <v>1700</v>
      </c>
      <c r="E421" s="5">
        <v>1</v>
      </c>
      <c r="F421" s="4" t="str">
        <f ca="1">IFERROR(__xludf.DUMMYFUNCTION("LOWER(REGEXREPLACE(B421&amp;"" ""&amp;C421,""[^а-яa-z0-9 ]"","" ""))")," алай сыпайы с йлесуге болады   ак вести себя вежливо   ow to speak well ")</f>
        <v xml:space="preserve"> алай сыпайы с йлесуге болады   ак вести себя вежливо   ow to speak well </v>
      </c>
      <c r="G421" s="4" t="str">
        <f ca="1">IFERROR(__xludf.DUMMYFUNCTION("TEXTJOIN(""|"",TRUE,UNIQUE(FILTER(SPLIT(F421,"" ""),LEN(SPLIT(F421,"" ""))&gt;2)))"),"алай|сыпайы|йлесуге|болады|вести|себя|вежливо|speak|well")</f>
        <v>алай|сыпайы|йлесуге|болады|вести|себя|вежливо|speak|well</v>
      </c>
      <c r="I421" s="1"/>
      <c r="J421" s="1"/>
    </row>
    <row r="422" spans="1:10" x14ac:dyDescent="0.2">
      <c r="A422" s="8" t="s">
        <v>2361</v>
      </c>
      <c r="B422" s="7" t="s">
        <v>2360</v>
      </c>
      <c r="C422" s="7" t="s">
        <v>833</v>
      </c>
      <c r="D422" s="6">
        <v>4800</v>
      </c>
      <c r="E422" s="5">
        <v>1</v>
      </c>
      <c r="F422" s="4" t="str">
        <f ca="1">IFERROR(__xludf.DUMMYFUNCTION("LOWER(REGEXREPLACE(B422&amp;"" ""&amp;C422,""[^а-яa-z0-9 ]"","" ""))")," ара шылар туралы 10 о и а  ертолет   ")</f>
        <v xml:space="preserve"> ара шылар туралы 10 о и а  ертолет   </v>
      </c>
      <c r="G422" s="4" t="str">
        <f ca="1">IFERROR(__xludf.DUMMYFUNCTION("TEXTJOIN(""|"",TRUE,UNIQUE(FILTER(SPLIT(F422,"" ""),LEN(SPLIT(F422,"" ""))&gt;2)))"),"ара|шылар|туралы|ертолет")</f>
        <v>ара|шылар|туралы|ертолет</v>
      </c>
      <c r="I422" s="1"/>
      <c r="J422" s="1"/>
    </row>
    <row r="423" spans="1:10" x14ac:dyDescent="0.2">
      <c r="A423" s="8" t="s">
        <v>2359</v>
      </c>
      <c r="B423" s="7" t="s">
        <v>2358</v>
      </c>
      <c r="C423" s="7" t="s">
        <v>2349</v>
      </c>
      <c r="D423" s="6">
        <v>7900</v>
      </c>
      <c r="E423" s="5">
        <v>1</v>
      </c>
      <c r="F423" s="4" t="str">
        <f ca="1">IFERROR(__xludf.DUMMYFUNCTION("LOWER(REGEXREPLACE(B423&amp;"" ""&amp;C423,""[^а-яa-z0-9 ]"","" ""))")," обыланды батыр  каз   а ылш    ей мдеген    ум сбаев")</f>
        <v xml:space="preserve"> обыланды батыр  каз   а ылш    ей мдеген    ум сбаев</v>
      </c>
      <c r="G423" s="4" t="str">
        <f ca="1">IFERROR(__xludf.DUMMYFUNCTION("TEXTJOIN(""|"",TRUE,UNIQUE(FILTER(SPLIT(F423,"" ""),LEN(SPLIT(F423,"" ""))&gt;2)))"),"обыланды|батыр|каз|ылш|мдеген|сбаев")</f>
        <v>обыланды|батыр|каз|ылш|мдеген|сбаев</v>
      </c>
      <c r="I423" s="1"/>
      <c r="J423" s="1"/>
    </row>
    <row r="424" spans="1:10" x14ac:dyDescent="0.2">
      <c r="A424" s="8" t="s">
        <v>2357</v>
      </c>
      <c r="B424" s="7" t="s">
        <v>2356</v>
      </c>
      <c r="C424" s="7" t="s">
        <v>2355</v>
      </c>
      <c r="D424" s="6">
        <v>6400</v>
      </c>
      <c r="E424" s="5">
        <v>1</v>
      </c>
      <c r="F424" s="4" t="str">
        <f ca="1">IFERROR(__xludf.DUMMYFUNCTION("LOWER(REGEXREPLACE(B424&amp;"" ""&amp;C424,""[^а-яa-z0-9 ]"","" ""))")," обыланды батыр  рус   англ    дапт   умисбаев   ")</f>
        <v xml:space="preserve"> обыланды батыр  рус   англ    дапт   умисбаев   </v>
      </c>
      <c r="G424" s="4" t="str">
        <f ca="1">IFERROR(__xludf.DUMMYFUNCTION("TEXTJOIN(""|"",TRUE,UNIQUE(FILTER(SPLIT(F424,"" ""),LEN(SPLIT(F424,"" ""))&gt;2)))"),"обыланды|батыр|рус|англ|дапт|умисбаев")</f>
        <v>обыланды|батыр|рус|англ|дапт|умисбаев</v>
      </c>
      <c r="I424" s="1"/>
      <c r="J424" s="1"/>
    </row>
    <row r="425" spans="1:10" x14ac:dyDescent="0.2">
      <c r="A425" s="8" t="s">
        <v>2354</v>
      </c>
      <c r="B425" s="7" t="s">
        <v>2353</v>
      </c>
      <c r="C425" s="7" t="s">
        <v>2352</v>
      </c>
      <c r="D425" s="6">
        <v>39900</v>
      </c>
      <c r="E425" s="5">
        <v>21</v>
      </c>
      <c r="F425" s="4" t="str">
        <f ca="1">IFERROR(__xludf.DUMMYFUNCTION("LOWER(REGEXREPLACE(B425&amp;"" ""&amp;C425,""[^а-яa-z0-9 ]"","" ""))"),"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"&amp;"улитки и камней   редназначена для сенсорных и двигательных упражнений ")</f>
        <v xml:space="preserve">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v>
      </c>
      <c r="G425" s="4" t="str">
        <f ca="1">IFERROR(__xludf.DUMMYFUNCTION("TEXTJOIN(""|"",TRUE,UNIQUE(FILTER(SPLIT(F425,"" ""),LEN(SPLIT(F425,"" ""))&gt;2)))"),"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amp;"значена|для|сенсорных|двигательных|упражнений")</f>
        <v>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v>
      </c>
      <c r="I425" s="1"/>
      <c r="J425" s="1"/>
    </row>
    <row r="426" spans="1:10" x14ac:dyDescent="0.2">
      <c r="A426" s="8" t="s">
        <v>2351</v>
      </c>
      <c r="B426" s="7" t="s">
        <v>2350</v>
      </c>
      <c r="C426" s="7" t="s">
        <v>2349</v>
      </c>
      <c r="D426" s="6">
        <v>7900</v>
      </c>
      <c r="E426" s="5">
        <v>1</v>
      </c>
      <c r="F426" s="4" t="str">
        <f ca="1">IFERROR(__xludf.DUMMYFUNCTION("LOWER(REGEXREPLACE(B426&amp;"" ""&amp;C426,""[^а-яa-z0-9 ]"","" ""))")," озы  орпеш    аян сулу  каз   агылш    ей мдеген    ум сбаев")</f>
        <v xml:space="preserve"> озы  орпеш    аян сулу  каз   агылш    ей мдеген    ум сбаев</v>
      </c>
      <c r="G426" s="4" t="str">
        <f ca="1">IFERROR(__xludf.DUMMYFUNCTION("TEXTJOIN(""|"",TRUE,UNIQUE(FILTER(SPLIT(F426,"" ""),LEN(SPLIT(F426,"" ""))&gt;2)))"),"озы|орпеш|аян|сулу|каз|агылш|мдеген|сбаев")</f>
        <v>озы|орпеш|аян|сулу|каз|агылш|мдеген|сбаев</v>
      </c>
      <c r="I426" s="1"/>
      <c r="J426" s="1"/>
    </row>
    <row r="427" spans="1:10" x14ac:dyDescent="0.2">
      <c r="A427" s="8" t="s">
        <v>2348</v>
      </c>
      <c r="B427" s="7" t="s">
        <v>2347</v>
      </c>
      <c r="C427" s="7" t="s">
        <v>695</v>
      </c>
      <c r="D427" s="6">
        <v>21900</v>
      </c>
      <c r="E427" s="5">
        <v>1</v>
      </c>
      <c r="F427" s="4" t="str">
        <f ca="1">IFERROR(__xludf.DUMMYFUNCTION("LOWER(REGEXREPLACE(B427&amp;"" ""&amp;C427,""[^а-яa-z0-9 ]"","" ""))")," ош келд     з  аурыз   санды   к тап      спанова")</f>
        <v xml:space="preserve"> ош келд     з  аурыз   санды   к тап      спанова</v>
      </c>
      <c r="G427" s="4" t="str">
        <f ca="1">IFERROR(__xludf.DUMMYFUNCTION("TEXTJOIN(""|"",TRUE,UNIQUE(FILTER(SPLIT(F427,"" ""),LEN(SPLIT(F427,"" ""))&gt;2)))"),"келд|аурыз|санды|тап|спанова")</f>
        <v>келд|аурыз|санды|тап|спанова</v>
      </c>
      <c r="I427" s="1"/>
      <c r="J427" s="1"/>
    </row>
    <row r="428" spans="1:10" x14ac:dyDescent="0.2">
      <c r="A428" s="8" t="s">
        <v>2346</v>
      </c>
      <c r="B428" s="7" t="s">
        <v>2345</v>
      </c>
      <c r="C428" s="7" t="s">
        <v>2344</v>
      </c>
      <c r="D428" s="6">
        <v>4000</v>
      </c>
      <c r="E428" s="5">
        <v>1</v>
      </c>
      <c r="F428" s="4" t="str">
        <f ca="1">IFERROR(__xludf.DUMMYFUNCTION("LOWER(REGEXREPLACE(B428&amp;"" ""&amp;C428,""[^а-яa-z0-9 ]"","" ""))")," уырмаш  та па тар  жа ылтпаштар  ж мбактар мен ма ал м телдер     аева")</f>
        <v xml:space="preserve"> уырмаш  та па тар  жа ылтпаштар  ж мбактар мен ма ал м телдер     аева</v>
      </c>
      <c r="G428" s="4" t="str">
        <f ca="1">IFERROR(__xludf.DUMMYFUNCTION("TEXTJOIN(""|"",TRUE,UNIQUE(FILTER(SPLIT(F428,"" ""),LEN(SPLIT(F428,"" ""))&gt;2)))"),"уырмаш|тар|ылтпаштар|мбактар|мен|телдер|аева")</f>
        <v>уырмаш|тар|ылтпаштар|мбактар|мен|телдер|аева</v>
      </c>
      <c r="I428" s="1"/>
      <c r="J428" s="1"/>
    </row>
    <row r="429" spans="1:10" x14ac:dyDescent="0.2">
      <c r="A429" s="8" t="s">
        <v>2343</v>
      </c>
      <c r="B429" s="7" t="s">
        <v>2342</v>
      </c>
      <c r="C429" s="7" t="s">
        <v>2341</v>
      </c>
      <c r="D429" s="6">
        <v>6100</v>
      </c>
      <c r="E429" s="5">
        <v>5</v>
      </c>
      <c r="F429" s="4" t="str">
        <f ca="1">IFERROR(__xludf.DUMMYFUNCTION("LOWER(REGEXREPLACE(B429&amp;"" ""&amp;C429,""[^а-яa-z0-9 ]"","" ""))"),"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f>
        <v xml:space="preserve">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v>
      </c>
      <c r="G429" s="4" t="str">
        <f ca="1">IFERROR(__xludf.DUMMYFUNCTION("TEXTJOIN(""|"",TRUE,UNIQUE(FILTER(SPLIT(F429,"" ""),LEN(SPLIT(F429,"" ""))&gt;2)))"),"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f>
        <v>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v>
      </c>
      <c r="I429" s="1"/>
      <c r="J429" s="1"/>
    </row>
    <row r="430" spans="1:10" x14ac:dyDescent="0.2">
      <c r="A430" s="8" t="s">
        <v>2340</v>
      </c>
      <c r="B430" s="7" t="s">
        <v>2339</v>
      </c>
      <c r="C430" s="7" t="s">
        <v>2338</v>
      </c>
      <c r="D430" s="6">
        <v>7000</v>
      </c>
      <c r="E430" s="5">
        <v>1</v>
      </c>
      <c r="F430" s="4" t="str">
        <f ca="1">IFERROR(__xludf.DUMMYFUNCTION("LOWER(REGEXREPLACE(B430&amp;"" ""&amp;C430,""[^а-яa-z0-9 ]"","" ""))")," ыз  iбек  каз    ей мдеген    айзулла лы")</f>
        <v xml:space="preserve"> ыз  iбек  каз    ей мдеген    айзулла лы</v>
      </c>
      <c r="G430" s="4" t="str">
        <f ca="1">IFERROR(__xludf.DUMMYFUNCTION("TEXTJOIN(""|"",TRUE,UNIQUE(FILTER(SPLIT(F430,"" ""),LEN(SPLIT(F430,"" ""))&gt;2)))"),"iбек|каз|мдеген|айзулла")</f>
        <v>iбек|каз|мдеген|айзулла</v>
      </c>
      <c r="I430" s="1"/>
      <c r="J430" s="1"/>
    </row>
    <row r="431" spans="1:10" x14ac:dyDescent="0.2">
      <c r="A431" s="8" t="s">
        <v>2337</v>
      </c>
      <c r="B431" s="7" t="s">
        <v>2336</v>
      </c>
      <c r="C431" s="7" t="s">
        <v>2335</v>
      </c>
      <c r="D431" s="6">
        <v>5800</v>
      </c>
      <c r="E431" s="5">
        <v>1</v>
      </c>
      <c r="F431" s="4" t="str">
        <f ca="1">IFERROR(__xludf.DUMMYFUNCTION("LOWER(REGEXREPLACE(B431&amp;"" ""&amp;C431,""[^а-яa-z0-9 ]"","" ""))")," ыз  iбек  рус    дапт      айзулла лы")</f>
        <v xml:space="preserve"> ыз  iбек  рус    дапт      айзулла лы</v>
      </c>
      <c r="G431" s="4" t="str">
        <f ca="1">IFERROR(__xludf.DUMMYFUNCTION("TEXTJOIN(""|"",TRUE,UNIQUE(FILTER(SPLIT(F431,"" ""),LEN(SPLIT(F431,"" ""))&gt;2)))"),"iбек|рус|дапт|айзулла")</f>
        <v>iбек|рус|дапт|айзулла</v>
      </c>
      <c r="I431" s="1"/>
      <c r="J431" s="1"/>
    </row>
    <row r="432" spans="1:10" x14ac:dyDescent="0.2">
      <c r="A432" s="8" t="s">
        <v>2334</v>
      </c>
      <c r="B432" s="7" t="s">
        <v>2333</v>
      </c>
      <c r="C432" s="7"/>
      <c r="D432" s="6">
        <v>1700</v>
      </c>
      <c r="E432" s="5">
        <v>1</v>
      </c>
      <c r="F432" s="4" t="str">
        <f ca="1">IFERROR(__xludf.DUMMYFUNCTION("LOWER(REGEXREPLACE(B432&amp;"" ""&amp;C432,""[^а-яa-z0-9 ]"","" ""))")," ыз аныштан  алай   тыламын   ак побороть в себе зависть   ow to remove jealousy ")</f>
        <v xml:space="preserve"> ыз аныштан  алай   тыламын   ак побороть в себе зависть   ow to remove jealousy </v>
      </c>
      <c r="G432" s="4" t="str">
        <f ca="1">IFERROR(__xludf.DUMMYFUNCTION("TEXTJOIN(""|"",TRUE,UNIQUE(FILTER(SPLIT(F432,"" ""),LEN(SPLIT(F432,"" ""))&gt;2)))"),"аныштан|алай|тыламын|побороть|себе|зависть|remove|jealousy")</f>
        <v>аныштан|алай|тыламын|побороть|себе|зависть|remove|jealousy</v>
      </c>
      <c r="I432" s="1"/>
      <c r="J432" s="1"/>
    </row>
    <row r="433" spans="1:10" x14ac:dyDescent="0.2">
      <c r="A433" s="8" t="s">
        <v>2332</v>
      </c>
      <c r="B433" s="7" t="s">
        <v>2331</v>
      </c>
      <c r="C433" s="7" t="s">
        <v>2330</v>
      </c>
      <c r="D433" s="6">
        <v>10500</v>
      </c>
      <c r="E433" s="5">
        <v>2</v>
      </c>
      <c r="F433" s="4" t="str">
        <f ca="1">IFERROR(__xludf.DUMMYFUNCTION("LOWER(REGEXREPLACE(B433&amp;"" ""&amp;C433,""[^а-яa-z0-9 ]"","" ""))"),"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де"&amp;"тской среде ")</f>
        <v xml:space="preserve">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v>
      </c>
      <c r="G433" s="4" t="str">
        <f ca="1">IFERROR(__xludf.DUMMYFUNCTION("TEXTJOIN(""|"",TRUE,UNIQUE(FILTER(SPLIT(F433,"" ""),LEN(SPLIT(F433,"" ""))&gt;2)))"),"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f>
        <v>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v>
      </c>
      <c r="I433" s="1"/>
      <c r="J433" s="1"/>
    </row>
    <row r="434" spans="1:10" x14ac:dyDescent="0.2">
      <c r="A434" s="8" t="s">
        <v>2329</v>
      </c>
      <c r="B434" s="7" t="s">
        <v>2328</v>
      </c>
      <c r="C434" s="7" t="s">
        <v>2327</v>
      </c>
      <c r="D434" s="6">
        <v>3600</v>
      </c>
      <c r="E434" s="5">
        <v>1</v>
      </c>
      <c r="F434" s="4" t="str">
        <f ca="1">IFERROR(__xludf.DUMMYFUNCTION("LOWER(REGEXREPLACE(B434&amp;"" ""&amp;C434,""[^а-яa-z0-9 ]"","" ""))")," еонардо да  инчи   eonardo da  inci  каз   рус   англ яз    арен  ол  перевод  ужикова      санова    ")</f>
        <v xml:space="preserve"> еонардо да  инчи   eonardo da  inci  каз   рус   англ яз    арен  ол  перевод  ужикова      санова    </v>
      </c>
      <c r="G434" s="4" t="str">
        <f ca="1">IFERROR(__xludf.DUMMYFUNCTION("TEXTJOIN(""|"",TRUE,UNIQUE(FILTER(SPLIT(F434,"" ""),LEN(SPLIT(F434,"" ""))&gt;2)))"),"еонардо|инчи|eonardo|inci|каз|рус|англ|арен|перевод|ужикова|санова")</f>
        <v>еонардо|инчи|eonardo|inci|каз|рус|англ|арен|перевод|ужикова|санова</v>
      </c>
      <c r="I434" s="1"/>
      <c r="J434" s="1"/>
    </row>
    <row r="435" spans="1:10" x14ac:dyDescent="0.2">
      <c r="A435" s="8" t="s">
        <v>2326</v>
      </c>
      <c r="B435" s="7" t="s">
        <v>2325</v>
      </c>
      <c r="C435" s="7" t="s">
        <v>2324</v>
      </c>
      <c r="D435" s="6">
        <v>5400</v>
      </c>
      <c r="E435" s="5">
        <v>2</v>
      </c>
      <c r="F435" s="4" t="str">
        <f ca="1">IFERROR(__xludf.DUMMYFUNCTION("LOWER(REGEXREPLACE(B435&amp;"" ""&amp;C435,""[^а-яa-z0-9 ]"","" ""))"),"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f>
        <v xml:space="preserve">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v>
      </c>
      <c r="G435" s="4" t="str">
        <f ca="1">IFERROR(__xludf.DUMMYFUNCTION("TEXTJOIN(""|"",TRUE,UNIQUE(FILTER(SPLIT(F435,"" ""),LEN(SPLIT(F435,"" ""))&gt;2)))"),"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f>
        <v>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v>
      </c>
      <c r="I435" s="1"/>
      <c r="J435" s="1"/>
    </row>
    <row r="436" spans="1:10" x14ac:dyDescent="0.2">
      <c r="A436" s="8" t="s">
        <v>2323</v>
      </c>
      <c r="B436" s="7" t="s">
        <v>2322</v>
      </c>
      <c r="C436" s="7" t="s">
        <v>2321</v>
      </c>
      <c r="D436" s="6">
        <v>7600</v>
      </c>
      <c r="E436" s="5">
        <v>2</v>
      </c>
      <c r="F436" s="4" t="str">
        <f ca="1">IFERROR(__xludf.DUMMYFUNCTION("LOWER(REGEXREPLACE(B436&amp;"" ""&amp;C436,""[^а-яa-z0-9 ]"","" ""))"),"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удержани"&amp;"е баланса   азмер подушки составляет не менее 16 16 см   атериал водонепроницаемый и рассчитан на многократное использование ")</f>
        <v xml:space="preserve">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v>
      </c>
      <c r="G436" s="4" t="str">
        <f ca="1">IFERROR(__xludf.DUMMYFUNCTION("TEXTJOIN(""|"",TRUE,UNIQUE(FILTER(SPLIT(F436,"" ""),LEN(SPLIT(F436,"" ""))&gt;2)))"),"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amp;"|подушки|составляет|менее|атериал|водонепроницаемый|рассчитан|многократное|использование")</f>
        <v>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v>
      </c>
      <c r="I436" s="1"/>
      <c r="J436" s="1"/>
    </row>
    <row r="437" spans="1:10" x14ac:dyDescent="0.2">
      <c r="A437" s="8" t="s">
        <v>2320</v>
      </c>
      <c r="B437" s="7" t="s">
        <v>2319</v>
      </c>
      <c r="C437" s="7" t="s">
        <v>2318</v>
      </c>
      <c r="D437" s="6">
        <v>45000</v>
      </c>
      <c r="E437" s="5">
        <v>1</v>
      </c>
      <c r="F437" s="4" t="str">
        <f ca="1">IFERROR(__xludf.DUMMYFUNCTION("LOWER(REGEXREPLACE(B437&amp;"" ""&amp;C437,""[^а-яa-z0-9 ]"","" ""))"),"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f>
        <v xml:space="preserve">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v>
      </c>
      <c r="G437" s="4" t="str">
        <f ca="1">IFERROR(__xludf.DUMMYFUNCTION("TEXTJOIN(""|"",TRUE,UNIQUE(FILTER(SPLIT(F437,"" ""),LEN(SPLIT(F437,"" ""))&gt;2)))"),"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f>
        <v>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v>
      </c>
      <c r="I437" s="1"/>
      <c r="J437" s="1"/>
    </row>
    <row r="438" spans="1:10" x14ac:dyDescent="0.2">
      <c r="A438" s="8" t="s">
        <v>2317</v>
      </c>
      <c r="B438" s="7" t="s">
        <v>2316</v>
      </c>
      <c r="C438" s="7" t="s">
        <v>2315</v>
      </c>
      <c r="D438" s="6">
        <v>4700</v>
      </c>
      <c r="E438" s="5">
        <v>2</v>
      </c>
      <c r="F438" s="4" t="str">
        <f ca="1">IFERROR(__xludf.DUMMYFUNCTION("LOWER(REGEXREPLACE(B438&amp;"" ""&amp;C438,""[^а-яa-z0-9 ]"","" ""))"),"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f>
        <v xml:space="preserve">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v>
      </c>
      <c r="G438" s="4" t="str">
        <f ca="1">IFERROR(__xludf.DUMMYFUNCTION("TEXTJOIN(""|"",TRUE,UNIQUE(FILTER(SPLIT(F438,"" ""),LEN(SPLIT(F438,"" ""))&gt;2)))"),"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f>
        <v>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v>
      </c>
      <c r="I438" s="1"/>
      <c r="J438" s="1"/>
    </row>
    <row r="439" spans="1:10" x14ac:dyDescent="0.2">
      <c r="A439" s="8" t="s">
        <v>2314</v>
      </c>
      <c r="B439" s="7" t="s">
        <v>2313</v>
      </c>
      <c r="C439" s="7" t="s">
        <v>2312</v>
      </c>
      <c r="D439" s="6">
        <v>8600</v>
      </c>
      <c r="E439" s="5">
        <v>2</v>
      </c>
      <c r="F439" s="4" t="str">
        <f ca="1">IFERROR(__xludf.DUMMYFUNCTION("LOWER(REGEXREPLACE(B439&amp;"" ""&amp;C439,""[^а-яa-z0-9 ]"","" ""))"),"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f>
        <v xml:space="preserve">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v>
      </c>
      <c r="G439" s="4" t="str">
        <f ca="1">IFERROR(__xludf.DUMMYFUNCTION("TEXTJOIN(""|"",TRUE,UNIQUE(FILTER(SPLIT(F439,"" ""),LEN(SPLIT(F439,"" ""))&gt;2)))"),"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f>
        <v>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v>
      </c>
      <c r="I439" s="1"/>
      <c r="J439" s="1"/>
    </row>
    <row r="440" spans="1:10" x14ac:dyDescent="0.2">
      <c r="A440" s="8" t="s">
        <v>2311</v>
      </c>
      <c r="B440" s="7" t="s">
        <v>2310</v>
      </c>
      <c r="C440" s="7" t="s">
        <v>2309</v>
      </c>
      <c r="D440" s="6">
        <v>7600</v>
      </c>
      <c r="E440" s="5">
        <v>1</v>
      </c>
      <c r="F440" s="4" t="str">
        <f ca="1">IFERROR(__xludf.DUMMYFUNCTION("LOWER(REGEXREPLACE(B440&amp;"" ""&amp;C440,""[^а-яa-z0-9 ]"","" ""))"),"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f>
        <v xml:space="preserve">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v>
      </c>
      <c r="G440" s="4" t="str">
        <f ca="1">IFERROR(__xludf.DUMMYFUNCTION("TEXTJOIN(""|"",TRUE,UNIQUE(FILTER(SPLIT(F440,"" ""),LEN(SPLIT(F440,"" ""))&gt;2)))"),"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f>
        <v>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v>
      </c>
      <c r="I440" s="1"/>
      <c r="J440" s="1"/>
    </row>
    <row r="441" spans="1:10" x14ac:dyDescent="0.2">
      <c r="A441" s="8" t="s">
        <v>2308</v>
      </c>
      <c r="B441" s="7" t="s">
        <v>2307</v>
      </c>
      <c r="C441" s="7" t="s">
        <v>2306</v>
      </c>
      <c r="D441" s="6">
        <v>6500</v>
      </c>
      <c r="E441" s="5">
        <v>5</v>
      </c>
      <c r="F441" s="4" t="str">
        <f ca="1">IFERROR(__xludf.DUMMYFUNCTION("LOWER(REGEXREPLACE(B441&amp;"" ""&amp;C441,""[^а-яa-z0-9 ]"","" ""))"),"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шар"&amp;"ика ")</f>
        <v xml:space="preserve">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v>
      </c>
      <c r="G441" s="4" t="str">
        <f ca="1">IFERROR(__xludf.DUMMYFUNCTION("TEXTJOIN(""|"",TRUE,UNIQUE(FILTER(SPLIT(F441,"" ""),LEN(SPLIT(F441,"" ""))&gt;2)))"),"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f>
        <v>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v>
      </c>
      <c r="I441" s="1"/>
      <c r="J441" s="1"/>
    </row>
    <row r="442" spans="1:10" x14ac:dyDescent="0.2">
      <c r="A442" s="8" t="s">
        <v>2305</v>
      </c>
      <c r="B442" s="7" t="s">
        <v>2304</v>
      </c>
      <c r="C442" s="7" t="s">
        <v>2303</v>
      </c>
      <c r="D442" s="6">
        <v>35900</v>
      </c>
      <c r="E442" s="5">
        <v>7</v>
      </c>
      <c r="F442" s="4" t="str">
        <f ca="1">IFERROR(__xludf.DUMMYFUNCTION("LOWER(REGEXREPLACE(B442&amp;"" ""&amp;C442,""[^а-яa-z0-9 ]"","" ""))"),"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"&amp;" материал износостойкий и удобный в использовании ")</f>
        <v xml:space="preserve">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v>
      </c>
      <c r="G442" s="4" t="str">
        <f ca="1">IFERROR(__xludf.DUMMYFUNCTION("TEXTJOIN(""|"",TRUE,UNIQUE(FILTER(SPLIT(F442,"" ""),LEN(SPLIT(F442,"" ""))&gt;2)))"),"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amp;"й|удобный|использовании")</f>
        <v>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v>
      </c>
      <c r="I442" s="1"/>
      <c r="J442" s="1"/>
    </row>
    <row r="443" spans="1:10" x14ac:dyDescent="0.2">
      <c r="A443" s="8" t="s">
        <v>2302</v>
      </c>
      <c r="B443" s="7" t="s">
        <v>2301</v>
      </c>
      <c r="C443" s="7" t="s">
        <v>2300</v>
      </c>
      <c r="D443" s="6">
        <v>4000</v>
      </c>
      <c r="E443" s="5">
        <v>50</v>
      </c>
      <c r="F443" s="4" t="str">
        <f ca="1">IFERROR(__xludf.DUMMYFUNCTION("LOWER(REGEXREPLACE(B443&amp;"" ""&amp;C443,""[^а-яa-z0-9 ]"","" ""))"),"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f>
        <v xml:space="preserve">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v>
      </c>
      <c r="G443" s="4" t="str">
        <f ca="1">IFERROR(__xludf.DUMMYFUNCTION("TEXTJOIN(""|"",TRUE,UNIQUE(FILTER(SPLIT(F443,"" ""),LEN(SPLIT(F443,"" ""))&gt;2)))"),"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f>
        <v>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v>
      </c>
      <c r="I443" s="1"/>
      <c r="J443" s="1"/>
    </row>
    <row r="444" spans="1:10" x14ac:dyDescent="0.2">
      <c r="A444" s="8" t="s">
        <v>2299</v>
      </c>
      <c r="B444" s="7" t="s">
        <v>2298</v>
      </c>
      <c r="C444" s="7" t="s">
        <v>2297</v>
      </c>
      <c r="D444" s="6">
        <v>8000</v>
      </c>
      <c r="E444" s="5">
        <v>2</v>
      </c>
      <c r="F444" s="4" t="str">
        <f ca="1">IFERROR(__xludf.DUMMYFUNCTION("LOWER(REGEXREPLACE(B444&amp;"" ""&amp;C444,""[^а-яa-z0-9 ]"",""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G444" s="4" t="str">
        <f ca="1">IFERROR(__xludf.DUMMYFUNCTION("TEXTJOIN(""|"",TRUE,UNIQUE(FILTER(SPLIT(F444,"" ""),LEN(SPLIT(F444,""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I444" s="1"/>
      <c r="J444" s="1"/>
    </row>
    <row r="445" spans="1:10" x14ac:dyDescent="0.2">
      <c r="A445" s="8" t="s">
        <v>2296</v>
      </c>
      <c r="B445" s="7" t="s">
        <v>2295</v>
      </c>
      <c r="C445" s="7" t="s">
        <v>2294</v>
      </c>
      <c r="D445" s="6">
        <v>1000</v>
      </c>
      <c r="E445" s="5">
        <v>40</v>
      </c>
      <c r="F445" s="4" t="str">
        <f ca="1">IFERROR(__xludf.DUMMYFUNCTION("LOWER(REGEXREPLACE(B445&amp;"" ""&amp;C445,""[^а-яa-z0-9 ]"","" ""))"),"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f>
        <v xml:space="preserve">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v>
      </c>
      <c r="G445" s="4" t="str">
        <f ca="1">IFERROR(__xludf.DUMMYFUNCTION("TEXTJOIN(""|"",TRUE,UNIQUE(FILTER(SPLIT(F445,"" ""),LEN(SPLIT(F445,"" ""))&gt;2)))"),"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f>
        <v>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v>
      </c>
      <c r="I445" s="1"/>
      <c r="J445" s="1"/>
    </row>
    <row r="446" spans="1:10" x14ac:dyDescent="0.2">
      <c r="A446" s="8" t="s">
        <v>2293</v>
      </c>
      <c r="B446" s="7" t="s">
        <v>2292</v>
      </c>
      <c r="C446" s="7" t="s">
        <v>2291</v>
      </c>
      <c r="D446" s="6">
        <v>1400</v>
      </c>
      <c r="E446" s="5">
        <v>5</v>
      </c>
      <c r="F446" s="4" t="str">
        <f ca="1">IFERROR(__xludf.DUMMYFUNCTION("LOWER(REGEXREPLACE(B446&amp;"" ""&amp;C446,""[^а-яa-z0-9 ]"","" ""))"),"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f>
        <v xml:space="preserve">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v>
      </c>
      <c r="G446" s="4" t="str">
        <f ca="1">IFERROR(__xludf.DUMMYFUNCTION("TEXTJOIN(""|"",TRUE,UNIQUE(FILTER(SPLIT(F446,"" ""),LEN(SPLIT(F446,"" ""))&gt;2)))"),"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f>
        <v>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v>
      </c>
      <c r="I446" s="1"/>
      <c r="J446" s="1"/>
    </row>
    <row r="447" spans="1:10" x14ac:dyDescent="0.2">
      <c r="A447" s="8" t="s">
        <v>2290</v>
      </c>
      <c r="B447" s="7" t="s">
        <v>2289</v>
      </c>
      <c r="C447" s="7" t="s">
        <v>2288</v>
      </c>
      <c r="D447" s="6">
        <v>285000</v>
      </c>
      <c r="E447" s="5">
        <v>3</v>
      </c>
      <c r="F447" s="4" t="str">
        <f ca="1">IFERROR(__xludf.DUMMYFUNCTION("LOWER(REGEXREPLACE(B447&amp;"" ""&amp;C447,""[^а-яa-z0-9 ]"","" ""))"),"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коор"&amp;"динацию и устойчивость   онструкция рассчитана на напольное размещение и использование в помещениях ")</f>
        <v xml:space="preserve">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v>
      </c>
      <c r="G447" s="4" t="str">
        <f ca="1">IFERROR(__xludf.DUMMYFUNCTION("TEXTJOIN(""|"",TRUE,UNIQUE(FILTER(SPLIT(F447,"" ""),LEN(SPLIT(F447,"" ""))&gt;2)))"),"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amp;"сть|онструкция|рассчитана|напольное|размещение|использование|помещениях")</f>
        <v>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v>
      </c>
      <c r="I447" s="1"/>
      <c r="J447" s="1"/>
    </row>
    <row r="448" spans="1:10" x14ac:dyDescent="0.2">
      <c r="A448" s="8" t="s">
        <v>2287</v>
      </c>
      <c r="B448" s="7" t="s">
        <v>2286</v>
      </c>
      <c r="C448" s="7" t="s">
        <v>2285</v>
      </c>
      <c r="D448" s="6">
        <v>6800</v>
      </c>
      <c r="E448" s="5">
        <v>5</v>
      </c>
      <c r="F448" s="4" t="str">
        <f ca="1">IFERROR(__xludf.DUMMYFUNCTION("LOWER(REGEXREPLACE(B448&amp;"" ""&amp;C448,""[^а-яa-z0-9 ]"","" ""))"),"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f>
        <v xml:space="preserve">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v>
      </c>
      <c r="G448" s="4" t="str">
        <f ca="1">IFERROR(__xludf.DUMMYFUNCTION("TEXTJOIN(""|"",TRUE,UNIQUE(FILTER(SPLIT(F448,"" ""),LEN(SPLIT(F448,"" ""))&gt;2)))"),"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f>
        <v>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v>
      </c>
      <c r="I448" s="1"/>
      <c r="J448" s="1"/>
    </row>
    <row r="449" spans="1:10" x14ac:dyDescent="0.2">
      <c r="A449" s="8" t="s">
        <v>2284</v>
      </c>
      <c r="B449" s="7" t="s">
        <v>2283</v>
      </c>
      <c r="C449" s="7" t="s">
        <v>2282</v>
      </c>
      <c r="D449" s="6">
        <v>32300</v>
      </c>
      <c r="E449" s="5">
        <v>5</v>
      </c>
      <c r="F449" s="4" t="str">
        <f ca="1">IFERROR(__xludf.DUMMYFUNCTION("LOWER(REGEXREPLACE(B449&amp;"" ""&amp;C449,""[^а-яa-z0-9 ]"","" ""))"),"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f>
        <v xml:space="preserve">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v>
      </c>
      <c r="G449" s="4" t="str">
        <f ca="1">IFERROR(__xludf.DUMMYFUNCTION("TEXTJOIN(""|"",TRUE,UNIQUE(FILTER(SPLIT(F449,"" ""),LEN(SPLIT(F449,"" ""))&gt;2)))"),"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f>
        <v>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v>
      </c>
      <c r="I449" s="1"/>
      <c r="J449" s="1"/>
    </row>
    <row r="450" spans="1:10" x14ac:dyDescent="0.2">
      <c r="A450" s="8" t="s">
        <v>2281</v>
      </c>
      <c r="B450" s="7" t="s">
        <v>2280</v>
      </c>
      <c r="C450" s="7" t="s">
        <v>2279</v>
      </c>
      <c r="D450" s="6">
        <v>4600</v>
      </c>
      <c r="E450" s="5">
        <v>5</v>
      </c>
      <c r="F450" s="4" t="str">
        <f ca="1">IFERROR(__xludf.DUMMYFUNCTION("LOWER(REGEXREPLACE(B450&amp;"" ""&amp;C450,""[^а-яa-z0-9 ]"","" ""))"),"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f>
        <v xml:space="preserve">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v>
      </c>
      <c r="G450" s="4" t="str">
        <f ca="1">IFERROR(__xludf.DUMMYFUNCTION("TEXTJOIN(""|"",TRUE,UNIQUE(FILTER(SPLIT(F450,"" ""),LEN(SPLIT(F450,"" ""))&gt;2)))"),"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f>
        <v>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v>
      </c>
      <c r="I450" s="1"/>
      <c r="J450" s="1"/>
    </row>
    <row r="451" spans="1:10" x14ac:dyDescent="0.2">
      <c r="A451" s="8" t="s">
        <v>2278</v>
      </c>
      <c r="B451" s="7" t="s">
        <v>2277</v>
      </c>
      <c r="C451" s="7" t="s">
        <v>2276</v>
      </c>
      <c r="D451" s="6">
        <v>22500</v>
      </c>
      <c r="E451" s="5">
        <v>7</v>
      </c>
      <c r="F451" s="4" t="str">
        <f ca="1">IFERROR(__xludf.DUMMYFUNCTION("LOWER(REGEXREPLACE(B451&amp;"" ""&amp;C451,""[^а-яa-z0-9 ]"","" ""))"),"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f>
        <v xml:space="preserve">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v>
      </c>
      <c r="G451" s="4" t="str">
        <f ca="1">IFERROR(__xludf.DUMMYFUNCTION("TEXTJOIN(""|"",TRUE,UNIQUE(FILTER(SPLIT(F451,"" ""),LEN(SPLIT(F451,"" ""))&gt;2)))"),"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f>
        <v>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v>
      </c>
      <c r="I451" s="1"/>
      <c r="J451" s="1"/>
    </row>
    <row r="452" spans="1:10" x14ac:dyDescent="0.2">
      <c r="A452" s="8" t="s">
        <v>2275</v>
      </c>
      <c r="B452" s="7" t="s">
        <v>2274</v>
      </c>
      <c r="C452" s="7" t="s">
        <v>2273</v>
      </c>
      <c r="D452" s="6">
        <v>60600</v>
      </c>
      <c r="E452" s="5">
        <v>10</v>
      </c>
      <c r="F452" s="4" t="str">
        <f ca="1">IFERROR(__xludf.DUMMYFUNCTION("LOWER(REGEXREPLACE(B452&amp;"" ""&amp;C452,""[^а-яa-z0-9 ]"","" ""))"),"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"&amp;"развитию пространственного мышления и координации движений   оличество элементов в наборе   не менее 40  возможны варианты комплектации до 100 деталей ")</f>
        <v xml:space="preserve">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v>
      </c>
      <c r="G452" s="4" t="str">
        <f ca="1">IFERROR(__xludf.DUMMYFUNCTION("TEXTJOIN(""|"",TRUE,UNIQUE(FILTER(SPLIT(F452,"" ""),LEN(SPLIT(F452,"" ""))&gt;2)))"),"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amp;"транственного|мышления|координации|движений|оличество|элементов|наборе|менее|возможны|варианты|комплектации|100|деталей")</f>
        <v>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v>
      </c>
      <c r="I452" s="1"/>
      <c r="J452" s="1"/>
    </row>
    <row r="453" spans="1:10" x14ac:dyDescent="0.2">
      <c r="A453" s="8" t="s">
        <v>2272</v>
      </c>
      <c r="B453" s="7" t="s">
        <v>2271</v>
      </c>
      <c r="C453" s="7" t="s">
        <v>2270</v>
      </c>
      <c r="D453" s="6">
        <v>24700</v>
      </c>
      <c r="E453" s="5">
        <v>5</v>
      </c>
      <c r="F453" s="4" t="str">
        <f ca="1">IFERROR(__xludf.DUMMYFUNCTION("LOWER(REGEXREPLACE(B453&amp;"" ""&amp;C453,""[^а-яa-z0-9 ]"","" ""))"),"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f>
        <v xml:space="preserve">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v>
      </c>
      <c r="G453" s="4" t="str">
        <f ca="1">IFERROR(__xludf.DUMMYFUNCTION("TEXTJOIN(""|"",TRUE,UNIQUE(FILTER(SPLIT(F453,"" ""),LEN(SPLIT(F453,"" ""))&gt;2)))"),"агнитофон|удиооборудование|для|воспроизведения|звуковых|музыкальных|материалов|спользуется|музыкальных|занятиях|праздниках|образовательной|деятельности")</f>
        <v>агнитофон|удиооборудование|для|воспроизведения|звуковых|музыкальных|материалов|спользуется|музыкальных|занятиях|праздниках|образовательной|деятельности</v>
      </c>
      <c r="I453" s="1"/>
      <c r="J453" s="1"/>
    </row>
    <row r="454" spans="1:10" x14ac:dyDescent="0.2">
      <c r="A454" s="8" t="s">
        <v>2269</v>
      </c>
      <c r="B454" s="7" t="s">
        <v>2268</v>
      </c>
      <c r="C454" s="7" t="s">
        <v>2267</v>
      </c>
      <c r="D454" s="6">
        <v>36800</v>
      </c>
      <c r="E454" s="5">
        <v>7</v>
      </c>
      <c r="F454" s="4" t="str">
        <f ca="1">IFERROR(__xludf.DUMMYFUNCTION("LOWER(REGEXREPLACE(B454&amp;"" ""&amp;C454,""[^а-яa-z0-9 ]"","" ""))"),"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f>
        <v xml:space="preserve">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v>
      </c>
      <c r="G454" s="4" t="str">
        <f ca="1">IFERROR(__xludf.DUMMYFUNCTION("TEXTJOIN(""|"",TRUE,UNIQUE(FILTER(SPLIT(F454,"" ""),LEN(SPLIT(F454,"" ""))&gt;2)))"),"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f>
        <v>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v>
      </c>
      <c r="I454" s="1"/>
      <c r="J454" s="1"/>
    </row>
    <row r="455" spans="1:10" x14ac:dyDescent="0.2">
      <c r="A455" s="8" t="s">
        <v>2266</v>
      </c>
      <c r="B455" s="7" t="s">
        <v>2265</v>
      </c>
      <c r="C455" s="7" t="s">
        <v>2264</v>
      </c>
      <c r="D455" s="6">
        <v>5700</v>
      </c>
      <c r="E455" s="5">
        <v>10</v>
      </c>
      <c r="F455" s="4" t="str">
        <f ca="1">IFERROR(__xludf.DUMMYFUNCTION("LOWER(REGEXREPLACE(B455&amp;"" ""&amp;C455,""[^а-яa-z0-9 ]"","" ""))"),"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f>
        <v xml:space="preserve">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v>
      </c>
      <c r="G455" s="4" t="str">
        <f ca="1">IFERROR(__xludf.DUMMYFUNCTION("TEXTJOIN(""|"",TRUE,UNIQUE(FILTER(SPLIT(F455,"" ""),LEN(SPLIT(F455,"" ""))&gt;2)))"),"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f>
        <v>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v>
      </c>
      <c r="I455" s="1"/>
      <c r="J455" s="1"/>
    </row>
    <row r="456" spans="1:10" x14ac:dyDescent="0.2">
      <c r="A456" s="8" t="s">
        <v>2263</v>
      </c>
      <c r="B456" s="7" t="s">
        <v>2262</v>
      </c>
      <c r="C456" s="7" t="s">
        <v>2261</v>
      </c>
      <c r="D456" s="6">
        <v>1300</v>
      </c>
      <c r="E456" s="5">
        <v>10</v>
      </c>
      <c r="F456" s="4" t="str">
        <f ca="1">IFERROR(__xludf.DUMMYFUNCTION("LOWER(REGEXREPLACE(B456&amp;"" ""&amp;C456,""[^а-яa-z0-9 ]"","" ""))"),"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f>
        <v xml:space="preserve">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v>
      </c>
      <c r="G456" s="4" t="str">
        <f ca="1">IFERROR(__xludf.DUMMYFUNCTION("TEXTJOIN(""|"",TRUE,UNIQUE(FILTER(SPLIT(F456,"" ""),LEN(SPLIT(F456,"" ""))&gt;2)))"),"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f>
        <v>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v>
      </c>
      <c r="I456" s="1"/>
      <c r="J456" s="1"/>
    </row>
    <row r="457" spans="1:10" x14ac:dyDescent="0.2">
      <c r="A457" s="8" t="s">
        <v>2260</v>
      </c>
      <c r="B457" s="7" t="s">
        <v>2259</v>
      </c>
      <c r="C457" s="7" t="s">
        <v>2258</v>
      </c>
      <c r="D457" s="6">
        <v>15000</v>
      </c>
      <c r="E457" s="5">
        <v>1</v>
      </c>
      <c r="F457" s="4" t="str">
        <f ca="1">IFERROR(__xludf.DUMMYFUNCTION("LOWER(REGEXREPLACE(B457&amp;"" ""&amp;C457,""[^а-яa-z0-9 ]"","" ""))")," атематика    ай  р  же  л под ред      аклауд  перевод  абиев    ")</f>
        <v xml:space="preserve"> атематика    ай  р  же  л под ред      аклауд  перевод  абиев    </v>
      </c>
      <c r="G457" s="4" t="str">
        <f ca="1">IFERROR(__xludf.DUMMYFUNCTION("TEXTJOIN(""|"",TRUE,UNIQUE(FILTER(SPLIT(F457,"" ""),LEN(SPLIT(F457,"" ""))&gt;2)))"),"атематика|под|ред|аклауд|перевод|абиев")</f>
        <v>атематика|под|ред|аклауд|перевод|абиев</v>
      </c>
      <c r="I457" s="1"/>
      <c r="J457" s="1"/>
    </row>
    <row r="458" spans="1:10" x14ac:dyDescent="0.2">
      <c r="A458" s="8" t="s">
        <v>2257</v>
      </c>
      <c r="B458" s="7" t="s">
        <v>2256</v>
      </c>
      <c r="C458" s="7" t="s">
        <v>2255</v>
      </c>
      <c r="D458" s="6">
        <v>4600</v>
      </c>
      <c r="E458" s="5">
        <v>2</v>
      </c>
      <c r="F458" s="4" t="str">
        <f ca="1">IFERROR(__xludf.DUMMYFUNCTION("LOWER(REGEXREPLACE(B458&amp;"" ""&amp;C458,""[^а-яa-z0-9 ]"","" ""))"),"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"&amp;"опору   азмер каждого изделия   не менее 16 16 см   атериалы рассчитаны на интенсивную эксплуатацию ")</f>
        <v xml:space="preserve">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v>
      </c>
      <c r="G458" s="4" t="str">
        <f ca="1">IFERROR(__xludf.DUMMYFUNCTION("TEXTJOIN(""|"",TRUE,UNIQUE(FILTER(SPLIT(F458,"" ""),LEN(SPLIT(F458,"" ""))&gt;2)))"),"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amp;"го|изделия|менее|атериалы|рассчитаны|интенсивную|эксплуатацию")</f>
        <v>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v>
      </c>
      <c r="I458" s="1"/>
      <c r="J458" s="1"/>
    </row>
    <row r="459" spans="1:10" x14ac:dyDescent="0.2">
      <c r="A459" s="8" t="s">
        <v>2254</v>
      </c>
      <c r="B459" s="7" t="s">
        <v>2253</v>
      </c>
      <c r="C459" s="7" t="s">
        <v>2252</v>
      </c>
      <c r="D459" s="6">
        <v>15000</v>
      </c>
      <c r="E459" s="5">
        <v>1</v>
      </c>
      <c r="F459" s="4" t="str">
        <f ca="1">IFERROR(__xludf.DUMMYFUNCTION("LOWER(REGEXREPLACE(B459&amp;"" ""&amp;C459,""[^а-яa-z0-9 ]"","" ""))")," атематика   росто и легко под ред      аклауд  перевод  аяхметов   ")</f>
        <v xml:space="preserve"> атематика   росто и легко под ред      аклауд  перевод  аяхметов   </v>
      </c>
      <c r="G459" s="4" t="str">
        <f ca="1">IFERROR(__xludf.DUMMYFUNCTION("TEXTJOIN(""|"",TRUE,UNIQUE(FILTER(SPLIT(F459,"" ""),LEN(SPLIT(F459,"" ""))&gt;2)))"),"атематика|росто|легко|под|ред|аклауд|перевод|аяхметов")</f>
        <v>атематика|росто|легко|под|ред|аклауд|перевод|аяхметов</v>
      </c>
      <c r="I459" s="1"/>
      <c r="J459" s="1"/>
    </row>
    <row r="460" spans="1:10" x14ac:dyDescent="0.2">
      <c r="A460" s="8" t="s">
        <v>2251</v>
      </c>
      <c r="B460" s="7" t="s">
        <v>2250</v>
      </c>
      <c r="C460" s="7" t="s">
        <v>2249</v>
      </c>
      <c r="D460" s="6">
        <v>22000</v>
      </c>
      <c r="E460" s="5">
        <v>14</v>
      </c>
      <c r="F460" s="4" t="str">
        <f ca="1">IFERROR(__xludf.DUMMYFUNCTION("LOWER(REGEXREPLACE(B460&amp;"" ""&amp;C460,""[^а-яa-z0-9 ]"","" ""))"),"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f>
        <v xml:space="preserve">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v>
      </c>
      <c r="G460" s="4" t="str">
        <f ca="1">IFERROR(__xludf.DUMMYFUNCTION("TEXTJOIN(""|"",TRUE,UNIQUE(FILTER(SPLIT(F460,"" ""),LEN(SPLIT(F460,"" ""))&gt;2)))"),"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f>
        <v>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v>
      </c>
      <c r="I460" s="1"/>
      <c r="J460" s="1"/>
    </row>
    <row r="461" spans="1:10" x14ac:dyDescent="0.2">
      <c r="A461" s="8" t="s">
        <v>2248</v>
      </c>
      <c r="B461" s="7" t="s">
        <v>2247</v>
      </c>
      <c r="C461" s="7" t="s">
        <v>2246</v>
      </c>
      <c r="D461" s="6">
        <v>2800</v>
      </c>
      <c r="E461" s="5">
        <v>1</v>
      </c>
      <c r="F461" s="4" t="str">
        <f ca="1">IFERROR(__xludf.DUMMYFUNCTION("LOWER(REGEXREPLACE(B461&amp;"" ""&amp;C461,""[^а-яa-z0-9 ]"","" ""))"),"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звукопроизноше"&amp;"ние  дыхание и артикуляцию   ассчитаны на регулярное применение ")</f>
        <v xml:space="preserve">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v>
      </c>
      <c r="G461" s="4" t="str">
        <f ca="1">IFERROR(__xludf.DUMMYFUNCTION("TEXTJOIN(""|"",TRUE,UNIQUE(FILTER(SPLIT(F461,"" ""),LEN(SPLIT(F461,"" ""))&gt;2)))"),"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amp;"ляцию|ассчитаны|регулярное|применение")</f>
        <v>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v>
      </c>
      <c r="I461" s="1"/>
      <c r="J461" s="1"/>
    </row>
    <row r="462" spans="1:10" x14ac:dyDescent="0.2">
      <c r="A462" s="8" t="s">
        <v>2245</v>
      </c>
      <c r="B462" s="7" t="s">
        <v>2244</v>
      </c>
      <c r="C462" s="7" t="s">
        <v>2243</v>
      </c>
      <c r="D462" s="6">
        <v>6700</v>
      </c>
      <c r="E462" s="5">
        <v>175</v>
      </c>
      <c r="F462" s="4" t="str">
        <f ca="1">IFERROR(__xludf.DUMMYFUNCTION("LOWER(REGEXREPLACE(B462&amp;"" ""&amp;C462,""[^а-яa-z0-9 ]"","" ""))")," атериалы и инструменты для апликации  цветная бумага  цветной и белый картон  ткань  клей  ножницы  клейкая лент")</f>
        <v xml:space="preserve"> атериалы и инструменты для апликации  цветная бумага  цветной и белый картон  ткань  клей  ножницы  клейкая лент</v>
      </c>
      <c r="G462" s="4" t="str">
        <f ca="1">IFERROR(__xludf.DUMMYFUNCTION("TEXTJOIN(""|"",TRUE,UNIQUE(FILTER(SPLIT(F462,"" ""),LEN(SPLIT(F462,"" ""))&gt;2)))"),"атериалы|инструменты|для|апликации|цветная|бумага|цветной|белый|картон|ткань|клей|ножницы|клейкая|лент")</f>
        <v>атериалы|инструменты|для|апликации|цветная|бумага|цветной|белый|картон|ткань|клей|ножницы|клейкая|лент</v>
      </c>
      <c r="I462" s="1"/>
      <c r="J462" s="1"/>
    </row>
    <row r="463" spans="1:10" x14ac:dyDescent="0.2">
      <c r="A463" s="8" t="s">
        <v>2242</v>
      </c>
      <c r="B463" s="7" t="s">
        <v>2241</v>
      </c>
      <c r="C463" s="7" t="s">
        <v>2240</v>
      </c>
      <c r="D463" s="6">
        <v>500</v>
      </c>
      <c r="E463" s="5">
        <v>125</v>
      </c>
      <c r="F463" s="4" t="str">
        <f ca="1">IFERROR(__xludf.DUMMYFUNCTION("LOWER(REGEXREPLACE(B463&amp;"" ""&amp;C463,""[^а-яa-z0-9 ]"","" ""))"),"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f>
        <v xml:space="preserve">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v>
      </c>
      <c r="G463" s="4" t="str">
        <f ca="1">IFERROR(__xludf.DUMMYFUNCTION("TEXTJOIN(""|"",TRUE,UNIQUE(FILTER(SPLIT(F463,"" ""),LEN(SPLIT(F463,"" ""))&gt;2)))"),"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f>
        <v>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v>
      </c>
      <c r="I463" s="1"/>
      <c r="J463" s="1"/>
    </row>
    <row r="464" spans="1:10" x14ac:dyDescent="0.2">
      <c r="A464" s="8" t="s">
        <v>2239</v>
      </c>
      <c r="B464" s="7" t="s">
        <v>2238</v>
      </c>
      <c r="C464" s="7" t="s">
        <v>2237</v>
      </c>
      <c r="D464" s="6">
        <v>2600</v>
      </c>
      <c r="E464" s="5">
        <v>125</v>
      </c>
      <c r="F464" s="4" t="str">
        <f ca="1">IFERROR(__xludf.DUMMYFUNCTION("LOWER(REGEXREPLACE(B464&amp;"" ""&amp;C464,""[^а-яa-z0-9 ]"","" ""))"),"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f>
        <v xml:space="preserve">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v>
      </c>
      <c r="G464" s="4" t="str">
        <f ca="1">IFERROR(__xludf.DUMMYFUNCTION("TEXTJOIN(""|"",TRUE,UNIQUE(FILTER(SPLIT(F464,"" ""),LEN(SPLIT(F464,"" ""))&gt;2)))"),"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f>
        <v>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v>
      </c>
      <c r="I464" s="1"/>
      <c r="J464" s="1"/>
    </row>
    <row r="465" spans="1:10" x14ac:dyDescent="0.2">
      <c r="A465" s="8" t="s">
        <v>2236</v>
      </c>
      <c r="B465" s="7" t="s">
        <v>2235</v>
      </c>
      <c r="C465" s="7" t="s">
        <v>2234</v>
      </c>
      <c r="D465" s="6">
        <v>11400</v>
      </c>
      <c r="E465" s="5">
        <v>125</v>
      </c>
      <c r="F465" s="4" t="str">
        <f ca="1">IFERROR(__xludf.DUMMYFUNCTION("LOWER(REGEXREPLACE(B465&amp;"" ""&amp;C465,""[^а-яa-z0-9 ]"","" ""))"),"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разв"&amp;"итию   пособствует развитию мелкой моторики  воображения  сенсорного восприятия и творческого мышления ")</f>
        <v xml:space="preserve">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v>
      </c>
      <c r="G465" s="4" t="str">
        <f ca="1">IFERROR(__xludf.DUMMYFUNCTION("TEXTJOIN(""|"",TRUE,UNIQUE(FILTER(SPLIT(F465,"" ""),LEN(SPLIT(F465,"" ""))&gt;2)))"),"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amp;"азвитию|мелкой|моторики|воображения|сенсорного|восприятия|творческого|мышления")</f>
        <v>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v>
      </c>
      <c r="I465" s="1"/>
      <c r="J465" s="1"/>
    </row>
    <row r="466" spans="1:10" x14ac:dyDescent="0.2">
      <c r="A466" s="8" t="s">
        <v>2233</v>
      </c>
      <c r="B466" s="7" t="s">
        <v>2232</v>
      </c>
      <c r="C466" s="7" t="s">
        <v>2231</v>
      </c>
      <c r="D466" s="6">
        <v>9800</v>
      </c>
      <c r="E466" s="5">
        <v>3</v>
      </c>
      <c r="F466" s="4" t="str">
        <f ca="1">IFERROR(__xludf.DUMMYFUNCTION("LOWER(REGEXREPLACE(B466&amp;"" ""&amp;C466,""[^а-яa-z0-9 ]"","" ""))"),"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f>
        <v xml:space="preserve">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v>
      </c>
      <c r="G466" s="4" t="str">
        <f ca="1">IFERROR(__xludf.DUMMYFUNCTION("TEXTJOIN(""|"",TRUE,UNIQUE(FILTER(SPLIT(F466,"" ""),LEN(SPLIT(F466,"" ""))&gt;2)))"),"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f>
        <v>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v>
      </c>
      <c r="I466" s="1"/>
      <c r="J466" s="1"/>
    </row>
    <row r="467" spans="1:10" x14ac:dyDescent="0.2">
      <c r="A467" s="8" t="s">
        <v>2230</v>
      </c>
      <c r="B467" s="7" t="s">
        <v>2229</v>
      </c>
      <c r="C467" s="7" t="s">
        <v>2228</v>
      </c>
      <c r="D467" s="6">
        <v>81700</v>
      </c>
      <c r="E467" s="5">
        <v>5</v>
      </c>
      <c r="F467" s="4" t="str">
        <f ca="1">IFERROR(__xludf.DUMMYFUNCTION("LOWER(REGEXREPLACE(B467&amp;"" ""&amp;C467,""[^а-яa-z0-9 ]"","" ""))"),"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f>
        <v xml:space="preserve">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v>
      </c>
      <c r="G467" s="4" t="str">
        <f ca="1">IFERROR(__xludf.DUMMYFUNCTION("TEXTJOIN(""|"",TRUE,UNIQUE(FILTER(SPLIT(F467,"" ""),LEN(SPLIT(F467,"" ""))&gt;2)))"),"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f>
        <v>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v>
      </c>
      <c r="I467" s="1"/>
      <c r="J467" s="1"/>
    </row>
    <row r="468" spans="1:10" x14ac:dyDescent="0.2">
      <c r="A468" s="8" t="s">
        <v>2227</v>
      </c>
      <c r="B468" s="7" t="s">
        <v>2226</v>
      </c>
      <c r="C468" s="7" t="s">
        <v>2225</v>
      </c>
      <c r="D468" s="6">
        <v>81700</v>
      </c>
      <c r="E468" s="5">
        <v>10</v>
      </c>
      <c r="F468" s="4" t="str">
        <f ca="1">IFERROR(__xludf.DUMMYFUNCTION("LOWER(REGEXREPLACE(B468&amp;"" ""&amp;C468,""[^а-яa-z0-9 ]"","" ""))"),"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а"&amp;"териалы обеспечивают защиту от ударов и предотвращают скольжение ")</f>
        <v xml:space="preserve">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v>
      </c>
      <c r="G468" s="4" t="str">
        <f ca="1">IFERROR(__xludf.DUMMYFUNCTION("TEXTJOIN(""|"",TRUE,UNIQUE(FILTER(SPLIT(F468,"" ""),LEN(SPLIT(F468,"" ""))&gt;2)))"),"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amp;"иту|ударов|предотвращают|скольжение")</f>
        <v>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v>
      </c>
      <c r="I468" s="1"/>
      <c r="J468" s="1"/>
    </row>
    <row r="469" spans="1:10" x14ac:dyDescent="0.2">
      <c r="A469" s="8" t="s">
        <v>2224</v>
      </c>
      <c r="B469" s="7" t="s">
        <v>2223</v>
      </c>
      <c r="C469" s="7" t="s">
        <v>2222</v>
      </c>
      <c r="D469" s="6">
        <v>8200</v>
      </c>
      <c r="E469" s="5">
        <v>5</v>
      </c>
      <c r="F469" s="4" t="str">
        <f ca="1">IFERROR(__xludf.DUMMYFUNCTION("LOWER(REGEXREPLACE(B469&amp;"" ""&amp;C469,""[^а-яa-z0-9 ]"","" ""))"),"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двигатель"&amp;"ной активности и физических упражнениях   азмер каждой полусферы   не менее 16 16 см    комплект входит 2 изделия ")</f>
        <v xml:space="preserve">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v>
      </c>
      <c r="G469" s="4" t="str">
        <f ca="1">IFERROR(__xludf.DUMMYFUNCTION("TEXTJOIN(""|"",TRUE,UNIQUE(FILTER(SPLIT(F469,"" ""),LEN(SPLIT(F469,"" ""))&gt;2)))"),"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amp;"зических|упражнениях|азмер|каждой|полусферы|менее|комплект|входит|изделия")</f>
        <v>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v>
      </c>
      <c r="I469" s="1"/>
      <c r="J469" s="1"/>
    </row>
    <row r="470" spans="1:10" x14ac:dyDescent="0.2">
      <c r="A470" s="8" t="s">
        <v>2221</v>
      </c>
      <c r="B470" s="7" t="s">
        <v>2220</v>
      </c>
      <c r="C470" s="7" t="s">
        <v>2219</v>
      </c>
      <c r="D470" s="6">
        <v>81700</v>
      </c>
      <c r="E470" s="5">
        <v>8</v>
      </c>
      <c r="F470" s="4" t="str">
        <f ca="1">IFERROR(__xludf.DUMMYFUNCTION("LOWER(REGEXREPLACE(B470&amp;"" ""&amp;C470,""[^а-яa-z0-9 ]"","" ""))"),"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f>
        <v xml:space="preserve">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v>
      </c>
      <c r="G470" s="4" t="str">
        <f ca="1">IFERROR(__xludf.DUMMYFUNCTION("TEXTJOIN(""|"",TRUE,UNIQUE(FILTER(SPLIT(F470,"" ""),LEN(SPLIT(F470,"" ""))&gt;2)))"),"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f>
        <v>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v>
      </c>
      <c r="I470" s="1"/>
      <c r="J470" s="1"/>
    </row>
    <row r="471" spans="1:10" x14ac:dyDescent="0.2">
      <c r="A471" s="8" t="s">
        <v>2218</v>
      </c>
      <c r="B471" s="7" t="s">
        <v>2217</v>
      </c>
      <c r="C471" s="7" t="s">
        <v>2216</v>
      </c>
      <c r="D471" s="6">
        <v>45400</v>
      </c>
      <c r="E471" s="5">
        <v>42</v>
      </c>
      <c r="F471" s="4" t="str">
        <f ca="1">IFERROR(__xludf.DUMMYFUNCTION("LOWER(REGEXREPLACE(B471&amp;"" ""&amp;C471,""[^а-яa-z0-9 ]"","" ""))"),"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f>
        <v xml:space="preserve">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v>
      </c>
      <c r="G471" s="4" t="str">
        <f ca="1">IFERROR(__xludf.DUMMYFUNCTION("TEXTJOIN(""|"",TRUE,UNIQUE(FILTER(SPLIT(F471,"" ""),LEN(SPLIT(F471,"" ""))&gt;2)))"),"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f>
        <v>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v>
      </c>
      <c r="I471" s="1"/>
      <c r="J471" s="1"/>
    </row>
    <row r="472" spans="1:10" x14ac:dyDescent="0.2">
      <c r="A472" s="8" t="s">
        <v>2215</v>
      </c>
      <c r="B472" s="7" t="s">
        <v>2214</v>
      </c>
      <c r="C472" s="7" t="s">
        <v>2213</v>
      </c>
      <c r="D472" s="6">
        <v>72200</v>
      </c>
      <c r="E472" s="5">
        <v>5</v>
      </c>
      <c r="F472" s="4" t="str">
        <f ca="1">IFERROR(__xludf.DUMMYFUNCTION("LOWER(REGEXREPLACE(B472&amp;"" ""&amp;C472,""[^а-яa-z0-9 ]"","" ""))"),"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f>
        <v xml:space="preserve">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v>
      </c>
      <c r="G472" s="4" t="str">
        <f ca="1">IFERROR(__xludf.DUMMYFUNCTION("TEXTJOIN(""|"",TRUE,UNIQUE(FILTER(SPLIT(F472,"" ""),LEN(SPLIT(F472,"" ""))&gt;2)))"),"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f>
        <v>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v>
      </c>
      <c r="I472" s="1"/>
      <c r="J472" s="1"/>
    </row>
    <row r="473" spans="1:10" x14ac:dyDescent="0.2">
      <c r="A473" s="8" t="s">
        <v>2212</v>
      </c>
      <c r="B473" s="7" t="s">
        <v>2211</v>
      </c>
      <c r="C473" s="7" t="s">
        <v>2210</v>
      </c>
      <c r="D473" s="6">
        <v>28500</v>
      </c>
      <c r="E473" s="5">
        <v>5</v>
      </c>
      <c r="F473" s="4" t="str">
        <f ca="1">IFERROR(__xludf.DUMMYFUNCTION("LOWER(REGEXREPLACE(B473&amp;"" ""&amp;C473,""[^а-яa-z0-9 ]"","" ""))")," ашинка  етская машинка толокар  предназначенная для активных игр   спользуется для развития общей моторики  координации и ориентации в пространстве ")</f>
        <v xml:space="preserve"> ашинка  етская машинка толокар  предназначенная для активных игр   спользуется для развития общей моторики  координации и ориентации в пространстве </v>
      </c>
      <c r="G473" s="4" t="str">
        <f ca="1">IFERROR(__xludf.DUMMYFUNCTION("TEXTJOIN(""|"",TRUE,UNIQUE(FILTER(SPLIT(F473,"" ""),LEN(SPLIT(F473,"" ""))&gt;2)))"),"ашинка|етская|машинка|толокар|предназначенная|для|активных|игр|спользуется|для|развития|общей|моторики|координации|ориентации|пространстве")</f>
        <v>ашинка|етская|машинка|толокар|предназначенная|для|активных|игр|спользуется|для|развития|общей|моторики|координации|ориентации|пространстве</v>
      </c>
      <c r="I473" s="1"/>
      <c r="J473" s="1"/>
    </row>
    <row r="474" spans="1:10" x14ac:dyDescent="0.2">
      <c r="A474" s="8" t="s">
        <v>2209</v>
      </c>
      <c r="B474" s="7" t="s">
        <v>2208</v>
      </c>
      <c r="C474" s="7" t="s">
        <v>2207</v>
      </c>
      <c r="D474" s="6">
        <v>11200</v>
      </c>
      <c r="E474" s="5">
        <v>7</v>
      </c>
      <c r="F474" s="4" t="str">
        <f ca="1">IFERROR(__xludf.DUMMYFUNCTION("LOWER(REGEXREPLACE(B474&amp;"" ""&amp;C474,""[^а-яa-z0-9 ]"","" ""))"),"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f>
        <v xml:space="preserve">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v>
      </c>
      <c r="G474" s="4" t="str">
        <f ca="1">IFERROR(__xludf.DUMMYFUNCTION("TEXTJOIN(""|"",TRUE,UNIQUE(FILTER(SPLIT(F474,"" ""),LEN(SPLIT(F474,"" ""))&gt;2)))"),"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f>
        <v>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v>
      </c>
      <c r="I474" s="1"/>
      <c r="J474" s="1"/>
    </row>
    <row r="475" spans="1:10" x14ac:dyDescent="0.2">
      <c r="A475" s="8" t="s">
        <v>2206</v>
      </c>
      <c r="B475" s="7" t="s">
        <v>2205</v>
      </c>
      <c r="C475" s="7" t="s">
        <v>2204</v>
      </c>
      <c r="D475" s="6">
        <v>13900</v>
      </c>
      <c r="E475" s="5">
        <v>7</v>
      </c>
      <c r="F475" s="4" t="str">
        <f ca="1">IFERROR(__xludf.DUMMYFUNCTION("LOWER(REGEXREPLACE(B475&amp;"" ""&amp;C475,""[^а-яa-z0-9 ]"","" ""))"),"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f>
        <v xml:space="preserve">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v>
      </c>
      <c r="G475" s="4" t="str">
        <f ca="1">IFERROR(__xludf.DUMMYFUNCTION("TEXTJOIN(""|"",TRUE,UNIQUE(FILTER(SPLIT(F475,"" ""),LEN(SPLIT(F475,"" ""))&gt;2)))"),"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f>
        <v>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v>
      </c>
      <c r="I475" s="1"/>
      <c r="J475" s="1"/>
    </row>
    <row r="476" spans="1:10" x14ac:dyDescent="0.2">
      <c r="A476" s="8" t="s">
        <v>2203</v>
      </c>
      <c r="B476" s="7" t="s">
        <v>2202</v>
      </c>
      <c r="C476" s="7" t="s">
        <v>2201</v>
      </c>
      <c r="D476" s="6">
        <v>20500</v>
      </c>
      <c r="E476" s="5">
        <v>7</v>
      </c>
      <c r="F476" s="4" t="str">
        <f ca="1">IFERROR(__xludf.DUMMYFUNCTION("LOWER(REGEXREPLACE(B476&amp;"" ""&amp;C476,""[^а-яa-z0-9 ]"","" ""))"),"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f>
        <v xml:space="preserve">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v>
      </c>
      <c r="G476" s="4" t="str">
        <f ca="1">IFERROR(__xludf.DUMMYFUNCTION("TEXTJOIN(""|"",TRUE,UNIQUE(FILTER(SPLIT(F476,"" ""),LEN(SPLIT(F476,"" ""))&gt;2)))"),"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f>
        <v>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v>
      </c>
      <c r="I476" s="1"/>
      <c r="J476" s="1"/>
    </row>
    <row r="477" spans="1:10" x14ac:dyDescent="0.2">
      <c r="A477" s="8" t="s">
        <v>2200</v>
      </c>
      <c r="B477" s="7" t="s">
        <v>2199</v>
      </c>
      <c r="C477" s="7" t="s">
        <v>2198</v>
      </c>
      <c r="D477" s="6">
        <v>71800</v>
      </c>
      <c r="E477" s="5">
        <v>7</v>
      </c>
      <c r="F477" s="4" t="str">
        <f ca="1">IFERROR(__xludf.DUMMYFUNCTION("LOWER(REGEXREPLACE(B477&amp;"" ""&amp;C477,""[^а-яa-z0-9 ]"","" ""))"),"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f>
        <v xml:space="preserve">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v>
      </c>
      <c r="G477" s="4" t="str">
        <f ca="1">IFERROR(__xludf.DUMMYFUNCTION("TEXTJOIN(""|"",TRUE,UNIQUE(FILTER(SPLIT(F477,"" ""),LEN(SPLIT(F477,"" ""))&gt;2)))"),"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f>
        <v>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v>
      </c>
      <c r="I477" s="1"/>
      <c r="J477" s="1"/>
    </row>
    <row r="478" spans="1:10" x14ac:dyDescent="0.2">
      <c r="A478" s="8" t="s">
        <v>2197</v>
      </c>
      <c r="B478" s="7" t="s">
        <v>2196</v>
      </c>
      <c r="C478" s="7" t="s">
        <v>2195</v>
      </c>
      <c r="D478" s="6">
        <v>13700</v>
      </c>
      <c r="E478" s="5">
        <v>9</v>
      </c>
      <c r="F478" s="4" t="str">
        <f ca="1">IFERROR(__xludf.DUMMYFUNCTION("LOWER(REGEXREPLACE(B478&amp;"" ""&amp;C478,""[^а-яa-z0-9 ]"","" ""))")," ашинка самосвал  нерционная игрушечная машина  используемая в сюжетных играх   азвивает воображение  мелкую моторику и интерес к техническим объектам ")</f>
        <v xml:space="preserve"> ашинка самосвал  нерционная игрушечная машина  используемая в сюжетных играх   азвивает воображение  мелкую моторику и интерес к техническим объектам </v>
      </c>
      <c r="G478" s="4" t="str">
        <f ca="1">IFERROR(__xludf.DUMMYFUNCTION("TEXTJOIN(""|"",TRUE,UNIQUE(FILTER(SPLIT(F478,"" ""),LEN(SPLIT(F478,"" ""))&gt;2)))"),"ашинка|самосвал|нерционная|игрушечная|машина|используемая|сюжетных|играх|азвивает|воображение|мелкую|моторику|интерес|техническим|объектам")</f>
        <v>ашинка|самосвал|нерционная|игрушечная|машина|используемая|сюжетных|играх|азвивает|воображение|мелкую|моторику|интерес|техническим|объектам</v>
      </c>
      <c r="I478" s="1"/>
      <c r="J478" s="1"/>
    </row>
    <row r="479" spans="1:10" x14ac:dyDescent="0.2">
      <c r="A479" s="8" t="s">
        <v>2194</v>
      </c>
      <c r="B479" s="7" t="s">
        <v>2193</v>
      </c>
      <c r="C479" s="7" t="s">
        <v>2192</v>
      </c>
      <c r="D479" s="6">
        <v>37600</v>
      </c>
      <c r="E479" s="5">
        <v>7</v>
      </c>
      <c r="F479" s="4" t="str">
        <f ca="1">IFERROR(__xludf.DUMMYFUNCTION("LOWER(REGEXREPLACE(B479&amp;"" ""&amp;C479,""[^а-яa-z0-9 ]"","" ""))"),"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f>
        <v xml:space="preserve">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v>
      </c>
      <c r="G479" s="4" t="str">
        <f ca="1">IFERROR(__xludf.DUMMYFUNCTION("TEXTJOIN(""|"",TRUE,UNIQUE(FILTER(SPLIT(F479,"" ""),LEN(SPLIT(F479,"" ""))&gt;2)))"),"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f>
        <v>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v>
      </c>
      <c r="I479" s="1"/>
      <c r="J479" s="1"/>
    </row>
    <row r="480" spans="1:10" x14ac:dyDescent="0.2">
      <c r="A480" s="8" t="s">
        <v>2191</v>
      </c>
      <c r="B480" s="7" t="s">
        <v>2190</v>
      </c>
      <c r="C480" s="7" t="s">
        <v>2189</v>
      </c>
      <c r="D480" s="6">
        <v>6600</v>
      </c>
      <c r="E480" s="5">
        <v>1</v>
      </c>
      <c r="F480" s="4" t="str">
        <f ca="1">IFERROR(__xludf.DUMMYFUNCTION("LOWER(REGEXREPLACE(B480&amp;"" ""&amp;C480,""[^а-яa-z0-9 ]"","" ""))")," аластан  тет леу лы   ")</f>
        <v xml:space="preserve"> аластан  тет леу лы   </v>
      </c>
      <c r="G480" s="4" t="str">
        <f ca="1">IFERROR(__xludf.DUMMYFUNCTION("TEXTJOIN(""|"",TRUE,UNIQUE(FILTER(SPLIT(F480,"" ""),LEN(SPLIT(F480,"" ""))&gt;2)))"),"аластан|тет|леу")</f>
        <v>аластан|тет|леу</v>
      </c>
      <c r="I480" s="1"/>
      <c r="J480" s="1"/>
    </row>
    <row r="481" spans="1:10" x14ac:dyDescent="0.2">
      <c r="A481" s="8" t="s">
        <v>2188</v>
      </c>
      <c r="B481" s="7" t="s">
        <v>2187</v>
      </c>
      <c r="C481" s="7" t="s">
        <v>2186</v>
      </c>
      <c r="D481" s="6">
        <v>22800</v>
      </c>
      <c r="E481" s="5">
        <v>7</v>
      </c>
      <c r="F481" s="4" t="str">
        <f ca="1">IFERROR(__xludf.DUMMYFUNCTION("LOWER(REGEXREPLACE(B481&amp;"" ""&amp;C481,""[^а-яa-z0-9 ]"","" ""))"),"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f>
        <v xml:space="preserve">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v>
      </c>
      <c r="G481" s="4" t="str">
        <f ca="1">IFERROR(__xludf.DUMMYFUNCTION("TEXTJOIN(""|"",TRUE,UNIQUE(FILTER(SPLIT(F481,"" ""),LEN(SPLIT(F481,"" ""))&gt;2)))"),"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f>
        <v>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v>
      </c>
      <c r="I481" s="1"/>
      <c r="J481" s="1"/>
    </row>
    <row r="482" spans="1:10" x14ac:dyDescent="0.2">
      <c r="A482" s="8" t="s">
        <v>2185</v>
      </c>
      <c r="B482" s="7" t="s">
        <v>2184</v>
      </c>
      <c r="C482" s="7" t="s">
        <v>2183</v>
      </c>
      <c r="D482" s="6">
        <v>9500</v>
      </c>
      <c r="E482" s="5">
        <v>1</v>
      </c>
      <c r="F482" s="4" t="str">
        <f ca="1">IFERROR(__xludf.DUMMYFUNCTION("LOWER(REGEXREPLACE(B482&amp;"" ""&amp;C482,""[^а-яa-z0-9 ]"","" ""))"),"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f>
        <v xml:space="preserve">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v>
      </c>
      <c r="G482" s="4" t="str">
        <f ca="1">IFERROR(__xludf.DUMMYFUNCTION("TEXTJOIN(""|"",TRUE,UNIQUE(FILTER(SPLIT(F482,"" ""),LEN(SPLIT(F482,"" ""))&gt;2)))"),"ашинки|деревянные|абор|деревянных|машинок|без|механизма|спользуется|для|сюжетно|ролевых|игр|развития|тактильных|ощущений|воображения|мелкой|моторики")</f>
        <v>ашинки|деревянные|абор|деревянных|машинок|без|механизма|спользуется|для|сюжетно|ролевых|игр|развития|тактильных|ощущений|воображения|мелкой|моторики</v>
      </c>
      <c r="I482" s="1"/>
      <c r="J482" s="1"/>
    </row>
    <row r="483" spans="1:10" x14ac:dyDescent="0.2">
      <c r="A483" s="8" t="s">
        <v>2182</v>
      </c>
      <c r="B483" s="7" t="s">
        <v>2181</v>
      </c>
      <c r="C483" s="7" t="s">
        <v>2180</v>
      </c>
      <c r="D483" s="6">
        <v>20900</v>
      </c>
      <c r="E483" s="5">
        <v>1</v>
      </c>
      <c r="F483" s="4" t="str">
        <f ca="1">IFERROR(__xludf.DUMMYFUNCTION("LOWER(REGEXREPLACE(B483&amp;"" ""&amp;C483,""[^а-яa-z0-9 ]"","" ""))"),"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f>
        <v xml:space="preserve">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v>
      </c>
      <c r="G483" s="4" t="str">
        <f ca="1">IFERROR(__xludf.DUMMYFUNCTION("TEXTJOIN(""|"",TRUE,UNIQUE(FILTER(SPLIT(F483,"" ""),LEN(SPLIT(F483,"" ""))&gt;2)))"),"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f>
        <v>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v>
      </c>
      <c r="I483" s="1"/>
      <c r="J483" s="1"/>
    </row>
    <row r="484" spans="1:10" x14ac:dyDescent="0.2">
      <c r="A484" s="8" t="s">
        <v>2179</v>
      </c>
      <c r="B484" s="7" t="s">
        <v>2178</v>
      </c>
      <c r="C484" s="7" t="s">
        <v>1659</v>
      </c>
      <c r="D484" s="6">
        <v>18000</v>
      </c>
      <c r="E484" s="5">
        <v>1</v>
      </c>
      <c r="F484" s="4" t="str">
        <f ca="1">IFERROR(__xludf.DUMMYFUNCTION("LOWER(REGEXREPLACE(B484&amp;"" ""&amp;C484,""[^а-яa-z0-9 ]"","" ""))"),"  нг л к т л а    лы  бай  книга альбом   буб к р      ужикова      айрамбаева   ")</f>
        <v xml:space="preserve">  нг л к т л а    лы  бай  книга альбом   буб к р      ужикова      айрамбаева   </v>
      </c>
      <c r="G484" s="4" t="str">
        <f ca="1">IFERROR(__xludf.DUMMYFUNCTION("TEXTJOIN(""|"",TRUE,UNIQUE(FILTER(SPLIT(F484,"" ""),LEN(SPLIT(F484,"" ""))&gt;2)))"),"бай|книга|альбом|буб|ужикова|айрамбаева")</f>
        <v>бай|книга|альбом|буб|ужикова|айрамбаева</v>
      </c>
      <c r="I484" s="1"/>
      <c r="J484" s="1"/>
    </row>
    <row r="485" spans="1:10" x14ac:dyDescent="0.2">
      <c r="A485" s="8" t="s">
        <v>2177</v>
      </c>
      <c r="B485" s="7" t="s">
        <v>2176</v>
      </c>
      <c r="C485" s="7" t="s">
        <v>2175</v>
      </c>
      <c r="D485" s="6">
        <v>13600</v>
      </c>
      <c r="E485" s="5">
        <v>1</v>
      </c>
      <c r="F485" s="4" t="str">
        <f ca="1">IFERROR(__xludf.DUMMYFUNCTION("LOWER(REGEXREPLACE(B485&amp;"" ""&amp;C485,""[^а-яa-z0-9 ]"","" ""))")," ен баламды б лем н бе   ала психологиясы туралы ата ана а к мек  эри   ")</f>
        <v xml:space="preserve"> ен баламды б лем н бе   ала психологиясы туралы ата ана а к мек  эри   </v>
      </c>
      <c r="G485" s="4" t="str">
        <f ca="1">IFERROR(__xludf.DUMMYFUNCTION("TEXTJOIN(""|"",TRUE,UNIQUE(FILTER(SPLIT(F485,"" ""),LEN(SPLIT(F485,"" ""))&gt;2)))"),"баламды|лем|ала|психологиясы|туралы|ата|ана|мек|эри")</f>
        <v>баламды|лем|ала|психологиясы|туралы|ата|ана|мек|эри</v>
      </c>
      <c r="I485" s="1"/>
      <c r="J485" s="1"/>
    </row>
    <row r="486" spans="1:10" x14ac:dyDescent="0.2">
      <c r="A486" s="8" t="s">
        <v>2174</v>
      </c>
      <c r="B486" s="7" t="s">
        <v>2173</v>
      </c>
      <c r="C486" s="7" t="s">
        <v>2172</v>
      </c>
      <c r="D486" s="6">
        <v>6600</v>
      </c>
      <c r="E486" s="5">
        <v>1</v>
      </c>
      <c r="F486" s="4" t="str">
        <f ca="1">IFERROR(__xludf.DUMMYFUNCTION("LOWER(REGEXREPLACE(B486&amp;"" ""&amp;C486,""[^а-яa-z0-9 ]"","" ""))")," ен б р ж мба    даммын оны да ойла      бай  унанбаев")</f>
        <v xml:space="preserve"> ен б р ж мба    даммын оны да ойла      бай  унанбаев</v>
      </c>
      <c r="G486" s="4" t="str">
        <f ca="1">IFERROR(__xludf.DUMMYFUNCTION("TEXTJOIN(""|"",TRUE,UNIQUE(FILTER(SPLIT(F486,"" ""),LEN(SPLIT(F486,"" ""))&gt;2)))"),"мба|даммын|оны|ойла|бай|унанбаев")</f>
        <v>мба|даммын|оны|ойла|бай|унанбаев</v>
      </c>
      <c r="I486" s="1"/>
      <c r="J486" s="1"/>
    </row>
    <row r="487" spans="1:10" x14ac:dyDescent="0.2">
      <c r="A487" s="8" t="s">
        <v>2171</v>
      </c>
      <c r="B487" s="7" t="s">
        <v>2170</v>
      </c>
      <c r="C487" s="7" t="s">
        <v>722</v>
      </c>
      <c r="D487" s="6">
        <v>30700</v>
      </c>
      <c r="E487" s="5">
        <v>1</v>
      </c>
      <c r="F487" s="4" t="str">
        <f ca="1">IFERROR(__xludf.DUMMYFUNCTION("LOWER(REGEXREPLACE(B487&amp;"" ""&amp;C487,""[^а-яa-z0-9 ]"","" ""))")," ен    таным    аза стан  юрта      ужикова")</f>
        <v xml:space="preserve"> ен    таным    аза стан  юрта      ужикова</v>
      </c>
      <c r="G487" s="4" t="str">
        <f ca="1">IFERROR(__xludf.DUMMYFUNCTION("TEXTJOIN(""|"",TRUE,UNIQUE(FILTER(SPLIT(F487,"" ""),LEN(SPLIT(F487,"" ""))&gt;2)))"),"таным|аза|стан|юрта|ужикова")</f>
        <v>таным|аза|стан|юрта|ужикова</v>
      </c>
      <c r="I487" s="1"/>
      <c r="J487" s="1"/>
    </row>
    <row r="488" spans="1:10" x14ac:dyDescent="0.2">
      <c r="A488" s="8" t="s">
        <v>2169</v>
      </c>
      <c r="B488" s="7" t="s">
        <v>2168</v>
      </c>
      <c r="C488" s="7"/>
      <c r="D488" s="6">
        <v>1700</v>
      </c>
      <c r="E488" s="5">
        <v>1</v>
      </c>
      <c r="F488" s="4" t="str">
        <f ca="1">IFERROR(__xludf.DUMMYFUNCTION("LOWER(REGEXREPLACE(B488&amp;"" ""&amp;C488,""[^а-яa-z0-9 ]"","" ""))")," енменд кт   алай же уге болады   ак преодолеть гордыню   ow to overcome pride ")</f>
        <v xml:space="preserve"> енменд кт   алай же уге болады   ак преодолеть гордыню   ow to overcome pride </v>
      </c>
      <c r="G488" s="4" t="str">
        <f ca="1">IFERROR(__xludf.DUMMYFUNCTION("TEXTJOIN(""|"",TRUE,UNIQUE(FILTER(SPLIT(F488,"" ""),LEN(SPLIT(F488,"" ""))&gt;2)))"),"енменд|алай|уге|болады|преодолеть|гордыню|overcome|pride")</f>
        <v>енменд|алай|уге|болады|преодолеть|гордыню|overcome|pride</v>
      </c>
      <c r="I488" s="1"/>
      <c r="J488" s="1"/>
    </row>
    <row r="489" spans="1:10" x14ac:dyDescent="0.2">
      <c r="A489" s="8" t="s">
        <v>2167</v>
      </c>
      <c r="B489" s="7" t="s">
        <v>2166</v>
      </c>
      <c r="C489" s="7" t="s">
        <v>2165</v>
      </c>
      <c r="D489" s="6">
        <v>28500</v>
      </c>
      <c r="E489" s="5">
        <v>5</v>
      </c>
      <c r="F489" s="4" t="str">
        <f ca="1">IFERROR(__xludf.DUMMYFUNCTION("LOWER(REGEXREPLACE(B489&amp;"" ""&amp;C489,""[^а-яa-z0-9 ]"","" ""))"),"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f>
        <v xml:space="preserve">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v>
      </c>
      <c r="G489" s="4" t="str">
        <f ca="1">IFERROR(__xludf.DUMMYFUNCTION("TEXTJOIN(""|"",TRUE,UNIQUE(FILTER(SPLIT(F489,"" ""),LEN(SPLIT(F489,"" ""))&gt;2)))"),"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f>
        <v>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v>
      </c>
      <c r="I489" s="1"/>
      <c r="J489" s="1"/>
    </row>
    <row r="490" spans="1:10" x14ac:dyDescent="0.2">
      <c r="A490" s="8" t="s">
        <v>2164</v>
      </c>
      <c r="B490" s="7" t="s">
        <v>2163</v>
      </c>
      <c r="C490" s="7" t="s">
        <v>2162</v>
      </c>
      <c r="D490" s="6">
        <v>28500</v>
      </c>
      <c r="E490" s="5">
        <v>1</v>
      </c>
      <c r="F490" s="4" t="str">
        <f ca="1">IFERROR(__xludf.DUMMYFUNCTION("LOWER(REGEXREPLACE(B490&amp;"" ""&amp;C490,""[^а-яa-z0-9 ]"","" ""))"),"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f>
        <v xml:space="preserve">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v>
      </c>
      <c r="G490" s="4" t="str">
        <f ca="1">IFERROR(__xludf.DUMMYFUNCTION("TEXTJOIN(""|"",TRUE,UNIQUE(FILTER(SPLIT(F490,"" ""),LEN(SPLIT(F490,"" ""))&gt;2)))"),"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f>
        <v>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v>
      </c>
      <c r="I490" s="1"/>
      <c r="J490" s="1"/>
    </row>
    <row r="491" spans="1:10" x14ac:dyDescent="0.2">
      <c r="A491" s="8" t="s">
        <v>2161</v>
      </c>
      <c r="B491" s="7" t="s">
        <v>2160</v>
      </c>
      <c r="C491" s="7" t="s">
        <v>2159</v>
      </c>
      <c r="D491" s="6">
        <v>41800</v>
      </c>
      <c r="E491" s="5">
        <v>2</v>
      </c>
      <c r="F491" s="4" t="str">
        <f ca="1">IFERROR(__xludf.DUMMYFUNCTION("LOWER(REGEXREPLACE(B491&amp;"" ""&amp;C491,""[^а-яa-z0-9 ]"","" ""))"),"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де"&amp;"йствий   онструкция выполнена из прочного пластика и предназначена для эксплуатации в помещениях ")</f>
        <v xml:space="preserve">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v>
      </c>
      <c r="G491" s="4" t="str">
        <f ca="1">IFERROR(__xludf.DUMMYFUNCTION("TEXTJOIN(""|"",TRUE,UNIQUE(FILTER(SPLIT(F491,"" ""),LEN(SPLIT(F491,"" ""))&gt;2)))"),"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amp;"|выполнена|прочного|пластика|предназначена|для|эксплуатации|помещениях")</f>
        <v>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v>
      </c>
      <c r="I491" s="1"/>
      <c r="J491" s="1"/>
    </row>
    <row r="492" spans="1:10" x14ac:dyDescent="0.2">
      <c r="A492" s="8" t="s">
        <v>2158</v>
      </c>
      <c r="B492" s="7" t="s">
        <v>2157</v>
      </c>
      <c r="C492" s="7" t="s">
        <v>2156</v>
      </c>
      <c r="D492" s="6">
        <v>2600</v>
      </c>
      <c r="E492" s="5">
        <v>10</v>
      </c>
      <c r="F492" s="4" t="str">
        <f ca="1">IFERROR(__xludf.DUMMYFUNCTION("LOWER(REGEXREPLACE(B492&amp;"" ""&amp;C492,""[^а-яa-z0-9 ]"","" ""))"),"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f>
        <v xml:space="preserve">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v>
      </c>
      <c r="G492" s="4" t="str">
        <f ca="1">IFERROR(__xludf.DUMMYFUNCTION("TEXTJOIN(""|"",TRUE,UNIQUE(FILTER(SPLIT(F492,"" ""),LEN(SPLIT(F492,"" ""))&gt;2)))"),"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f>
        <v>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v>
      </c>
      <c r="I492" s="1"/>
      <c r="J492" s="1"/>
    </row>
    <row r="493" spans="1:10" x14ac:dyDescent="0.2">
      <c r="A493" s="8" t="s">
        <v>2155</v>
      </c>
      <c r="B493" s="7" t="s">
        <v>2154</v>
      </c>
      <c r="C493" s="7" t="s">
        <v>2153</v>
      </c>
      <c r="D493" s="6">
        <v>2900</v>
      </c>
      <c r="E493" s="5">
        <v>10</v>
      </c>
      <c r="F493" s="4" t="str">
        <f ca="1">IFERROR(__xludf.DUMMYFUNCTION("LOWER(REGEXREPLACE(B493&amp;"" ""&amp;C493,""[^а-яa-z0-9 ]"","" ""))")," ешочки с песком  тяжел нные мешочки для упражнений и сенсорных игр   спользуются для развития координации  тактильных ощущений и мышечного контроля ")</f>
        <v xml:space="preserve"> ешочки с песком  тяжел нные мешочки для упражнений и сенсорных игр   спользуются для развития координации  тактильных ощущений и мышечного контроля </v>
      </c>
      <c r="G493" s="4" t="str">
        <f ca="1">IFERROR(__xludf.DUMMYFUNCTION("TEXTJOIN(""|"",TRUE,UNIQUE(FILTER(SPLIT(F493,"" ""),LEN(SPLIT(F493,"" ""))&gt;2)))"),"ешочки|песком|тяжел|нные|мешочки|для|упражнений|сенсорных|игр|спользуются|для|развития|координации|тактильных|ощущений|мышечного|контроля")</f>
        <v>ешочки|песком|тяжел|нные|мешочки|для|упражнений|сенсорных|игр|спользуются|для|развития|координации|тактильных|ощущений|мышечного|контроля</v>
      </c>
      <c r="I493" s="1"/>
      <c r="J493" s="1"/>
    </row>
    <row r="494" spans="1:10" x14ac:dyDescent="0.2">
      <c r="A494" s="8" t="s">
        <v>2152</v>
      </c>
      <c r="B494" s="7" t="s">
        <v>2151</v>
      </c>
      <c r="C494" s="7" t="s">
        <v>2150</v>
      </c>
      <c r="D494" s="6">
        <v>4800</v>
      </c>
      <c r="E494" s="5">
        <v>5</v>
      </c>
      <c r="F494" s="4" t="str">
        <f ca="1">IFERROR(__xludf.DUMMYFUNCTION("LOWER(REGEXREPLACE(B494&amp;"" ""&amp;C494,""[^а-яa-z0-9 ]"","" ""))"),"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отверстиях"&amp;" и продеванию шнурка   акая деятельность развивает мелкую моторику  внимание и навыки соотнесения   онструкция выполнена из дерева ")</f>
        <v xml:space="preserve">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v>
      </c>
      <c r="G494" s="4" t="str">
        <f ca="1">IFERROR(__xludf.DUMMYFUNCTION("TEXTJOIN(""|"",TRUE,UNIQUE(FILTER(SPLIT(F494,"" ""),LEN(SPLIT(F494,"" ""))&gt;2)))"),"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amp;"тельность|развивает|мелкую|моторику|внимание|навыки|соотнесения|онструкция|выполнена|дерева")</f>
        <v>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v>
      </c>
      <c r="I494" s="1"/>
      <c r="J494" s="1"/>
    </row>
    <row r="495" spans="1:10" x14ac:dyDescent="0.2">
      <c r="A495" s="8" t="s">
        <v>2149</v>
      </c>
      <c r="B495" s="7" t="s">
        <v>2148</v>
      </c>
      <c r="C495" s="7" t="s">
        <v>2147</v>
      </c>
      <c r="D495" s="6">
        <v>20900</v>
      </c>
      <c r="E495" s="5">
        <v>13</v>
      </c>
      <c r="F495" s="4" t="str">
        <f ca="1">IFERROR(__xludf.DUMMYFUNCTION("LOWER(REGEXREPLACE(B495&amp;"" ""&amp;C495,""[^а-яa-z0-9 ]"","" ""))"),"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мотор"&amp;"ики  зрительного восприятия и навыков составления простых композиций    комплект входит не менее 240 элементов и 2 поля   оличество цветов   не менее 6 ")</f>
        <v xml:space="preserve">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v>
      </c>
      <c r="G495" s="4" t="str">
        <f ca="1">IFERROR(__xludf.DUMMYFUNCTION("TEXTJOIN(""|"",TRUE,UNIQUE(FILTER(SPLIT(F495,"" ""),LEN(SPLIT(F495,"" ""))&gt;2)))"),"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amp;"тия|навыков|составления|простых|композиций|комплект|входит|менее|240|элементов|поля|оличество|цветов|менее")</f>
        <v>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v>
      </c>
      <c r="I495" s="1"/>
      <c r="J495" s="1"/>
    </row>
    <row r="496" spans="1:10" x14ac:dyDescent="0.2">
      <c r="A496" s="8" t="s">
        <v>2146</v>
      </c>
      <c r="B496" s="7" t="s">
        <v>2145</v>
      </c>
      <c r="C496" s="7" t="s">
        <v>2144</v>
      </c>
      <c r="D496" s="6">
        <v>7800</v>
      </c>
      <c r="E496" s="5">
        <v>1</v>
      </c>
      <c r="F496" s="4" t="str">
        <f ca="1">IFERROR(__xludf.DUMMYFUNCTION("LOWER(REGEXREPLACE(B496&amp;"" ""&amp;C496,""[^а-яa-z0-9 ]"","" ""))")," атпырауы       хетов")</f>
        <v xml:space="preserve"> атпырауы       хетов</v>
      </c>
      <c r="G496" s="4" t="str">
        <f ca="1">IFERROR(__xludf.DUMMYFUNCTION("TEXTJOIN(""|"",TRUE,UNIQUE(FILTER(SPLIT(F496,"" ""),LEN(SPLIT(F496,"" ""))&gt;2)))"),"атпырауы|хетов")</f>
        <v>атпырауы|хетов</v>
      </c>
      <c r="I496" s="1"/>
      <c r="J496" s="1"/>
    </row>
    <row r="497" spans="1:10" x14ac:dyDescent="0.2">
      <c r="A497" s="8" t="s">
        <v>2143</v>
      </c>
      <c r="B497" s="7" t="s">
        <v>2142</v>
      </c>
      <c r="C497" s="7" t="s">
        <v>2141</v>
      </c>
      <c r="D497" s="6">
        <v>9100</v>
      </c>
      <c r="E497" s="5">
        <v>10</v>
      </c>
      <c r="F497" s="4" t="str">
        <f ca="1">IFERROR(__xludf.DUMMYFUNCTION("LOWER(REGEXREPLACE(B497&amp;"" ""&amp;C497,""[^а-яa-z0-9 ]"","" ""))"),"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движе"&amp;"ний и устойчивость внимания   омплект включает не менее 240 элементов и 2 игровых поля ")</f>
        <v xml:space="preserve">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v>
      </c>
      <c r="G497" s="4" t="str">
        <f ca="1">IFERROR(__xludf.DUMMYFUNCTION("TEXTJOIN(""|"",TRUE,UNIQUE(FILTER(SPLIT(F497,"" ""),LEN(SPLIT(F497,"" ""))&gt;2)))"),"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amp;"я|омплект|включает|менее|240|элементов|игровых|поля")</f>
        <v>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v>
      </c>
      <c r="I497" s="1"/>
      <c r="J497" s="1"/>
    </row>
    <row r="498" spans="1:10" x14ac:dyDescent="0.2">
      <c r="A498" s="8" t="s">
        <v>2140</v>
      </c>
      <c r="B498" s="7" t="s">
        <v>2139</v>
      </c>
      <c r="C498" s="7" t="s">
        <v>2138</v>
      </c>
      <c r="D498" s="6">
        <v>32300</v>
      </c>
      <c r="E498" s="5">
        <v>14</v>
      </c>
      <c r="F498" s="4" t="str">
        <f ca="1">IFERROR(__xludf.DUMMYFUNCTION("LOWER(REGEXREPLACE(B498&amp;"" ""&amp;C498,""[^а-яa-z0-9 ]"","" ""))"),"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"&amp;"снова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озаика"&amp;" используется в индивидуальной и подгрупповой деятельности  подходит для спокойной игры за столом ")</f>
        <v xml:space="preserve">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v>
      </c>
      <c r="G498" s="4" t="str">
        <f ca="1">IFERROR(__xludf.DUMMYFUNCTION("TEXTJOIN(""|"",TRUE,UNIQUE(FILTER(SPLIT(F498,"" ""),LEN(SPLIT(F498,"" ""))&gt;2)))"),"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amp;"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amp;"и|подходит|для|спокойной|игры|столом")</f>
        <v>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v>
      </c>
      <c r="I498" s="1"/>
      <c r="J498" s="1"/>
    </row>
    <row r="499" spans="1:10" x14ac:dyDescent="0.2">
      <c r="A499" s="8" t="s">
        <v>2137</v>
      </c>
      <c r="B499" s="7" t="s">
        <v>2136</v>
      </c>
      <c r="C499" s="7" t="s">
        <v>2135</v>
      </c>
      <c r="D499" s="6">
        <v>26600</v>
      </c>
      <c r="E499" s="5">
        <v>16</v>
      </c>
      <c r="F499" s="4" t="str">
        <f ca="1">IFERROR(__xludf.DUMMYFUNCTION("LOWER(REGEXREPLACE(B499&amp;"" ""&amp;C499,""[^а-яa-z0-9 ]"","" ""))"),"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выполнят"&amp;"ь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"&amp;"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f>
        <v xml:space="preserve">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v>
      </c>
      <c r="G499" s="4" t="str">
        <f ca="1">IFERROR(__xludf.DUMMYFUNCTION("TEXTJOIN(""|"",TRUE,UNIQUE(FILTER(SPLIT(F499,"" ""),LEN(SPLIT(F499,"" ""))&gt;2)))"),"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amp;"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amp;"отку|кромки|безопасно|обработаны|спользуется|для|развития|графомоторики|зрительного|контроля|аккуратности|самостоятельности")</f>
        <v>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v>
      </c>
      <c r="I499" s="1"/>
      <c r="J499" s="1"/>
    </row>
    <row r="500" spans="1:10" x14ac:dyDescent="0.2">
      <c r="A500" s="8" t="s">
        <v>2134</v>
      </c>
      <c r="B500" s="7" t="s">
        <v>2133</v>
      </c>
      <c r="C500" s="7" t="s">
        <v>2132</v>
      </c>
      <c r="D500" s="6">
        <v>31400</v>
      </c>
      <c r="E500" s="5">
        <v>5</v>
      </c>
      <c r="F500" s="4" t="str">
        <f ca="1">IFERROR(__xludf.DUMMYFUNCTION("LOWER(REGEXREPLACE(B500&amp;"" ""&amp;C500,""[^а-яa-z0-9 ]"","" ""))"),"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"&amp;"без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принадлежностей"&amp;"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чере"&amp;"з рисунок и схему ")</f>
        <v xml:space="preserve">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v>
      </c>
      <c r="G500" s="4" t="str">
        <f ca="1">IFERROR(__xludf.DUMMYFUNCTION("TEXTJOIN(""|"",TRUE,UNIQUE(FILTER(SPLIT(F500,"" ""),LEN(SPLIT(F500,"" ""))&gt;2)))"),"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amp;"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amp;"|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f>
        <v>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v>
      </c>
      <c r="I500" s="1"/>
      <c r="J500" s="1"/>
    </row>
    <row r="501" spans="1:10" x14ac:dyDescent="0.2">
      <c r="A501" s="8" t="s">
        <v>2131</v>
      </c>
      <c r="B501" s="7" t="s">
        <v>2130</v>
      </c>
      <c r="C501" s="7" t="s">
        <v>2129</v>
      </c>
      <c r="D501" s="6">
        <v>5700</v>
      </c>
      <c r="E501" s="5">
        <v>10</v>
      </c>
      <c r="F501" s="4" t="str">
        <f ca="1">IFERROR(__xludf.DUMMYFUNCTION("LOWER(REGEXREPLACE(B501&amp;"" ""&amp;C501,""[^а-яa-z0-9 ]"","" ""))"),"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письма"&amp;"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"&amp;"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f>
        <v xml:space="preserve">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v>
      </c>
      <c r="G501" s="4" t="str">
        <f ca="1">IFERROR(__xludf.DUMMYFUNCTION("TEXTJOIN(""|"",TRUE,UNIQUE(FILTER(SPLIT(F501,"" ""),LEN(SPLIT(F501,"" ""))&gt;2)))"),"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amp;"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amp;"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f>
        <v>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v>
      </c>
      <c r="I501" s="1"/>
      <c r="J501" s="1"/>
    </row>
    <row r="502" spans="1:10" x14ac:dyDescent="0.2">
      <c r="A502" s="8" t="s">
        <v>2128</v>
      </c>
      <c r="B502" s="7" t="s">
        <v>2127</v>
      </c>
      <c r="C502" s="7" t="s">
        <v>2126</v>
      </c>
      <c r="D502" s="6">
        <v>68400</v>
      </c>
      <c r="E502" s="5">
        <v>10</v>
      </c>
      <c r="F502" s="4" t="str">
        <f ca="1">IFERROR(__xludf.DUMMYFUNCTION("LOWER(REGEXREPLACE(B502&amp;"" ""&amp;C502,""[^а-яa-z0-9 ]"","" ""))"),"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бл"&amp;"агоприятного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f>
        <v xml:space="preserve">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v>
      </c>
      <c r="G502" s="4" t="str">
        <f ca="1">IFERROR(__xludf.DUMMYFUNCTION("TEXTJOIN(""|"",TRUE,UNIQUE(FILTER(SPLIT(F502,"" ""),LEN(SPLIT(F502,"" ""))&gt;2)))"),"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amp;"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f>
        <v>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v>
      </c>
      <c r="I502" s="1"/>
      <c r="J502" s="1"/>
    </row>
    <row r="503" spans="1:10" x14ac:dyDescent="0.2">
      <c r="A503" s="8" t="s">
        <v>2125</v>
      </c>
      <c r="B503" s="7" t="s">
        <v>2124</v>
      </c>
      <c r="C503" s="7" t="s">
        <v>2123</v>
      </c>
      <c r="D503" s="6">
        <v>7300</v>
      </c>
      <c r="E503" s="5">
        <v>14</v>
      </c>
      <c r="F503" s="4" t="str">
        <f ca="1">IFERROR(__xludf.DUMMYFUNCTION("LOWER(REGEXREPLACE(B503&amp;"" ""&amp;C503,""[^а-яa-z0-9 ]"","" ""))"),"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з"&amp;"аданному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f>
        <v xml:space="preserve">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v>
      </c>
      <c r="G503" s="4" t="str">
        <f ca="1">IFERROR(__xludf.DUMMYFUNCTION("TEXTJOIN(""|"",TRUE,UNIQUE(FILTER(SPLIT(F503,"" ""),LEN(SPLIT(F503,"" ""))&gt;2)))"),"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amp;"|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f>
        <v>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v>
      </c>
      <c r="I503" s="1"/>
      <c r="J503" s="1"/>
    </row>
    <row r="504" spans="1:10" x14ac:dyDescent="0.2">
      <c r="A504" s="8" t="s">
        <v>2122</v>
      </c>
      <c r="B504" s="7" t="s">
        <v>2121</v>
      </c>
      <c r="C504" s="7" t="s">
        <v>2120</v>
      </c>
      <c r="D504" s="6">
        <v>8600</v>
      </c>
      <c r="E504" s="5">
        <v>7</v>
      </c>
      <c r="F504" s="4" t="str">
        <f ca="1">IFERROR(__xludf.DUMMYFUNCTION("LOWER(REGEXREPLACE(B504&amp;"" ""&amp;C504,""[^а-яa-z0-9 ]"","" ""))"),"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развити"&amp;"е         сам        нига для родителей  ")</f>
        <v xml:space="preserve">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v>
      </c>
      <c r="G504" s="4" t="str">
        <f ca="1">IFERROR(__xludf.DUMMYFUNCTION("TEXTJOIN(""|"",TRUE,UNIQUE(FILTER(SPLIT(F504,"" ""),LEN(SPLIT(F504,"" ""))&gt;2)))"),"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f>
        <v>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v>
      </c>
      <c r="I504" s="1"/>
      <c r="J504" s="1"/>
    </row>
    <row r="505" spans="1:10" x14ac:dyDescent="0.2">
      <c r="A505" s="8" t="s">
        <v>2119</v>
      </c>
      <c r="B505" s="7" t="s">
        <v>2118</v>
      </c>
      <c r="C505" s="7" t="s">
        <v>722</v>
      </c>
      <c r="D505" s="6">
        <v>30700</v>
      </c>
      <c r="E505" s="5">
        <v>1</v>
      </c>
      <c r="F505" s="4" t="str">
        <f ca="1">IFERROR(__xludf.DUMMYFUNCTION("LOWER(REGEXREPLACE(B505&amp;"" ""&amp;C505,""[^а-яa-z0-9 ]"","" ""))")," оя  одина    азахстан  юрта      ужикова")</f>
        <v xml:space="preserve"> оя  одина    азахстан  юрта      ужикова</v>
      </c>
      <c r="G505" s="4" t="str">
        <f ca="1">IFERROR(__xludf.DUMMYFUNCTION("TEXTJOIN(""|"",TRUE,UNIQUE(FILTER(SPLIT(F505,"" ""),LEN(SPLIT(F505,"" ""))&gt;2)))"),"одина|азахстан|юрта|ужикова")</f>
        <v>одина|азахстан|юрта|ужикова</v>
      </c>
      <c r="I505" s="1"/>
      <c r="J505" s="1"/>
    </row>
    <row r="506" spans="1:10" x14ac:dyDescent="0.2">
      <c r="A506" s="8" t="s">
        <v>2117</v>
      </c>
      <c r="B506" s="7" t="s">
        <v>2116</v>
      </c>
      <c r="C506" s="7" t="s">
        <v>2115</v>
      </c>
      <c r="D506" s="6">
        <v>6400</v>
      </c>
      <c r="E506" s="5">
        <v>1</v>
      </c>
      <c r="F506" s="4" t="str">
        <f ca="1">IFERROR(__xludf.DUMMYFUNCTION("LOWER(REGEXREPLACE(B506&amp;"" ""&amp;C506,""[^а-яa-z0-9 ]"","" ""))"),"  ел  балалар  о ылы    лендер жина ы    лтынсарин")</f>
        <v xml:space="preserve">  ел  балалар  о ылы    лендер жина ы    лтынсарин</v>
      </c>
      <c r="G506" s="4" t="str">
        <f ca="1">IFERROR(__xludf.DUMMYFUNCTION("TEXTJOIN(""|"",TRUE,UNIQUE(FILTER(SPLIT(F506,"" ""),LEN(SPLIT(F506,"" ""))&gt;2)))"),"балалар|ылы|лендер|жина|лтынсарин")</f>
        <v>балалар|ылы|лендер|жина|лтынсарин</v>
      </c>
      <c r="I506" s="1"/>
      <c r="J506" s="1"/>
    </row>
    <row r="507" spans="1:10" x14ac:dyDescent="0.2">
      <c r="A507" s="8" t="s">
        <v>2114</v>
      </c>
      <c r="B507" s="7" t="s">
        <v>2113</v>
      </c>
      <c r="C507" s="7" t="s">
        <v>2112</v>
      </c>
      <c r="D507" s="6">
        <v>22800</v>
      </c>
      <c r="E507" s="5">
        <v>1</v>
      </c>
      <c r="F507" s="4" t="str">
        <f ca="1">IFERROR(__xludf.DUMMYFUNCTION("LOWER(REGEXREPLACE(B507&amp;"" ""&amp;C507,""[^а-яa-z0-9 ]"","" ""))"),"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перемещени"&amp;"ю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f>
        <v xml:space="preserve">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v>
      </c>
      <c r="G507" s="4" t="str">
        <f ca="1">IFERROR(__xludf.DUMMYFUNCTION("TEXTJOIN(""|"",TRUE,UNIQUE(FILTER(SPLIT(F507,"" ""),LEN(SPLIT(F507,"" ""))&gt;2)))"),"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amp;"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f>
        <v>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v>
      </c>
      <c r="I507" s="1"/>
      <c r="J507" s="1"/>
    </row>
    <row r="508" spans="1:10" x14ac:dyDescent="0.2">
      <c r="A508" s="8" t="s">
        <v>2111</v>
      </c>
      <c r="B508" s="7" t="s">
        <v>2110</v>
      </c>
      <c r="C508" s="7" t="s">
        <v>2109</v>
      </c>
      <c r="D508" s="6">
        <v>19000</v>
      </c>
      <c r="E508" s="5">
        <v>5</v>
      </c>
      <c r="F508" s="4" t="str">
        <f ca="1">IFERROR(__xludf.DUMMYFUNCTION("LOWER(REGEXREPLACE(B508&amp;"" ""&amp;C508,""[^а-яa-z0-9 ]"","" ""))"),"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f>
        <v xml:space="preserve">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v>
      </c>
      <c r="G508" s="4" t="str">
        <f ca="1">IFERROR(__xludf.DUMMYFUNCTION("TEXTJOIN(""|"",TRUE,UNIQUE(FILTER(SPLIT(F508,"" ""),LEN(SPLIT(F508,"" ""))&gt;2)))"),"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f>
        <v>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v>
      </c>
      <c r="I508" s="1"/>
      <c r="J508" s="1"/>
    </row>
    <row r="509" spans="1:10" x14ac:dyDescent="0.2">
      <c r="A509" s="8" t="s">
        <v>2108</v>
      </c>
      <c r="B509" s="7" t="s">
        <v>2107</v>
      </c>
      <c r="C509" s="7" t="s">
        <v>2106</v>
      </c>
      <c r="D509" s="6">
        <v>6700</v>
      </c>
      <c r="E509" s="5">
        <v>7</v>
      </c>
      <c r="F509" s="4" t="str">
        <f ca="1">IFERROR(__xludf.DUMMYFUNCTION("LOWER(REGEXREPLACE(B509&amp;"" ""&amp;C509,""[^а-яa-z0-9 ]"","" ""))"),"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"&amp;"для развития слухового восприятия  внимания  памяти и словарного запаса   рименяется под контролем взрослого в индивидуальной работе и совместном чтении ")</f>
        <v xml:space="preserve">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v>
      </c>
      <c r="G509" s="4" t="str">
        <f ca="1">IFERROR(__xludf.DUMMYFUNCTION("TEXTJOIN(""|"",TRUE,UNIQUE(FILTER(SPLIT(F509,"" ""),LEN(SPLIT(F509,"" ""))&gt;2)))"),"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amp;"ятия|внимания|памяти|словарного|запаса|рименяется|под|контролем|взрослого|индивидуальной|работе|совместном|чтении")</f>
        <v>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v>
      </c>
      <c r="I509" s="1"/>
      <c r="J509" s="1"/>
    </row>
    <row r="510" spans="1:10" x14ac:dyDescent="0.2">
      <c r="A510" s="8" t="s">
        <v>2105</v>
      </c>
      <c r="B510" s="7" t="s">
        <v>2104</v>
      </c>
      <c r="C510" s="7" t="s">
        <v>2103</v>
      </c>
      <c r="D510" s="6">
        <v>159200</v>
      </c>
      <c r="E510" s="5">
        <v>7</v>
      </c>
      <c r="F510" s="4" t="str">
        <f ca="1">IFERROR(__xludf.DUMMYFUNCTION("LOWER(REGEXREPLACE(B510&amp;"" ""&amp;C510,""[^а-яa-z0-9 ]"","" ""))"),"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и"&amp;"гр   агазин     ухня     итание   способствует развитию словарного запаса и воображения ")</f>
        <v xml:space="preserve">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v>
      </c>
      <c r="G510" s="4" t="str">
        <f ca="1">IFERROR(__xludf.DUMMYFUNCTION("TEXTJOIN(""|"",TRUE,UNIQUE(FILTER(SPLIT(F510,"" ""),LEN(SPLIT(F510,"" ""))&gt;2)))"),"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amp;"вует|развитию|словарного|запаса|воображения")</f>
        <v>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v>
      </c>
      <c r="I510" s="1"/>
      <c r="J510" s="1"/>
    </row>
    <row r="511" spans="1:10" x14ac:dyDescent="0.2">
      <c r="A511" s="8" t="s">
        <v>2102</v>
      </c>
      <c r="B511" s="7" t="s">
        <v>2101</v>
      </c>
      <c r="C511" s="7" t="s">
        <v>2100</v>
      </c>
      <c r="D511" s="6">
        <v>2000</v>
      </c>
      <c r="E511" s="5">
        <v>3</v>
      </c>
      <c r="F511" s="4" t="str">
        <f ca="1">IFERROR(__xludf.DUMMYFUNCTION("LOWER(REGEXREPLACE(B511&amp;"" ""&amp;C511,""[^а-яa-z0-9 ]"","" ""))")," усорная корзина  редназначена для сбора отходов  используется в медицинском кабинете и вспомогательных помещениях ")</f>
        <v xml:space="preserve"> усорная корзина  редназначена для сбора отходов  используется в медицинском кабинете и вспомогательных помещениях </v>
      </c>
      <c r="G511" s="4" t="str">
        <f ca="1">IFERROR(__xludf.DUMMYFUNCTION("TEXTJOIN(""|"",TRUE,UNIQUE(FILTER(SPLIT(F511,"" ""),LEN(SPLIT(F511,"" ""))&gt;2)))"),"усорная|корзина|редназначена|для|сбора|отходов|используется|медицинском|кабинете|вспомогательных|помещениях")</f>
        <v>усорная|корзина|редназначена|для|сбора|отходов|используется|медицинском|кабинете|вспомогательных|помещениях</v>
      </c>
      <c r="I511" s="1"/>
      <c r="J511" s="1"/>
    </row>
    <row r="512" spans="1:10" x14ac:dyDescent="0.2">
      <c r="A512" s="8" t="s">
        <v>2099</v>
      </c>
      <c r="B512" s="7" t="s">
        <v>2098</v>
      </c>
      <c r="C512" s="7" t="s">
        <v>2097</v>
      </c>
      <c r="D512" s="6">
        <v>17100</v>
      </c>
      <c r="E512" s="5">
        <v>2</v>
      </c>
      <c r="F512" s="4" t="str">
        <f ca="1">IFERROR(__xludf.DUMMYFUNCTION("LOWER(REGEXREPLACE(B512&amp;"" ""&amp;C512,""[^а-яa-z0-9 ]"","" ""))"),"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f>
        <v xml:space="preserve">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v>
      </c>
      <c r="G512" s="4" t="str">
        <f ca="1">IFERROR(__xludf.DUMMYFUNCTION("TEXTJOIN(""|"",TRUE,UNIQUE(FILTER(SPLIT(F512,"" ""),LEN(SPLIT(F512,"" ""))&gt;2)))"),"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f>
        <v>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v>
      </c>
      <c r="I512" s="1"/>
      <c r="J512" s="1"/>
    </row>
    <row r="513" spans="1:10" x14ac:dyDescent="0.2">
      <c r="A513" s="8" t="s">
        <v>2096</v>
      </c>
      <c r="B513" s="7" t="s">
        <v>2095</v>
      </c>
      <c r="C513" s="7" t="s">
        <v>2094</v>
      </c>
      <c r="D513" s="6">
        <v>9000</v>
      </c>
      <c r="E513" s="5">
        <v>1</v>
      </c>
      <c r="F513" s="4" t="str">
        <f ca="1">IFERROR(__xludf.DUMMYFUNCTION("LOWER(REGEXREPLACE(B513&amp;"" ""&amp;C513,""[^а-яa-z0-9 ]"","" ""))"),"  рагер м  балай айым   оим юным наследникам     аянбай")</f>
        <v xml:space="preserve">  рагер м  балай айым   оим юным наследникам     аянбай</v>
      </c>
      <c r="G513" s="4" t="str">
        <f ca="1">IFERROR(__xludf.DUMMYFUNCTION("TEXTJOIN(""|"",TRUE,UNIQUE(FILTER(SPLIT(F513,"" ""),LEN(SPLIT(F513,"" ""))&gt;2)))"),"рагер|балай|айым|оим|юным|наследникам|аянбай")</f>
        <v>рагер|балай|айым|оим|юным|наследникам|аянбай</v>
      </c>
      <c r="I513" s="1"/>
      <c r="J513" s="1"/>
    </row>
    <row r="514" spans="1:10" x14ac:dyDescent="0.2">
      <c r="A514" s="8" t="s">
        <v>2093</v>
      </c>
      <c r="B514" s="7" t="s">
        <v>2092</v>
      </c>
      <c r="C514" s="7" t="s">
        <v>2091</v>
      </c>
      <c r="D514" s="6">
        <v>7400</v>
      </c>
      <c r="E514" s="5">
        <v>1</v>
      </c>
      <c r="F514" s="4" t="str">
        <f ca="1">IFERROR(__xludf.DUMMYFUNCTION("LOWER(REGEXREPLACE(B514&amp;"" ""&amp;C514,""[^а-яa-z0-9 ]"","" ""))")," ысалдар    рылов  перевод    сылбек ")</f>
        <v xml:space="preserve"> ысалдар    рылов  перевод    сылбек </v>
      </c>
      <c r="G514" s="4" t="str">
        <f ca="1">IFERROR(__xludf.DUMMYFUNCTION("TEXTJOIN(""|"",TRUE,UNIQUE(FILTER(SPLIT(F514,"" ""),LEN(SPLIT(F514,"" ""))&gt;2)))"),"ысалдар|рылов|перевод|сылбек")</f>
        <v>ысалдар|рылов|перевод|сылбек</v>
      </c>
      <c r="I514" s="1"/>
      <c r="J514" s="1"/>
    </row>
    <row r="515" spans="1:10" x14ac:dyDescent="0.2">
      <c r="A515" s="8" t="s">
        <v>2090</v>
      </c>
      <c r="B515" s="7" t="s">
        <v>2089</v>
      </c>
      <c r="C515" s="7" t="s">
        <v>2088</v>
      </c>
      <c r="D515" s="6">
        <v>66500</v>
      </c>
      <c r="E515" s="5">
        <v>6</v>
      </c>
      <c r="F515" s="4" t="str">
        <f ca="1">IFERROR(__xludf.DUMMYFUNCTION("LOWER(REGEXREPLACE(B515&amp;"" ""&amp;C515,""[^а-яa-z0-9 ]"","" ""))")," ягкие дизайнерские пуфики  ягкие пуфики для комфортного чтения и отдыха    гкие  безопасные  без острых углов   орма   фигурная   азмер   400 500 мм  высота 300 350 мм ")</f>
        <v xml:space="preserve"> ягкие дизайнерские пуфики  ягкие пуфики для комфортного чтения и отдыха    гкие  безопасные  без острых углов   орма   фигурная   азмер   400 500 мм  высота 300 350 мм </v>
      </c>
      <c r="G515" s="4" t="str">
        <f ca="1">IFERROR(__xludf.DUMMYFUNCTION("TEXTJOIN(""|"",TRUE,UNIQUE(FILTER(SPLIT(F515,"" ""),LEN(SPLIT(F515,"" ""))&gt;2)))"),"ягкие|дизайнерские|пуфики|ягкие|пуфики|для|комфортного|чтения|отдыха|гкие|безопасные|без|острых|углов|орма|фигурная|азмер|400|500|высота|300|350")</f>
        <v>ягкие|дизайнерские|пуфики|ягкие|пуфики|для|комфортного|чтения|отдыха|гкие|безопасные|без|острых|углов|орма|фигурная|азмер|400|500|высота|300|350</v>
      </c>
      <c r="I515" s="1"/>
      <c r="J515" s="1"/>
    </row>
    <row r="516" spans="1:10" x14ac:dyDescent="0.2">
      <c r="A516" s="8" t="s">
        <v>2087</v>
      </c>
      <c r="B516" s="7" t="s">
        <v>2086</v>
      </c>
      <c r="C516" s="7" t="s">
        <v>2085</v>
      </c>
      <c r="D516" s="6">
        <v>15000</v>
      </c>
      <c r="E516" s="5">
        <v>5</v>
      </c>
      <c r="F516" s="4" t="str">
        <f ca="1">IFERROR(__xludf.DUMMYFUNCTION("LOWER(REGEXREPLACE(B516&amp;"" ""&amp;C516,""[^а-яa-z0-9 ]"","" ""))"),"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безопасны"&amp;"х материалов  не имеют острых элементов  подходят для ежедневного использования в условиях     ")</f>
        <v xml:space="preserve">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v>
      </c>
      <c r="G516" s="4" t="str">
        <f ca="1">IFERROR(__xludf.DUMMYFUNCTION("TEXTJOIN(""|"",TRUE,UNIQUE(FILTER(SPLIT(F516,"" ""),LEN(SPLIT(F516,"" ""))&gt;2)))"),"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amp;"острых|элементов|подходят|для|ежедневного|использования|условиях")</f>
        <v>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v>
      </c>
      <c r="I516" s="1"/>
      <c r="J516" s="1"/>
    </row>
    <row r="517" spans="1:10" x14ac:dyDescent="0.2">
      <c r="A517" s="8" t="s">
        <v>2084</v>
      </c>
      <c r="B517" s="7" t="s">
        <v>2083</v>
      </c>
      <c r="C517" s="7" t="s">
        <v>2082</v>
      </c>
      <c r="D517" s="6">
        <v>66500</v>
      </c>
      <c r="E517" s="5">
        <v>7</v>
      </c>
      <c r="F517" s="4" t="str">
        <f ca="1">IFERROR(__xludf.DUMMYFUNCTION("LOWER(REGEXREPLACE(B517&amp;"" ""&amp;C517,""[^а-яa-z0-9 ]"","" ""))"),"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коорди"&amp;"нации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f>
        <v xml:space="preserve">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v>
      </c>
      <c r="G517" s="4" t="str">
        <f ca="1">IFERROR(__xludf.DUMMYFUNCTION("TEXTJOIN(""|"",TRUE,UNIQUE(FILTER(SPLIT(F517,"" ""),LEN(SPLIT(F517,"" ""))&gt;2)))"),"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amp;"актического|мышления|онструкция|выполнена|дерева|элементы|закреплены|стационарно|одходит|для|индивидуальной|игровой|деятельности")</f>
        <v>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v>
      </c>
      <c r="I517" s="1"/>
      <c r="J517" s="1"/>
    </row>
    <row r="518" spans="1:10" x14ac:dyDescent="0.2">
      <c r="A518" s="8" t="s">
        <v>2081</v>
      </c>
      <c r="B518" s="7" t="s">
        <v>2080</v>
      </c>
      <c r="C518" s="7" t="s">
        <v>2079</v>
      </c>
      <c r="D518" s="6">
        <v>9500</v>
      </c>
      <c r="E518" s="5">
        <v>2</v>
      </c>
      <c r="F518" s="4" t="str">
        <f ca="1">IFERROR(__xludf.DUMMYFUNCTION("LOWER(REGEXREPLACE(B518&amp;"" ""&amp;C518,""[^а-яa-z0-9 ]"","" ""))"),"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"&amp;"активной игре и падениях ")</f>
        <v xml:space="preserve">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v>
      </c>
      <c r="G518" s="4" t="str">
        <f ca="1">IFERROR(__xludf.DUMMYFUNCTION("TEXTJOIN(""|"",TRUE,UNIQUE(FILTER(SPLIT(F518,"" ""),LEN(SPLIT(F518,"" ""))&gt;2)))"),"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f>
        <v>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v>
      </c>
      <c r="I518" s="1"/>
      <c r="J518" s="1"/>
    </row>
    <row r="519" spans="1:10" x14ac:dyDescent="0.2">
      <c r="A519" s="8" t="s">
        <v>2078</v>
      </c>
      <c r="B519" s="7" t="s">
        <v>2077</v>
      </c>
      <c r="C519" s="7" t="s">
        <v>2076</v>
      </c>
      <c r="D519" s="6">
        <v>585200</v>
      </c>
      <c r="E519" s="5">
        <v>2</v>
      </c>
      <c r="F519" s="4" t="str">
        <f ca="1">IFERROR(__xludf.DUMMYFUNCTION("LOWER(REGEXREPLACE(B519&amp;"" ""&amp;C519,""[^а-яa-z0-9 ]"","" ""))"),"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сюж"&amp;"етных игр   аполнитель мягкий и упругий  поверхность износостойкая и пригодна для регулярной очистки ")</f>
        <v xml:space="preserve">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v>
      </c>
      <c r="G519" s="4" t="str">
        <f ca="1">IFERROR(__xludf.DUMMYFUNCTION("TEXTJOIN(""|"",TRUE,UNIQUE(FILTER(SPLIT(F519,"" ""),LEN(SPLIT(F519,"" ""))&gt;2)))"),"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amp;"|мягкий|упругий|поверхность|износостойкая|пригодна|для|регулярной|очистки")</f>
        <v>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v>
      </c>
      <c r="I519" s="1"/>
      <c r="J519" s="1"/>
    </row>
    <row r="520" spans="1:10" x14ac:dyDescent="0.2">
      <c r="A520" s="8" t="s">
        <v>2075</v>
      </c>
      <c r="B520" s="7" t="s">
        <v>2074</v>
      </c>
      <c r="C520" s="7" t="s">
        <v>2073</v>
      </c>
      <c r="D520" s="6">
        <v>109200</v>
      </c>
      <c r="E520" s="5">
        <v>1</v>
      </c>
      <c r="F520" s="4" t="str">
        <f ca="1">IFERROR(__xludf.DUMMYFUNCTION("LOWER(REGEXREPLACE(B520&amp;"" ""&amp;C520,""[^а-яa-z0-9 ]"","" ""))")," ягкий диван для реб нка в кабинете психолога  иван divan   азмеры 500x1200x600 мм")</f>
        <v xml:space="preserve"> ягкий диван для реб нка в кабинете психолога  иван divan   азмеры 500x1200x600 мм</v>
      </c>
      <c r="G520" s="4" t="str">
        <f ca="1">IFERROR(__xludf.DUMMYFUNCTION("TEXTJOIN(""|"",TRUE,UNIQUE(FILTER(SPLIT(F520,"" ""),LEN(SPLIT(F520,"" ""))&gt;2)))"),"ягкий|диван|для|реб|нка|кабинете|психолога|иван|divan|азмеры|500x1200x600")</f>
        <v>ягкий|диван|для|реб|нка|кабинете|психолога|иван|divan|азмеры|500x1200x600</v>
      </c>
      <c r="I520" s="1"/>
      <c r="J520" s="1"/>
    </row>
    <row r="521" spans="1:10" x14ac:dyDescent="0.2">
      <c r="A521" s="8" t="s">
        <v>2072</v>
      </c>
      <c r="B521" s="7" t="s">
        <v>2071</v>
      </c>
      <c r="C521" s="7" t="s">
        <v>2070</v>
      </c>
      <c r="D521" s="6">
        <v>756000</v>
      </c>
      <c r="E521" s="5">
        <v>1</v>
      </c>
      <c r="F521" s="4" t="str">
        <f ca="1">IFERROR(__xludf.DUMMYFUNCTION("LOWER(REGEXREPLACE(B521&amp;"" ""&amp;C521,""[^а-яa-z0-9 ]"","" ""))")," ягкий классический диван для индивидуального при ма у психолога  иван 2 местный   азмеры  129x70x71   х х   ")</f>
        <v xml:space="preserve"> ягкий классический диван для индивидуального при ма у психолога  иван 2 местный   азмеры  129x70x71   х х   </v>
      </c>
      <c r="G521" s="4" t="str">
        <f ca="1">IFERROR(__xludf.DUMMYFUNCTION("TEXTJOIN(""|"",TRUE,UNIQUE(FILTER(SPLIT(F521,"" ""),LEN(SPLIT(F521,"" ""))&gt;2)))"),"ягкий|классический|диван|для|индивидуального|при|психолога|иван|местный|азмеры|129x70x71")</f>
        <v>ягкий|классический|диван|для|индивидуального|при|психолога|иван|местный|азмеры|129x70x71</v>
      </c>
      <c r="I521" s="1"/>
      <c r="J521" s="1"/>
    </row>
    <row r="522" spans="1:10" x14ac:dyDescent="0.2">
      <c r="A522" s="8" t="s">
        <v>2069</v>
      </c>
      <c r="B522" s="7" t="s">
        <v>2068</v>
      </c>
      <c r="C522" s="7" t="s">
        <v>2067</v>
      </c>
      <c r="D522" s="6">
        <v>9500</v>
      </c>
      <c r="E522" s="5">
        <v>1</v>
      </c>
      <c r="F522" s="4" t="str">
        <f ca="1">IFERROR(__xludf.DUMMYFUNCTION("LOWER(REGEXREPLACE(B522&amp;"" ""&amp;C522,""[^а-яa-z0-9 ]"","" ""))"),"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f>
        <v xml:space="preserve">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v>
      </c>
      <c r="G522" s="4" t="str">
        <f ca="1">IFERROR(__xludf.DUMMYFUNCTION("TEXTJOIN(""|"",TRUE,UNIQUE(FILTER(SPLIT(F522,"" ""),LEN(SPLIT(F522,"" ""))&gt;2)))"),"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f>
        <v>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v>
      </c>
      <c r="I522" s="1"/>
      <c r="J522" s="1"/>
    </row>
    <row r="523" spans="1:10" x14ac:dyDescent="0.2">
      <c r="A523" s="8" t="s">
        <v>2066</v>
      </c>
      <c r="B523" s="7" t="s">
        <v>2065</v>
      </c>
      <c r="C523" s="7" t="s">
        <v>2064</v>
      </c>
      <c r="D523" s="6">
        <v>45000</v>
      </c>
      <c r="E523" s="5">
        <v>4</v>
      </c>
      <c r="F523" s="4" t="str">
        <f ca="1">IFERROR(__xludf.DUMMYFUNCTION("LOWER(REGEXREPLACE(B523&amp;"" ""&amp;C523,""[^а-яa-z0-9 ]"","" ""))"),"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нескользящая"&amp;"  легко очищается и устойчива к ежедневному использованию в детских учреждениях   атериал не впитывает влагу  сохраняет форму и цвет  безопасен для детей ")</f>
        <v xml:space="preserve">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v>
      </c>
      <c r="G523" s="4" t="str">
        <f ca="1">IFERROR(__xludf.DUMMYFUNCTION("TEXTJOIN(""|"",TRUE,UNIQUE(FILTER(SPLIT(F523,"" ""),LEN(SPLIT(F523,"" ""))&gt;2)))"),"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amp;"чива|ежедневному|использованию|детских|учреждениях|атериал|впитывает|влагу|сохраняет|форму|цвет|безопасен|для|детей")</f>
        <v>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v>
      </c>
      <c r="I523" s="1"/>
      <c r="J523" s="1"/>
    </row>
    <row r="524" spans="1:10" x14ac:dyDescent="0.2">
      <c r="A524" s="7"/>
      <c r="B524" s="7"/>
      <c r="C524" s="7" t="s">
        <v>2063</v>
      </c>
      <c r="D524" s="6">
        <v>45000</v>
      </c>
      <c r="E524" s="5">
        <v>100</v>
      </c>
      <c r="F524" s="4" t="str">
        <f ca="1">IFERROR(__xludf.DUMMYFUNCTION("LOWER(REGEXREPLACE(B524&amp;"" ""&amp;C524,""[^а-яa-z0-9 ]"","" ""))"),"  редназначен для организации игровой  развивающей и двигательной деятельности   атериал гипоаллергенный  устойчивый к износу и прост в уходе   азмер 2 5x2м")</f>
        <v xml:space="preserve">  редназначен для организации игровой  развивающей и двигательной деятельности   атериал гипоаллергенный  устойчивый к износу и прост в уходе   азмер 2 5x2м</v>
      </c>
      <c r="G524" s="4" t="str">
        <f ca="1">IFERROR(__xludf.DUMMYFUNCTION("TEXTJOIN(""|"",TRUE,UNIQUE(FILTER(SPLIT(F524,"" ""),LEN(SPLIT(F524,"" ""))&gt;2)))"),"редназначен|для|организации|игровой|развивающей|двигательной|деятельности|атериал|гипоаллергенный|устойчивый|износу|прост|уходе|азмер|5x2м")</f>
        <v>редназначен|для|организации|игровой|развивающей|двигательной|деятельности|атериал|гипоаллергенный|устойчивый|износу|прост|уходе|азмер|5x2м</v>
      </c>
      <c r="I524" s="1"/>
      <c r="J524" s="1"/>
    </row>
    <row r="525" spans="1:10" x14ac:dyDescent="0.2">
      <c r="A525" s="8" t="s">
        <v>2062</v>
      </c>
      <c r="B525" s="7" t="s">
        <v>2061</v>
      </c>
      <c r="C525" s="7" t="s">
        <v>2060</v>
      </c>
      <c r="D525" s="6">
        <v>20900</v>
      </c>
      <c r="E525" s="5">
        <v>3</v>
      </c>
      <c r="F525" s="4" t="str">
        <f ca="1">IFERROR(__xludf.DUMMYFUNCTION("LOWER(REGEXREPLACE(B525&amp;"" ""&amp;C525,""[^а-яa-z0-9 ]"","" ""))"),"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f>
        <v xml:space="preserve">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v>
      </c>
      <c r="G525" s="4" t="str">
        <f ca="1">IFERROR(__xludf.DUMMYFUNCTION("TEXTJOIN(""|"",TRUE,UNIQUE(FILTER(SPLIT(F525,"" ""),LEN(SPLIT(F525,"" ""))&gt;2)))"),"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f>
        <v>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v>
      </c>
      <c r="I525" s="1"/>
      <c r="J525" s="1"/>
    </row>
    <row r="526" spans="1:10" x14ac:dyDescent="0.2">
      <c r="A526" s="8" t="s">
        <v>2059</v>
      </c>
      <c r="B526" s="7" t="s">
        <v>2058</v>
      </c>
      <c r="C526" s="7" t="s">
        <v>2057</v>
      </c>
      <c r="D526" s="6">
        <v>20900</v>
      </c>
      <c r="E526" s="5">
        <v>3</v>
      </c>
      <c r="F526" s="4" t="str">
        <f ca="1">IFERROR(__xludf.DUMMYFUNCTION("LOWER(REGEXREPLACE(B526&amp;"" ""&amp;C526,""[^а-яa-z0-9 ]"","" ""))"),"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f>
        <v xml:space="preserve">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v>
      </c>
      <c r="G526" s="4" t="str">
        <f ca="1">IFERROR(__xludf.DUMMYFUNCTION("TEXTJOIN(""|"",TRUE,UNIQUE(FILTER(SPLIT(F526,"" ""),LEN(SPLIT(F526,"" ""))&gt;2)))"),"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f>
        <v>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v>
      </c>
      <c r="I526" s="1"/>
      <c r="J526" s="1"/>
    </row>
    <row r="527" spans="1:10" x14ac:dyDescent="0.2">
      <c r="A527" s="8" t="s">
        <v>2056</v>
      </c>
      <c r="B527" s="7" t="s">
        <v>2055</v>
      </c>
      <c r="C527" s="7" t="s">
        <v>2054</v>
      </c>
      <c r="D527" s="6">
        <v>2400</v>
      </c>
      <c r="E527" s="5">
        <v>10</v>
      </c>
      <c r="F527" s="4" t="str">
        <f ca="1">IFERROR(__xludf.DUMMYFUNCTION("LOWER(REGEXREPLACE(B527&amp;"" ""&amp;C527,""[^а-яa-z0-9 ]"","" ""))"),"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f>
        <v xml:space="preserve">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v>
      </c>
      <c r="G527" s="4" t="str">
        <f ca="1">IFERROR(__xludf.DUMMYFUNCTION("TEXTJOIN(""|"",TRUE,UNIQUE(FILTER(SPLIT(F527,"" ""),LEN(SPLIT(F527,"" ""))&gt;2)))"),"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f>
        <v>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v>
      </c>
      <c r="I527" s="1"/>
      <c r="J527" s="1"/>
    </row>
    <row r="528" spans="1:10" x14ac:dyDescent="0.2">
      <c r="A528" s="8" t="s">
        <v>2053</v>
      </c>
      <c r="B528" s="7" t="s">
        <v>2052</v>
      </c>
      <c r="C528" s="7" t="s">
        <v>2051</v>
      </c>
      <c r="D528" s="6">
        <v>342000</v>
      </c>
      <c r="E528" s="5">
        <v>1</v>
      </c>
      <c r="F528" s="4" t="str">
        <f ca="1">IFERROR(__xludf.DUMMYFUNCTION("LOWER(REGEXREPLACE(B528&amp;"" ""&amp;C528,""[^а-яa-z0-9 ]"","" ""))"),"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сп"&amp;"особствует развитию мелкой моторики  сенсомоторной координации и концентрации внимания   орпус выполнен из фанеры ")</f>
        <v xml:space="preserve">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v>
      </c>
      <c r="G528" s="4" t="str">
        <f ca="1">IFERROR(__xludf.DUMMYFUNCTION("TEXTJOIN(""|"",TRUE,UNIQUE(FILTER(SPLIT(F528,"" ""),LEN(SPLIT(F528,"" ""))&gt;2)))"),"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amp;"мелкой|моторики|сенсомоторной|координации|концентрации|внимания|орпус|выполнен|фанеры")</f>
        <v>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v>
      </c>
      <c r="I528" s="1"/>
      <c r="J528" s="1"/>
    </row>
    <row r="529" spans="1:10" x14ac:dyDescent="0.2">
      <c r="A529" s="8" t="s">
        <v>2050</v>
      </c>
      <c r="B529" s="7" t="s">
        <v>2049</v>
      </c>
      <c r="C529" s="7" t="s">
        <v>2048</v>
      </c>
      <c r="D529" s="6">
        <v>3200</v>
      </c>
      <c r="E529" s="5">
        <v>15</v>
      </c>
      <c r="F529" s="4" t="str">
        <f ca="1">IFERROR(__xludf.DUMMYFUNCTION("LOWER(REGEXREPLACE(B529&amp;"" ""&amp;C529,""[^а-яa-z0-9 ]"","" ""))"),"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f>
        <v xml:space="preserve">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v>
      </c>
      <c r="G529" s="4" t="str">
        <f ca="1">IFERROR(__xludf.DUMMYFUNCTION("TEXTJOIN(""|"",TRUE,UNIQUE(FILTER(SPLIT(F529,"" ""),LEN(SPLIT(F529,"" ""))&gt;2)))"),"для|метания|редназначен|для|метательных|упражнений|развития|силы|координации|моторного|контроля|спользуется|спортивных|коррекционных|занятиях")</f>
        <v>для|метания|редназначен|для|метательных|упражнений|развития|силы|координации|моторного|контроля|спользуется|спортивных|коррекционных|занятиях</v>
      </c>
      <c r="I529" s="1"/>
      <c r="J529" s="1"/>
    </row>
    <row r="530" spans="1:10" x14ac:dyDescent="0.2">
      <c r="A530" s="8" t="s">
        <v>2047</v>
      </c>
      <c r="B530" s="7" t="s">
        <v>2046</v>
      </c>
      <c r="C530" s="7" t="s">
        <v>2045</v>
      </c>
      <c r="D530" s="6">
        <v>3000</v>
      </c>
      <c r="E530" s="5">
        <v>2</v>
      </c>
      <c r="F530" s="4" t="str">
        <f ca="1">IFERROR(__xludf.DUMMYFUNCTION("LOWER(REGEXREPLACE(B530&amp;"" ""&amp;C530,""[^а-яa-z0-9 ]"","" ""))"),"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f>
        <v xml:space="preserve">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v>
      </c>
      <c r="G530" s="4" t="str">
        <f ca="1">IFERROR(__xludf.DUMMYFUNCTION("TEXTJOIN(""|"",TRUE,UNIQUE(FILTER(SPLIT(F530,"" ""),LEN(SPLIT(F530,"" ""))&gt;2)))"),"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f>
        <v>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v>
      </c>
      <c r="I530" s="1"/>
      <c r="J530" s="1"/>
    </row>
    <row r="531" spans="1:10" x14ac:dyDescent="0.2">
      <c r="A531" s="8" t="s">
        <v>2044</v>
      </c>
      <c r="B531" s="7" t="s">
        <v>2043</v>
      </c>
      <c r="C531" s="7" t="s">
        <v>2042</v>
      </c>
      <c r="D531" s="6">
        <v>3200</v>
      </c>
      <c r="E531" s="5">
        <v>15</v>
      </c>
      <c r="F531" s="4" t="str">
        <f ca="1">IFERROR(__xludf.DUMMYFUNCTION("LOWER(REGEXREPLACE(B531&amp;"" ""&amp;C531,""[^а-яa-z0-9 ]"","" ""))"),"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f>
        <v xml:space="preserve">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v>
      </c>
      <c r="G531" s="4" t="str">
        <f ca="1">IFERROR(__xludf.DUMMYFUNCTION("TEXTJOIN(""|"",TRUE,UNIQUE(FILTER(SPLIT(F531,"" ""),LEN(SPLIT(F531,"" ""))&gt;2)))"),"резиновый|ниверсальный|мяч|для|свободных|игр|физических|упражнений|спользуется|помещении|улице|сохраняет|форму|упругость|при|активной|эксплуатации")</f>
        <v>резиновый|ниверсальный|мяч|для|свободных|игр|физических|упражнений|спользуется|помещении|улице|сохраняет|форму|упругость|при|активной|эксплуатации</v>
      </c>
      <c r="I531" s="1"/>
      <c r="J531" s="1"/>
    </row>
    <row r="532" spans="1:10" x14ac:dyDescent="0.2">
      <c r="A532" s="8" t="s">
        <v>2041</v>
      </c>
      <c r="B532" s="7" t="s">
        <v>2040</v>
      </c>
      <c r="C532" s="7" t="s">
        <v>2039</v>
      </c>
      <c r="D532" s="6">
        <v>4800</v>
      </c>
      <c r="E532" s="5">
        <v>10</v>
      </c>
      <c r="F532" s="4" t="str">
        <f ca="1">IFERROR(__xludf.DUMMYFUNCTION("LOWER(REGEXREPLACE(B532&amp;"" ""&amp;C532,""[^а-яa-z0-9 ]"","" ""))")," яч резиновый 100 мм  яч малого диаметра для игр и упражнений на координацию и метание   добен для детской руки  хорошо отскакивает от поверхности ")</f>
        <v xml:space="preserve"> яч резиновый 100 мм  яч малого диаметра для игр и упражнений на координацию и метание   добен для детской руки  хорошо отскакивает от поверхности </v>
      </c>
      <c r="G532" s="4" t="str">
        <f ca="1">IFERROR(__xludf.DUMMYFUNCTION("TEXTJOIN(""|"",TRUE,UNIQUE(FILTER(SPLIT(F532,"" ""),LEN(SPLIT(F532,"" ""))&gt;2)))"),"резиновый|100|малого|диаметра|для|игр|упражнений|координацию|метание|добен|для|детской|руки|хорошо|отскакивает|поверхности")</f>
        <v>резиновый|100|малого|диаметра|для|игр|упражнений|координацию|метание|добен|для|детской|руки|хорошо|отскакивает|поверхности</v>
      </c>
      <c r="I532" s="1"/>
      <c r="J532" s="1"/>
    </row>
    <row r="533" spans="1:10" x14ac:dyDescent="0.2">
      <c r="A533" s="8" t="s">
        <v>2038</v>
      </c>
      <c r="B533" s="7" t="s">
        <v>2037</v>
      </c>
      <c r="C533" s="7" t="s">
        <v>2036</v>
      </c>
      <c r="D533" s="6">
        <v>8400</v>
      </c>
      <c r="E533" s="5">
        <v>15</v>
      </c>
      <c r="F533" s="4" t="str">
        <f ca="1">IFERROR(__xludf.DUMMYFUNCTION("LOWER(REGEXREPLACE(B533&amp;"" ""&amp;C533,""[^а-яa-z0-9 ]"","" ""))"),"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f>
        <v xml:space="preserve">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v>
      </c>
      <c r="G533" s="4" t="str">
        <f ca="1">IFERROR(__xludf.DUMMYFUNCTION("TEXTJOIN(""|"",TRUE,UNIQUE(FILTER(SPLIT(F533,"" ""),LEN(SPLIT(F533,"" ""))&gt;2)))"),"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f>
        <v>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v>
      </c>
      <c r="I533" s="1"/>
      <c r="J533" s="1"/>
    </row>
    <row r="534" spans="1:10" x14ac:dyDescent="0.2">
      <c r="A534" s="8" t="s">
        <v>2035</v>
      </c>
      <c r="B534" s="7" t="s">
        <v>2034</v>
      </c>
      <c r="C534" s="7" t="s">
        <v>2033</v>
      </c>
      <c r="D534" s="6">
        <v>8600</v>
      </c>
      <c r="E534" s="5">
        <v>10</v>
      </c>
      <c r="F534" s="4" t="str">
        <f ca="1">IFERROR(__xludf.DUMMYFUNCTION("LOWER(REGEXREPLACE(B534&amp;"" ""&amp;C534,""[^а-яa-z0-9 ]"","" ""))"),"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f>
        <v xml:space="preserve">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v>
      </c>
      <c r="G534" s="4" t="str">
        <f ca="1">IFERROR(__xludf.DUMMYFUNCTION("TEXTJOIN(""|"",TRUE,UNIQUE(FILTER(SPLIT(F534,"" ""),LEN(SPLIT(F534,"" ""))&gt;2)))"),"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f>
        <v>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v>
      </c>
      <c r="I534" s="1"/>
      <c r="J534" s="1"/>
    </row>
    <row r="535" spans="1:10" x14ac:dyDescent="0.2">
      <c r="A535" s="8" t="s">
        <v>2032</v>
      </c>
      <c r="B535" s="7" t="s">
        <v>2031</v>
      </c>
      <c r="C535" s="7" t="s">
        <v>2030</v>
      </c>
      <c r="D535" s="6">
        <v>2100</v>
      </c>
      <c r="E535" s="5">
        <v>25</v>
      </c>
      <c r="F535" s="4" t="str">
        <f ca="1">IFERROR(__xludf.DUMMYFUNCTION("LOWER(REGEXREPLACE(B535&amp;"" ""&amp;C535,""[^а-яa-z0-9 ]"","" ""))"),"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f>
        <v xml:space="preserve">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v>
      </c>
      <c r="G535" s="4" t="str">
        <f ca="1">IFERROR(__xludf.DUMMYFUNCTION("TEXTJOIN(""|"",TRUE,UNIQUE(FILTER(SPLIT(F535,"" ""),LEN(SPLIT(F535,"" ""))&gt;2)))"),"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f>
        <v>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v>
      </c>
      <c r="I535" s="1"/>
      <c r="J535" s="1"/>
    </row>
    <row r="536" spans="1:10" x14ac:dyDescent="0.2">
      <c r="A536" s="8" t="s">
        <v>2029</v>
      </c>
      <c r="B536" s="7" t="s">
        <v>2028</v>
      </c>
      <c r="C536" s="7" t="s">
        <v>2027</v>
      </c>
      <c r="D536" s="6">
        <v>50900</v>
      </c>
      <c r="E536" s="5">
        <v>5</v>
      </c>
      <c r="F536" s="4" t="str">
        <f ca="1">IFERROR(__xludf.DUMMYFUNCTION("LOWER(REGEXREPLACE(B536&amp;"" ""&amp;C536,""[^а-яa-z0-9 ]"","" ""))"),"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f>
        <v xml:space="preserve">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v>
      </c>
      <c r="G536" s="4" t="str">
        <f ca="1">IFERROR(__xludf.DUMMYFUNCTION("TEXTJOIN(""|"",TRUE,UNIQUE(FILTER(SPLIT(F536,"" ""),LEN(SPLIT(F536,"" ""))&gt;2)))"),"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f>
        <v>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v>
      </c>
      <c r="I536" s="1"/>
      <c r="J536" s="1"/>
    </row>
    <row r="537" spans="1:10" x14ac:dyDescent="0.2">
      <c r="A537" s="8" t="s">
        <v>2026</v>
      </c>
      <c r="B537" s="7" t="s">
        <v>2025</v>
      </c>
      <c r="C537" s="7" t="s">
        <v>2024</v>
      </c>
      <c r="D537" s="6">
        <v>12400</v>
      </c>
      <c r="E537" s="5">
        <v>7</v>
      </c>
      <c r="F537" s="4" t="str">
        <f ca="1">IFERROR(__xludf.DUMMYFUNCTION("LOWER(REGEXREPLACE(B537&amp;"" ""&amp;C537,""[^а-яa-z0-9 ]"","" ""))"),"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цветны"&amp;"е рыбки и дополнительные игровые детали   одходит для индивидуальной и совместной деятельности детей ")</f>
        <v xml:space="preserve">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v>
      </c>
      <c r="G537" s="4" t="str">
        <f ca="1">IFERROR(__xludf.DUMMYFUNCTION("TEXTJOIN(""|"",TRUE,UNIQUE(FILTER(SPLIT(F537,"" ""),LEN(SPLIT(F537,"" ""))&gt;2)))"),"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amp;"льные|игровые|детали|одходит|для|индивидуальной|совместной|деятельности|детей")</f>
        <v>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v>
      </c>
      <c r="I537" s="1"/>
      <c r="J537" s="1"/>
    </row>
    <row r="538" spans="1:10" x14ac:dyDescent="0.2">
      <c r="A538" s="8" t="s">
        <v>2023</v>
      </c>
      <c r="B538" s="7" t="s">
        <v>2022</v>
      </c>
      <c r="C538" s="7" t="s">
        <v>2021</v>
      </c>
      <c r="D538" s="6">
        <v>305900</v>
      </c>
      <c r="E538" s="5">
        <v>8</v>
      </c>
      <c r="F538" s="4" t="str">
        <f ca="1">IFERROR(__xludf.DUMMYFUNCTION("LOWER(REGEXREPLACE(B538&amp;"" ""&amp;C538,""[^а-яa-z0-9 ]"","" ""))"),"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f>
        <v xml:space="preserve">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v>
      </c>
      <c r="G538" s="4" t="str">
        <f ca="1">IFERROR(__xludf.DUMMYFUNCTION("TEXTJOIN(""|"",TRUE,UNIQUE(FILTER(SPLIT(F538,"" ""),LEN(SPLIT(F538,"" ""))&gt;2)))"),"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f>
        <v>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v>
      </c>
      <c r="I538" s="1"/>
      <c r="J538" s="1"/>
    </row>
    <row r="539" spans="1:10" x14ac:dyDescent="0.2">
      <c r="A539" s="8" t="s">
        <v>2020</v>
      </c>
      <c r="B539" s="7" t="s">
        <v>2019</v>
      </c>
      <c r="C539" s="7" t="s">
        <v>1986</v>
      </c>
      <c r="D539" s="6">
        <v>15000</v>
      </c>
      <c r="E539" s="5">
        <v>1</v>
      </c>
      <c r="F539" s="4" t="str">
        <f ca="1">IFERROR(__xludf.DUMMYFUNCTION("LOWER(REGEXREPLACE(B539&amp;"" ""&amp;C539,""[^а-яa-z0-9 ]"","" ""))")," иология    ай  р  же  л под ред      анеш  перевод  арт      ")</f>
        <v xml:space="preserve"> иология    ай  р  же  л под ред      анеш  перевод  арт      </v>
      </c>
      <c r="G539" s="4" t="str">
        <f ca="1">IFERROR(__xludf.DUMMYFUNCTION("TEXTJOIN(""|"",TRUE,UNIQUE(FILTER(SPLIT(F539,"" ""),LEN(SPLIT(F539,"" ""))&gt;2)))"),"иология|под|ред|анеш|перевод|арт")</f>
        <v>иология|под|ред|анеш|перевод|арт</v>
      </c>
      <c r="I539" s="1"/>
      <c r="J539" s="1"/>
    </row>
    <row r="540" spans="1:10" x14ac:dyDescent="0.2">
      <c r="A540" s="8" t="s">
        <v>2018</v>
      </c>
      <c r="B540" s="7" t="s">
        <v>2017</v>
      </c>
      <c r="C540" s="7" t="s">
        <v>2016</v>
      </c>
      <c r="D540" s="6">
        <v>25700</v>
      </c>
      <c r="E540" s="5">
        <v>2</v>
      </c>
      <c r="F540" s="4" t="str">
        <f ca="1">IFERROR(__xludf.DUMMYFUNCTION("LOWER(REGEXREPLACE(B540&amp;"" ""&amp;C540,""[^а-яa-z0-9 ]"","" ""))"),"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моделей"&amp;"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"&amp;"точек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обязательн"&amp;"ым контролем специалиста ")</f>
        <v xml:space="preserve">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v>
      </c>
      <c r="G540" s="4" t="str">
        <f ca="1">IFERROR(__xludf.DUMMYFUNCTION("TEXTJOIN(""|"",TRUE,UNIQUE(FILTER(SPLIT(F540,"" ""),LEN(SPLIT(F540,"" ""))&gt;2)))"),"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amp;"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amp;"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f>
        <v>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v>
      </c>
      <c r="I540" s="1"/>
      <c r="J540" s="1"/>
    </row>
    <row r="541" spans="1:10" x14ac:dyDescent="0.2">
      <c r="A541" s="8" t="s">
        <v>2015</v>
      </c>
      <c r="B541" s="7" t="s">
        <v>2014</v>
      </c>
      <c r="C541" s="7" t="s">
        <v>2013</v>
      </c>
      <c r="D541" s="6">
        <v>38200</v>
      </c>
      <c r="E541" s="5">
        <v>7</v>
      </c>
      <c r="F541" s="4" t="str">
        <f ca="1">IFERROR(__xludf.DUMMYFUNCTION("LOWER(REGEXREPLACE(B541&amp;"" ""&amp;C541,""[^а-яa-z0-9 ]"","" ""))"),"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f>
        <v xml:space="preserve">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v>
      </c>
      <c r="G541" s="4" t="str">
        <f ca="1">IFERROR(__xludf.DUMMYFUNCTION("TEXTJOIN(""|"",TRUE,UNIQUE(FILTER(SPLIT(F541,"" ""),LEN(SPLIT(F541,"" ""))&gt;2)))"),"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f>
        <v>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v>
      </c>
      <c r="I541" s="1"/>
      <c r="J541" s="1"/>
    </row>
    <row r="542" spans="1:10" x14ac:dyDescent="0.2">
      <c r="A542" s="8" t="s">
        <v>2012</v>
      </c>
      <c r="B542" s="7" t="s">
        <v>2011</v>
      </c>
      <c r="C542" s="7" t="s">
        <v>2010</v>
      </c>
      <c r="D542" s="6">
        <v>4200</v>
      </c>
      <c r="E542" s="5">
        <v>5</v>
      </c>
      <c r="F542" s="4" t="str">
        <f ca="1">IFERROR(__xludf.DUMMYFUNCTION("LOWER(REGEXREPLACE(B542&amp;"" ""&amp;C542,""[^а-яa-z0-9 ]"","" ""))"),"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в"&amp;"озраста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f>
        <v xml:space="preserve">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v>
      </c>
      <c r="G542" s="4" t="str">
        <f ca="1">IFERROR(__xludf.DUMMYFUNCTION("TEXTJOIN(""|"",TRUE,UNIQUE(FILTER(SPLIT(F542,"" ""),LEN(SPLIT(F542,"" ""))&gt;2)))"),"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amp;"я|развития|мелкой|моторики|координации|глаз|рука|навыков|штриховки|атериал|восковая|основа|пигментами|бумажная|ртка|при|наличии|омплектация")</f>
        <v>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v>
      </c>
      <c r="I542" s="1"/>
      <c r="J542" s="1"/>
    </row>
    <row r="543" spans="1:10" x14ac:dyDescent="0.2">
      <c r="A543" s="8" t="s">
        <v>2009</v>
      </c>
      <c r="B543" s="7" t="s">
        <v>2008</v>
      </c>
      <c r="C543" s="7" t="s">
        <v>2007</v>
      </c>
      <c r="D543" s="6">
        <v>15200</v>
      </c>
      <c r="E543" s="5">
        <v>1</v>
      </c>
      <c r="F543" s="4" t="str">
        <f ca="1">IFERROR(__xludf.DUMMYFUNCTION("LOWER(REGEXREPLACE(B543&amp;"" ""&amp;C543,""[^а-яa-z0-9 ]"","" ""))"),"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развивать"&amp;"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f>
        <v xml:space="preserve">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v>
      </c>
      <c r="G543" s="4" t="str">
        <f ca="1">IFERROR(__xludf.DUMMYFUNCTION("TEXTJOIN(""|"",TRUE,UNIQUE(FILTER(SPLIT(F543,"" ""),LEN(SPLIT(F543,"" ""))&gt;2)))"),"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amp;"навыки|сортировки|добный|контейнер|обеспечивает|хранение|профилактику|потери|деталей|атериал|пластик|омплектация|гайки|болты|контейнер|набору")</f>
        <v>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v>
      </c>
      <c r="I543" s="1"/>
      <c r="J543" s="1"/>
    </row>
    <row r="544" spans="1:10" x14ac:dyDescent="0.2">
      <c r="A544" s="8" t="s">
        <v>2006</v>
      </c>
      <c r="B544" s="7" t="s">
        <v>2005</v>
      </c>
      <c r="C544" s="7" t="s">
        <v>2004</v>
      </c>
      <c r="D544" s="6">
        <v>45800</v>
      </c>
      <c r="E544" s="5">
        <v>5</v>
      </c>
      <c r="F544" s="4" t="str">
        <f ca="1">IFERROR(__xludf.DUMMYFUNCTION("LOWER(REGEXREPLACE(B544&amp;"" ""&amp;C544,""[^а-яa-z0-9 ]"","" ""))"),"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спользуется"&amp;"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f>
        <v xml:space="preserve">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v>
      </c>
      <c r="G544" s="4" t="str">
        <f ca="1">IFERROR(__xludf.DUMMYFUNCTION("TEXTJOIN(""|"",TRUE,UNIQUE(FILTER(SPLIT(F544,"" ""),LEN(SPLIT(F544,"" ""))&gt;2)))"),"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amp;"|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f>
        <v>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v>
      </c>
      <c r="I544" s="1"/>
      <c r="J544" s="1"/>
    </row>
    <row r="545" spans="1:10" x14ac:dyDescent="0.2">
      <c r="A545" s="8" t="s">
        <v>2003</v>
      </c>
      <c r="B545" s="7" t="s">
        <v>2002</v>
      </c>
      <c r="C545" s="7" t="s">
        <v>2001</v>
      </c>
      <c r="D545" s="6">
        <v>6700</v>
      </c>
      <c r="E545" s="5">
        <v>8</v>
      </c>
      <c r="F545" s="4" t="str">
        <f ca="1">IFERROR(__xludf.DUMMYFUNCTION("LOWER(REGEXREPLACE(B545&amp;"" ""&amp;C545,""[^а-яa-z0-9 ]"","" ""))"),"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пок"&amp;"рытосеменные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f>
        <v xml:space="preserve">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v>
      </c>
      <c r="G545" s="4" t="str">
        <f ca="1">IFERROR(__xludf.DUMMYFUNCTION("TEXTJOIN(""|"",TRUE,UNIQUE(FILTER(SPLIT(F545,"" ""),LEN(SPLIT(F545,"" ""))&gt;2)))"),"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amp;"ь|строение|признаки|формировать|навыки|наблюдения|описания|атериал|высушенные|образцы|бумажной|основе|папках|комплекту")</f>
        <v>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v>
      </c>
      <c r="I545" s="1"/>
      <c r="J545" s="1"/>
    </row>
    <row r="546" spans="1:10" x14ac:dyDescent="0.2">
      <c r="A546" s="8" t="s">
        <v>2000</v>
      </c>
      <c r="B546" s="7" t="s">
        <v>1999</v>
      </c>
      <c r="C546" s="7" t="s">
        <v>1998</v>
      </c>
      <c r="D546" s="6">
        <v>8600</v>
      </c>
      <c r="E546" s="5">
        <v>7</v>
      </c>
      <c r="F546" s="4" t="str">
        <f ca="1">IFERROR(__xludf.DUMMYFUNCTION("LOWER(REGEXREPLACE(B546&amp;"" ""&amp;C546,""[^а-яa-z0-9 ]"","" ""))"),"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их"&amp;"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пом"&amp;"ещении ")</f>
        <v xml:space="preserve">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v>
      </c>
      <c r="G546" s="4" t="str">
        <f ca="1">IFERROR(__xludf.DUMMYFUNCTION("TEXTJOIN(""|"",TRUE,UNIQUE(FILTER(SPLIT(F546,"" ""),LEN(SPLIT(F546,"" ""))&gt;2)))"),"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amp;"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f>
        <v>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v>
      </c>
      <c r="I546" s="1"/>
      <c r="J546" s="1"/>
    </row>
    <row r="547" spans="1:10" x14ac:dyDescent="0.2">
      <c r="A547" s="8" t="s">
        <v>1997</v>
      </c>
      <c r="B547" s="7" t="s">
        <v>1996</v>
      </c>
      <c r="C547" s="7" t="s">
        <v>1995</v>
      </c>
      <c r="D547" s="6">
        <v>9900</v>
      </c>
      <c r="E547" s="5">
        <v>15</v>
      </c>
      <c r="F547" s="4" t="str">
        <f ca="1">IFERROR(__xludf.DUMMYFUNCTION("LOWER(REGEXREPLACE(B547&amp;"" ""&amp;C547,""[^а-яa-z0-9 ]"","" ""))"),"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зад"&amp;"аний по образцу  сравнения и простых операций   одходит для индивидуальной и подгрупповой работы   атериал  дерево  основа и элементы   картон  карточки  ")</f>
        <v xml:space="preserve">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v>
      </c>
      <c r="G547" s="4" t="str">
        <f ca="1">IFERROR(__xludf.DUMMYFUNCTION("TEXTJOIN(""|"",TRUE,UNIQUE(FILTER(SPLIT(F547,"" ""),LEN(SPLIT(F547,"" ""))&gt;2)))"),"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amp;"простых|операций|одходит|для|индивидуальной|подгрупповой|работы|атериал|дерево|основа|элементы|картон|карточки")</f>
        <v>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v>
      </c>
      <c r="I547" s="1"/>
      <c r="J547" s="1"/>
    </row>
    <row r="548" spans="1:10" x14ac:dyDescent="0.2">
      <c r="A548" s="8" t="s">
        <v>1994</v>
      </c>
      <c r="B548" s="7" t="s">
        <v>1993</v>
      </c>
      <c r="C548" s="7" t="s">
        <v>1992</v>
      </c>
      <c r="D548" s="6">
        <v>13100</v>
      </c>
      <c r="E548" s="5">
        <v>14</v>
      </c>
      <c r="F548" s="4" t="str">
        <f ca="1">IFERROR(__xludf.DUMMYFUNCTION("LOWER(REGEXREPLACE(B548&amp;"" ""&amp;C548,""[^а-яa-z0-9 ]"","" ""))"),"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за"&amp;"нятиях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f>
        <v xml:space="preserve">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v>
      </c>
      <c r="G548" s="4" t="str">
        <f ca="1">IFERROR(__xludf.DUMMYFUNCTION("TEXTJOIN(""|"",TRUE,UNIQUE(FILTER(SPLIT(F548,"" ""),LEN(SPLIT(F548,"" ""))&gt;2)))"),"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amp;"е|помогает|тренировать|аккуратность|концентрацию|атериал|дерево|омплектация|набор|предметов|черпаки|лопатки|ложки|комплекту")</f>
        <v>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v>
      </c>
      <c r="I548" s="1"/>
      <c r="J548" s="1"/>
    </row>
    <row r="549" spans="1:10" x14ac:dyDescent="0.2">
      <c r="A549" s="8" t="s">
        <v>1991</v>
      </c>
      <c r="B549" s="7" t="s">
        <v>1990</v>
      </c>
      <c r="C549" s="7" t="s">
        <v>1989</v>
      </c>
      <c r="D549" s="6">
        <v>273600</v>
      </c>
      <c r="E549" s="5">
        <v>7</v>
      </c>
      <c r="F549" s="4" t="str">
        <f ca="1">IFERROR(__xludf.DUMMYFUNCTION("LOWER(REGEXREPLACE(B549&amp;"" ""&amp;C549,""[^а-яa-z0-9 ]"","" ""))"),"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"&amp;"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f>
        <v xml:space="preserve">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v>
      </c>
      <c r="G549" s="4" t="str">
        <f ca="1">IFERROR(__xludf.DUMMYFUNCTION("TEXTJOIN(""|"",TRUE,UNIQUE(FILTER(SPLIT(F549,"" ""),LEN(SPLIT(F549,"" ""))&gt;2)))"),"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amp;"езопасны|при|использовании|детьми|атериал|дерево|защитное|покрытие|лак|или|аналогичное|безопасное|омплектация|элемента|описанию|набора")</f>
        <v>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v>
      </c>
      <c r="I549" s="1"/>
      <c r="J549" s="1"/>
    </row>
    <row r="550" spans="1:10" x14ac:dyDescent="0.2">
      <c r="A550" s="8" t="s">
        <v>1988</v>
      </c>
      <c r="B550" s="7" t="s">
        <v>1987</v>
      </c>
      <c r="C550" s="7" t="s">
        <v>1986</v>
      </c>
      <c r="D550" s="6">
        <v>15000</v>
      </c>
      <c r="E550" s="5">
        <v>1</v>
      </c>
      <c r="F550" s="4" t="str">
        <f ca="1">IFERROR(__xludf.DUMMYFUNCTION("LOWER(REGEXREPLACE(B550&amp;"" ""&amp;C550,""[^а-яa-z0-9 ]"","" ""))")," иология   росто и легко под ред      анеш  перевод  арт      ")</f>
        <v xml:space="preserve"> иология   росто и легко под ред      анеш  перевод  арт      </v>
      </c>
      <c r="G550" s="4" t="str">
        <f ca="1">IFERROR(__xludf.DUMMYFUNCTION("TEXTJOIN(""|"",TRUE,UNIQUE(FILTER(SPLIT(F550,"" ""),LEN(SPLIT(F550,"" ""))&gt;2)))"),"иология|росто|легко|под|ред|анеш|перевод|арт")</f>
        <v>иология|росто|легко|под|ред|анеш|перевод|арт</v>
      </c>
      <c r="I550" s="1"/>
      <c r="J550" s="1"/>
    </row>
    <row r="551" spans="1:10" x14ac:dyDescent="0.2">
      <c r="A551" s="8" t="s">
        <v>1985</v>
      </c>
      <c r="B551" s="7" t="s">
        <v>1984</v>
      </c>
      <c r="C551" s="7" t="s">
        <v>1983</v>
      </c>
      <c r="D551" s="6">
        <v>19000</v>
      </c>
      <c r="E551" s="5">
        <v>1</v>
      </c>
      <c r="F551" s="4" t="str">
        <f ca="1">IFERROR(__xludf.DUMMYFUNCTION("LOWER(REGEXREPLACE(B551&amp;"" ""&amp;C551,""[^а-яa-z0-9 ]"","" ""))"),"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мероприятиях"&amp;"   гра на инструментах способствует развитию координации движений  слухового восприятия и эмоциональной выразительности ")</f>
        <v xml:space="preserve">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v>
      </c>
      <c r="G551" s="4" t="str">
        <f ca="1">IFERROR(__xludf.DUMMYFUNCTION("TEXTJOIN(""|"",TRUE,UNIQUE(FILTER(SPLIT(F551,"" ""),LEN(SPLIT(F551,"" ""))&gt;2)))"),"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amp;"ах|способствует|развитию|координации|движений|слухового|восприятия|эмоциональной|выразительности")</f>
        <v>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v>
      </c>
      <c r="I551" s="1"/>
      <c r="J551" s="1"/>
    </row>
    <row r="552" spans="1:10" x14ac:dyDescent="0.2">
      <c r="A552" s="8" t="s">
        <v>1982</v>
      </c>
      <c r="B552" s="7" t="s">
        <v>1981</v>
      </c>
      <c r="C552" s="7" t="s">
        <v>1980</v>
      </c>
      <c r="D552" s="6">
        <v>114000</v>
      </c>
      <c r="E552" s="5">
        <v>5</v>
      </c>
      <c r="F552" s="4" t="str">
        <f ca="1">IFERROR(__xludf.DUMMYFUNCTION("LOWER(REGEXREPLACE(B552&amp;"" ""&amp;C552,""[^а-яa-z0-9 ]"","" ""))"),"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деяте"&amp;"льность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f>
        <v xml:space="preserve">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v>
      </c>
      <c r="G552" s="4" t="str">
        <f ca="1">IFERROR(__xludf.DUMMYFUNCTION("TEXTJOIN(""|"",TRUE,UNIQUE(FILTER(SPLIT(F552,"" ""),LEN(SPLIT(F552,"" ""))&gt;2)))"),"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amp;"ует|развитию|слухового|восприятия|чувства|ритма|атериалы|дерево|металл|кожа|оличество|предметов|менее|предусмотрена|сумка|для|хранения")</f>
        <v>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v>
      </c>
      <c r="I552" s="1"/>
      <c r="J552" s="1"/>
    </row>
    <row r="553" spans="1:10" x14ac:dyDescent="0.2">
      <c r="A553" s="8" t="s">
        <v>1979</v>
      </c>
      <c r="B553" s="7" t="s">
        <v>1978</v>
      </c>
      <c r="C553" s="7" t="s">
        <v>1977</v>
      </c>
      <c r="D553" s="6">
        <v>34200</v>
      </c>
      <c r="E553" s="5">
        <v>14</v>
      </c>
      <c r="F553" s="4" t="str">
        <f ca="1">IFERROR(__xludf.DUMMYFUNCTION("LOWER(REGEXREPLACE(B553&amp;"" ""&amp;C553,""[^а-яa-z0-9 ]"","" ""))"),"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способс"&amp;"твует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f>
        <v xml:space="preserve">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v>
      </c>
      <c r="G553" s="4" t="str">
        <f ca="1">IFERROR(__xludf.DUMMYFUNCTION("TEXTJOIN(""|"",TRUE,UNIQUE(FILTER(SPLIT(F553,"" ""),LEN(SPLIT(F553,"" ""))&gt;2)))"),"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amp;"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f>
        <v>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v>
      </c>
      <c r="I553" s="1"/>
      <c r="J553" s="1"/>
    </row>
    <row r="554" spans="1:10" x14ac:dyDescent="0.2">
      <c r="A554" s="8" t="s">
        <v>1976</v>
      </c>
      <c r="B554" s="7" t="s">
        <v>1975</v>
      </c>
      <c r="C554" s="7" t="s">
        <v>1974</v>
      </c>
      <c r="D554" s="6">
        <v>14100</v>
      </c>
      <c r="E554" s="5">
        <v>5</v>
      </c>
      <c r="F554" s="4" t="str">
        <f ca="1">IFERROR(__xludf.DUMMYFUNCTION("LOWER(REGEXREPLACE(B554&amp;"" ""&amp;C554,""[^а-яa-z0-9 ]"","" ""))"),"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иг"&amp;"ру   добен для работы в малых группах   атериал  металл пластик  корпус ручки   по набору    омплектация  8 колокольчиков  8 тонов  ")</f>
        <v xml:space="preserve">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v>
      </c>
      <c r="G554" s="4" t="str">
        <f ca="1">IFERROR(__xludf.DUMMYFUNCTION("TEXTJOIN(""|"",TRUE,UNIQUE(FILTER(SPLIT(F554,"" ""),LEN(SPLIT(F554,"" ""))&gt;2)))"),"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amp;"алых|группах|атериал|металл|пластик|корпус|ручки|набору|омплектация|колокольчиков|тонов")</f>
        <v>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v>
      </c>
      <c r="I554" s="1"/>
      <c r="J554" s="1"/>
    </row>
    <row r="555" spans="1:10" x14ac:dyDescent="0.2">
      <c r="A555" s="8" t="s">
        <v>1973</v>
      </c>
      <c r="B555" s="7" t="s">
        <v>1972</v>
      </c>
      <c r="C555" s="7" t="s">
        <v>1971</v>
      </c>
      <c r="D555" s="6">
        <v>8500</v>
      </c>
      <c r="E555" s="5">
        <v>5</v>
      </c>
      <c r="F555" s="4" t="str">
        <f ca="1">IFERROR(__xludf.DUMMYFUNCTION("LOWER(REGEXREPLACE(B555&amp;"" ""&amp;C555,""[^а-яa-z0-9 ]"","" ""))"),"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д"&amp;"етей  безопасные формы  без острых кромок   атериал  пластик  основные элементы   текстиль  сумка чехол   при наличии    омплектация  15 предметов  по списку набора  ")</f>
        <v xml:space="preserve">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v>
      </c>
      <c r="G555" s="4" t="str">
        <f ca="1">IFERROR(__xludf.DUMMYFUNCTION("TEXTJOIN(""|"",TRUE,UNIQUE(FILTER(SPLIT(F555,"" ""),LEN(SPLIT(F555,"" ""))&gt;2)))"),"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amp;"рмы|без|острых|кромок|атериал|пластик|основные|элементы|текстиль|сумка|чехол|при|наличии|омплектация|предметов|списку|набора")</f>
        <v>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v>
      </c>
      <c r="I555" s="1"/>
      <c r="J555" s="1"/>
    </row>
    <row r="556" spans="1:10" x14ac:dyDescent="0.2">
      <c r="A556" s="8" t="s">
        <v>1970</v>
      </c>
      <c r="B556" s="7" t="s">
        <v>1969</v>
      </c>
      <c r="C556" s="7" t="s">
        <v>1968</v>
      </c>
      <c r="D556" s="6">
        <v>8600</v>
      </c>
      <c r="E556" s="5">
        <v>7</v>
      </c>
      <c r="F556" s="4" t="str">
        <f ca="1">IFERROR(__xludf.DUMMYFUNCTION("LOWER(REGEXREPLACE(B556&amp;"" ""&amp;C556,""[^а-яa-z0-9 ]"","" ""))"),"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регул"&amp;"ярной санитарной обработкой   атериал  пластик  или дерево   по комплекту  ")</f>
        <v xml:space="preserve">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v>
      </c>
      <c r="G556" s="4" t="str">
        <f ca="1">IFERROR(__xludf.DUMMYFUNCTION("TEXTJOIN(""|"",TRUE,UNIQUE(FILTER(SPLIT(F556,"" ""),LEN(SPLIT(F556,"" ""))&gt;2)))"),"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amp;"|атериал|пластик|или|дерево|комплекту")</f>
        <v>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v>
      </c>
      <c r="I556" s="1"/>
      <c r="J556" s="1"/>
    </row>
    <row r="557" spans="1:10" x14ac:dyDescent="0.2">
      <c r="A557" s="8" t="s">
        <v>1967</v>
      </c>
      <c r="B557" s="7" t="s">
        <v>1966</v>
      </c>
      <c r="C557" s="7" t="s">
        <v>1965</v>
      </c>
      <c r="D557" s="6">
        <v>79800</v>
      </c>
      <c r="E557" s="5">
        <v>15</v>
      </c>
      <c r="F557" s="4" t="str">
        <f ca="1">IFERROR(__xludf.DUMMYFUNCTION("LOWER(REGEXREPLACE(B557&amp;"" ""&amp;C557,""[^а-яa-z0-9 ]"","" ""))"),"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осваива"&amp;"ют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р"&amp;"азвивает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на"&amp;"личии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f>
        <v xml:space="preserve">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v>
      </c>
      <c r="G557" s="4" t="str">
        <f ca="1">IFERROR(__xludf.DUMMYFUNCTION("TEXTJOIN(""|"",TRUE,UNIQUE(FILTER(SPLIT(F557,"" ""),LEN(SPLIT(F557,"" ""))&gt;2)))"),"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amp;"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amp;"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amp;"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f>
        <v>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v>
      </c>
      <c r="I557" s="1"/>
      <c r="J557" s="1"/>
    </row>
    <row r="558" spans="1:10" x14ac:dyDescent="0.2">
      <c r="A558" s="8" t="s">
        <v>1964</v>
      </c>
      <c r="B558" s="7" t="s">
        <v>1963</v>
      </c>
      <c r="C558" s="7" t="s">
        <v>1962</v>
      </c>
      <c r="D558" s="6">
        <v>14700</v>
      </c>
      <c r="E558" s="5">
        <v>5</v>
      </c>
      <c r="F558" s="4" t="str">
        <f ca="1">IFERROR(__xludf.DUMMYFUNCTION("LOWER(REGEXREPLACE(B558&amp;"" ""&amp;C558,""[^а-яa-z0-9 ]"","" ""))"),"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инстру"&amp;"кции   атериал  пластик картон  элементы модели и материалы набора   по комплекту  ")</f>
        <v xml:space="preserve">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v>
      </c>
      <c r="G558" s="4" t="str">
        <f ca="1">IFERROR(__xludf.DUMMYFUNCTION("TEXTJOIN(""|"",TRUE,UNIQUE(FILTER(SPLIT(F558,"" ""),LEN(SPLIT(F558,"" ""))&gt;2)))"),"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amp;"тик|картон|элементы|модели|материалы|набора|комплекту")</f>
        <v>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v>
      </c>
      <c r="I558" s="1"/>
      <c r="J558" s="1"/>
    </row>
    <row r="559" spans="1:10" x14ac:dyDescent="0.2">
      <c r="A559" s="8" t="s">
        <v>1961</v>
      </c>
      <c r="B559" s="7" t="s">
        <v>1960</v>
      </c>
      <c r="C559" s="7" t="s">
        <v>1959</v>
      </c>
      <c r="D559" s="6">
        <v>12700</v>
      </c>
      <c r="E559" s="5">
        <v>14</v>
      </c>
      <c r="F559" s="4" t="str">
        <f ca="1">IFERROR(__xludf.DUMMYFUNCTION("LOWER(REGEXREPLACE(B559&amp;"" ""&amp;C559,""[^а-яa-z0-9 ]"","" ""))"),"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во"&amp;"ображение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обраб"&amp;"откой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f>
        <v xml:space="preserve">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v>
      </c>
      <c r="G559" s="4" t="str">
        <f ca="1">IFERROR(__xludf.DUMMYFUNCTION("TEXTJOIN(""|"",TRUE,UNIQUE(FILTER(SPLIT(F559,"" ""),LEN(SPLIT(F559,"" ""))&gt;2)))"),"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amp;"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amp;"стойчивое|активному|использованию|абор|удобен|для|хранения|транспортировки|подходит|для|индивидуальных|групповых|игр")</f>
        <v>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v>
      </c>
      <c r="I559" s="1"/>
      <c r="J559" s="1"/>
    </row>
    <row r="560" spans="1:10" x14ac:dyDescent="0.2">
      <c r="A560" s="8" t="s">
        <v>1958</v>
      </c>
      <c r="B560" s="7" t="s">
        <v>1957</v>
      </c>
      <c r="C560" s="7" t="s">
        <v>1956</v>
      </c>
      <c r="D560" s="6">
        <v>18200</v>
      </c>
      <c r="E560" s="5">
        <v>35</v>
      </c>
      <c r="F560" s="4" t="str">
        <f ca="1">IFERROR(__xludf.DUMMYFUNCTION("LOWER(REGEXREPLACE(B560&amp;"" ""&amp;C560,""[^а-яa-z0-9 ]"","" ""))"),"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"&amp;"формой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"&amp;"для регулярного использования в условиях     ")</f>
        <v xml:space="preserve">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v>
      </c>
      <c r="G560" s="4" t="str">
        <f ca="1">IFERROR(__xludf.DUMMYFUNCTION("TEXTJOIN(""|"",TRUE,UNIQUE(FILTER(SPLIT(F560,"" ""),LEN(SPLIT(F560,"" ""))&gt;2)))"),"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amp;"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f>
        <v>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v>
      </c>
      <c r="I560" s="1"/>
      <c r="J560" s="1"/>
    </row>
    <row r="561" spans="1:10" x14ac:dyDescent="0.2">
      <c r="A561" s="8" t="s">
        <v>1955</v>
      </c>
      <c r="B561" s="7" t="s">
        <v>1954</v>
      </c>
      <c r="C561" s="7" t="s">
        <v>733</v>
      </c>
      <c r="D561" s="6">
        <v>5200</v>
      </c>
      <c r="E561" s="5">
        <v>1</v>
      </c>
      <c r="F561" s="4" t="str">
        <f ca="1">IFERROR(__xludf.DUMMYFUNCTION("LOWER(REGEXREPLACE(B561&amp;"" ""&amp;C561,""[^а-яa-z0-9 ]"","" ""))"),"  зд   с й кт   аламыз  лматы  дерект  повесть  уреханова   ")</f>
        <v xml:space="preserve">  зд   с й кт   аламыз  лматы  дерект  повесть  уреханова   </v>
      </c>
      <c r="G561" s="4" t="str">
        <f ca="1">IFERROR(__xludf.DUMMYFUNCTION("TEXTJOIN(""|"",TRUE,UNIQUE(FILTER(SPLIT(F561,"" ""),LEN(SPLIT(F561,"" ""))&gt;2)))"),"аламыз|лматы|дерект|повесть|уреханова")</f>
        <v>аламыз|лматы|дерект|повесть|уреханова</v>
      </c>
      <c r="I561" s="1"/>
      <c r="J561" s="1"/>
    </row>
    <row r="562" spans="1:10" x14ac:dyDescent="0.2">
      <c r="A562" s="8" t="s">
        <v>1953</v>
      </c>
      <c r="B562" s="7" t="s">
        <v>1952</v>
      </c>
      <c r="C562" s="7" t="s">
        <v>1951</v>
      </c>
      <c r="D562" s="6">
        <v>4900</v>
      </c>
      <c r="E562" s="5">
        <v>5</v>
      </c>
      <c r="F562" s="4" t="str">
        <f ca="1">IFERROR(__xludf.DUMMYFUNCTION("LOWER(REGEXREPLACE(B562&amp;"" ""&amp;C562,""[^а-яa-z0-9 ]"","" ""))"),"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орган"&amp;"изации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f>
        <v xml:space="preserve">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v>
      </c>
      <c r="G562" s="4" t="str">
        <f ca="1">IFERROR(__xludf.DUMMYFUNCTION("TEXTJOIN(""|"",TRUE,UNIQUE(FILTER(SPLIT(F562,"" ""),LEN(SPLIT(F562,"" ""))&gt;2)))"),"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amp;"иал|изготовления|пластик|устойчивый|регулярному|применению|омплект|включает|основание|набор|колец|менее|типовой|комплектации")</f>
        <v>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v>
      </c>
      <c r="I562" s="1"/>
      <c r="J562" s="1"/>
    </row>
    <row r="563" spans="1:10" x14ac:dyDescent="0.2">
      <c r="A563" s="8" t="s">
        <v>1950</v>
      </c>
      <c r="B563" s="7" t="s">
        <v>1949</v>
      </c>
      <c r="C563" s="7" t="s">
        <v>1948</v>
      </c>
      <c r="D563" s="6">
        <v>15300</v>
      </c>
      <c r="E563" s="5">
        <v>5</v>
      </c>
      <c r="F563" s="4" t="str">
        <f ca="1">IFERROR(__xludf.DUMMYFUNCTION("LOWER(REGEXREPLACE(B563&amp;"" ""&amp;C563,""[^а-яa-z0-9 ]"","" ""))"),"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перв"&amp;"ичных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из"&amp;" прочного безопасного пластика  не имеют острых кра в и адаптированы для детских игр ")</f>
        <v xml:space="preserve">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v>
      </c>
      <c r="G563" s="4" t="str">
        <f ca="1">IFERROR(__xludf.DUMMYFUNCTION("TEXTJOIN(""|"",TRUE,UNIQUE(FILTER(SPLIT(F563,"" ""),LEN(SPLIT(F563,"" ""))&gt;2)))"),"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amp;"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amp;"ра|адаптированы|для|детских|игр")</f>
        <v>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v>
      </c>
      <c r="I563" s="1"/>
      <c r="J563" s="1"/>
    </row>
    <row r="564" spans="1:10" x14ac:dyDescent="0.2">
      <c r="A564" s="8" t="s">
        <v>1947</v>
      </c>
      <c r="B564" s="7" t="s">
        <v>1946</v>
      </c>
      <c r="C564" s="7" t="s">
        <v>1945</v>
      </c>
      <c r="D564" s="6">
        <v>9500</v>
      </c>
      <c r="E564" s="5">
        <v>1</v>
      </c>
      <c r="F564" s="4" t="str">
        <f ca="1">IFERROR(__xludf.DUMMYFUNCTION("LOWER(REGEXREPLACE(B564&amp;"" ""&amp;C564,""[^а-яa-z0-9 ]"","" ""))"),"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сре"&amp;"де   игурки выполнены из эластичного безопасного материала  удобны для детской руки и подходят для систематического использования в условиях     ")</f>
        <v xml:space="preserve">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v>
      </c>
      <c r="G564" s="4" t="str">
        <f ca="1">IFERROR(__xludf.DUMMYFUNCTION("TEXTJOIN(""|"",TRUE,UNIQUE(FILTER(SPLIT(F564,"" ""),LEN(SPLIT(F564,"" ""))&gt;2)))"),"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amp;"нены|эластичного|безопасного|материала|удобны|для|детской|руки|подходят|для|систематического|использования|условиях")</f>
        <v>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v>
      </c>
      <c r="I564" s="1"/>
      <c r="J564" s="1"/>
    </row>
    <row r="565" spans="1:10" x14ac:dyDescent="0.2">
      <c r="A565" s="8" t="s">
        <v>1944</v>
      </c>
      <c r="B565" s="7" t="s">
        <v>1943</v>
      </c>
      <c r="C565" s="7" t="s">
        <v>1942</v>
      </c>
      <c r="D565" s="6">
        <v>5600</v>
      </c>
      <c r="E565" s="5">
        <v>5</v>
      </c>
      <c r="F565" s="4" t="str">
        <f ca="1">IFERROR(__xludf.DUMMYFUNCTION("LOWER(REGEXREPLACE(B565&amp;"" ""&amp;C565,""[^а-яa-z0-9 ]"","" ""))"),"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"&amp;"животных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f>
        <v xml:space="preserve">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v>
      </c>
      <c r="G565" s="4" t="str">
        <f ca="1">IFERROR(__xludf.DUMMYFUNCTION("TEXTJOIN(""|"",TRUE,UNIQUE(FILTER(SPLIT(F565,"" ""),LEN(SPLIT(F565,"" ""))&gt;2)))"),"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amp;"|что|делает|удобными|для|демонстрации|самостоятельной|игры|детьми|одходит|для|занятий|ознакомлению|окружающим|миром")</f>
        <v>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v>
      </c>
      <c r="I565" s="1"/>
      <c r="J565" s="1"/>
    </row>
    <row r="566" spans="1:10" x14ac:dyDescent="0.2">
      <c r="A566" s="8" t="s">
        <v>1941</v>
      </c>
      <c r="B566" s="7" t="s">
        <v>1940</v>
      </c>
      <c r="C566" s="7" t="s">
        <v>1939</v>
      </c>
      <c r="D566" s="6">
        <v>1900</v>
      </c>
      <c r="E566" s="5">
        <v>5</v>
      </c>
      <c r="F566" s="4" t="str">
        <f ca="1">IFERROR(__xludf.DUMMYFUNCTION("LOWER(REGEXREPLACE(B566&amp;"" ""&amp;C566,""[^а-яa-z0-9 ]"","" ""))"),"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р"&amp;"азвития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f>
        <v xml:space="preserve">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v>
      </c>
      <c r="G566" s="4" t="str">
        <f ca="1">IFERROR(__xludf.DUMMYFUNCTION("TEXTJOIN(""|"",TRUE,UNIQUE(FILTER(SPLIT(F566,"" ""),LEN(SPLIT(F566,"" ""))&gt;2)))"),"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amp;"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f>
        <v>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v>
      </c>
      <c r="I566" s="1"/>
      <c r="J566" s="1"/>
    </row>
    <row r="567" spans="1:10" x14ac:dyDescent="0.2">
      <c r="A567" s="8" t="s">
        <v>1938</v>
      </c>
      <c r="B567" s="7" t="s">
        <v>1937</v>
      </c>
      <c r="C567" s="7" t="s">
        <v>1936</v>
      </c>
      <c r="D567" s="6">
        <v>19800</v>
      </c>
      <c r="E567" s="5">
        <v>5</v>
      </c>
      <c r="F567" s="4" t="str">
        <f ca="1">IFERROR(__xludf.DUMMYFUNCTION("LOWER(REGEXREPLACE(B567&amp;"" ""&amp;C567,""[^а-яa-z0-9 ]"","" ""))"),"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"&amp;"индивидуально   атериал  пластик полимер  по комплекту    омплектация  6 предметов ")</f>
        <v xml:space="preserve">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v>
      </c>
      <c r="G567" s="4" t="str">
        <f ca="1">IFERROR(__xludf.DUMMYFUNCTION("TEXTJOIN(""|"",TRUE,UNIQUE(FILTER(SPLIT(F567,"" ""),LEN(SPLIT(F567,"" ""))&gt;2)))"),"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amp;"тик|полимер|комплекту|омплектация|предметов")</f>
        <v>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v>
      </c>
      <c r="I567" s="1"/>
      <c r="J567" s="1"/>
    </row>
    <row r="568" spans="1:10" x14ac:dyDescent="0.2">
      <c r="A568" s="8" t="s">
        <v>1935</v>
      </c>
      <c r="B568" s="7" t="s">
        <v>1934</v>
      </c>
      <c r="C568" s="7" t="s">
        <v>1933</v>
      </c>
      <c r="D568" s="6">
        <v>13300</v>
      </c>
      <c r="E568" s="5">
        <v>6</v>
      </c>
      <c r="F568" s="4" t="str">
        <f ca="1">IFERROR(__xludf.DUMMYFUNCTION("LOWER(REGEXREPLACE(B568&amp;"" ""&amp;C568,""[^а-яa-z0-9 ]"","" ""))"),"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"&amp;"   атериал  дерево и пластик  по набору  ")</f>
        <v xml:space="preserve">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v>
      </c>
      <c r="G568" s="4" t="str">
        <f ca="1">IFERROR(__xludf.DUMMYFUNCTION("TEXTJOIN(""|"",TRUE,UNIQUE(FILTER(SPLIT(F568,"" ""),LEN(SPLIT(F568,"" ""))&gt;2)))"),"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amp;"ик|набору")</f>
        <v>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v>
      </c>
      <c r="I568" s="1"/>
      <c r="J568" s="1"/>
    </row>
    <row r="569" spans="1:10" x14ac:dyDescent="0.2">
      <c r="A569" s="8" t="s">
        <v>1932</v>
      </c>
      <c r="B569" s="7" t="s">
        <v>1931</v>
      </c>
      <c r="C569" s="7" t="s">
        <v>1930</v>
      </c>
      <c r="D569" s="6">
        <v>10500</v>
      </c>
      <c r="E569" s="5">
        <v>7</v>
      </c>
      <c r="F569" s="4" t="str">
        <f ca="1">IFERROR(__xludf.DUMMYFUNCTION("LOWER(REGEXREPLACE(B569&amp;"" ""&amp;C569,""[^а-яa-z0-9 ]"","" ""))"),"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поря"&amp;"док в игровой зоне   атериал  пластик ")</f>
        <v xml:space="preserve">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v>
      </c>
      <c r="G569" s="4" t="str">
        <f ca="1">IFERROR(__xludf.DUMMYFUNCTION("TEXTJOIN(""|"",TRUE,UNIQUE(FILTER(SPLIT(F569,"" ""),LEN(SPLIT(F569,"" ""))&gt;2)))"),"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amp;"ериал|пластик")</f>
        <v>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v>
      </c>
      <c r="I569" s="1"/>
      <c r="J569" s="1"/>
    </row>
    <row r="570" spans="1:10" x14ac:dyDescent="0.2">
      <c r="A570" s="8" t="s">
        <v>1929</v>
      </c>
      <c r="B570" s="7" t="s">
        <v>1928</v>
      </c>
      <c r="C570" s="7" t="s">
        <v>1927</v>
      </c>
      <c r="D570" s="6">
        <v>319200</v>
      </c>
      <c r="E570" s="5">
        <v>7</v>
      </c>
      <c r="F570" s="4" t="str">
        <f ca="1">IFERROR(__xludf.DUMMYFUNCTION("LOWER(REGEXREPLACE(B570&amp;"" ""&amp;C570,""[^а-яa-z0-9 ]"","" ""))"),"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устой"&amp;"чивая  элементы адаптированы для детской игры   атериал  дерево   омплектация  юрта и элементы убранства  по набору  ")</f>
        <v xml:space="preserve">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v>
      </c>
      <c r="G570" s="4" t="str">
        <f ca="1">IFERROR(__xludf.DUMMYFUNCTION("TEXTJOIN(""|"",TRUE,UNIQUE(FILTER(SPLIT(F570,"" ""),LEN(SPLIT(F570,"" ""))&gt;2)))"),"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amp;"ованы|для|детской|игры|атериал|дерево|омплектация|юрта|элементы|убранства|набору")</f>
        <v>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v>
      </c>
      <c r="I570" s="1"/>
      <c r="J570" s="1"/>
    </row>
    <row r="571" spans="1:10" x14ac:dyDescent="0.2">
      <c r="A571" s="8" t="s">
        <v>1926</v>
      </c>
      <c r="B571" s="7" t="s">
        <v>1925</v>
      </c>
      <c r="C571" s="7" t="s">
        <v>1924</v>
      </c>
      <c r="D571" s="6">
        <v>23400</v>
      </c>
      <c r="E571" s="5">
        <v>15</v>
      </c>
      <c r="F571" s="4" t="str">
        <f ca="1">IFERROR(__xludf.DUMMYFUNCTION("LOWER(REGEXREPLACE(B571&amp;"" ""&amp;C571,""[^а-яa-z0-9 ]"","" ""))"),"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такж"&amp;"е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f>
        <v xml:space="preserve">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v>
      </c>
      <c r="G571" s="4" t="str">
        <f ca="1">IFERROR(__xludf.DUMMYFUNCTION("TEXTJOIN(""|"",TRUE,UNIQUE(FILTER(SPLIT(F571,"" ""),LEN(SPLIT(F571,"" ""))&gt;2)))"),"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amp;"|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f>
        <v>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v>
      </c>
      <c r="I571" s="1"/>
      <c r="J571" s="1"/>
    </row>
    <row r="572" spans="1:10" x14ac:dyDescent="0.2">
      <c r="A572" s="8" t="s">
        <v>1923</v>
      </c>
      <c r="B572" s="7" t="s">
        <v>1922</v>
      </c>
      <c r="C572" s="7" t="s">
        <v>1921</v>
      </c>
      <c r="D572" s="6">
        <v>89300</v>
      </c>
      <c r="E572" s="5">
        <v>4</v>
      </c>
      <c r="F572" s="4" t="str">
        <f ca="1">IFERROR(__xludf.DUMMYFUNCTION("LOWER(REGEXREPLACE(B572&amp;"" ""&amp;C572,""[^а-яa-z0-9 ]"","" ""))"),"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ам"&amp;"ортизирующим слоем и винилискожей   лина изделия составляет не менее 5 м   онструкция рассчитана на использование в помещениях ")</f>
        <v xml:space="preserve">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v>
      </c>
      <c r="G572" s="4" t="str">
        <f ca="1">IFERROR(__xludf.DUMMYFUNCTION("TEXTJOIN(""|"",TRUE,UNIQUE(FILTER(SPLIT(F572,"" ""),LEN(SPLIT(F572,"" ""))&gt;2)))"),"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amp;"|винилискожей|лина|изделия|составляет|менее|онструкция|рассчитана|использование|помещениях")</f>
        <v>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v>
      </c>
      <c r="I572" s="1"/>
      <c r="J572" s="1"/>
    </row>
    <row r="573" spans="1:10" x14ac:dyDescent="0.2">
      <c r="A573" s="8" t="s">
        <v>1920</v>
      </c>
      <c r="B573" s="7" t="s">
        <v>1919</v>
      </c>
      <c r="C573" s="7" t="s">
        <v>1918</v>
      </c>
      <c r="D573" s="6">
        <v>91200</v>
      </c>
      <c r="E573" s="5">
        <v>7</v>
      </c>
      <c r="F573" s="4" t="str">
        <f ca="1">IFERROR(__xludf.DUMMYFUNCTION("LOWER(REGEXREPLACE(B573&amp;"" ""&amp;C573,""[^а-яa-z0-9 ]"","" ""))"),"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"&amp;"познавательных занятий  сюжетно ролевых игр и изучения окружающего мира ")</f>
        <v xml:space="preserve">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v>
      </c>
      <c r="G573" s="4" t="str">
        <f ca="1">IFERROR(__xludf.DUMMYFUNCTION("TEXTJOIN(""|"",TRUE,UNIQUE(FILTER(SPLIT(F573,"" ""),LEN(SPLIT(F573,"" ""))&gt;2)))"),"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amp;"но|ролевых|игр|изучения|окружающего|мира")</f>
        <v>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v>
      </c>
      <c r="I573" s="1"/>
      <c r="J573" s="1"/>
    </row>
    <row r="574" spans="1:10" x14ac:dyDescent="0.2">
      <c r="A574" s="8" t="s">
        <v>1917</v>
      </c>
      <c r="B574" s="7" t="s">
        <v>1916</v>
      </c>
      <c r="C574" s="7" t="s">
        <v>1915</v>
      </c>
      <c r="D574" s="6">
        <v>9500</v>
      </c>
      <c r="E574" s="5">
        <v>1</v>
      </c>
      <c r="F574" s="4" t="str">
        <f ca="1">IFERROR(__xludf.DUMMYFUNCTION("LOWER(REGEXREPLACE(B574&amp;"" ""&amp;C574,""[^а-яa-z0-9 ]"","" ""))"),"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объ"&amp;"ектов   игурки выполнены в реалистичной форме  удобны для детской руки  подходят для индивидуальной и групповой работы ")</f>
        <v xml:space="preserve">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v>
      </c>
      <c r="G574" s="4" t="str">
        <f ca="1">IFERROR(__xludf.DUMMYFUNCTION("TEXTJOIN(""|"",TRUE,UNIQUE(FILTER(SPLIT(F574,"" ""),LEN(SPLIT(F574,"" ""))&gt;2)))"),"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amp;"реалистичной|форме|удобны|для|детской|руки|подходят|для|индивидуальной|групповой|работы")</f>
        <v>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v>
      </c>
      <c r="I574" s="1"/>
      <c r="J574" s="1"/>
    </row>
    <row r="575" spans="1:10" x14ac:dyDescent="0.2">
      <c r="A575" s="8" t="s">
        <v>1914</v>
      </c>
      <c r="B575" s="7" t="s">
        <v>1913</v>
      </c>
      <c r="C575" s="7" t="s">
        <v>1912</v>
      </c>
      <c r="D575" s="6">
        <v>23200</v>
      </c>
      <c r="E575" s="5">
        <v>1</v>
      </c>
      <c r="F575" s="4" t="str">
        <f ca="1">IFERROR(__xludf.DUMMYFUNCTION("LOWER(REGEXREPLACE(B575&amp;"" ""&amp;C575,""[^а-яa-z0-9 ]"","" ""))"),"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основ"&amp;"ные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f>
        <v xml:space="preserve">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v>
      </c>
      <c r="G575" s="4" t="str">
        <f ca="1">IFERROR(__xludf.DUMMYFUNCTION("TEXTJOIN(""|"",TRUE,UNIQUE(FILTER(SPLIT(F575,"" ""),LEN(SPLIT(F575,"" ""))&gt;2)))"),"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amp;"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f>
        <v>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v>
      </c>
      <c r="I575" s="1"/>
      <c r="J575" s="1"/>
    </row>
    <row r="576" spans="1:10" x14ac:dyDescent="0.2">
      <c r="A576" s="8" t="s">
        <v>1911</v>
      </c>
      <c r="B576" s="7" t="s">
        <v>1910</v>
      </c>
      <c r="C576" s="7" t="s">
        <v>1909</v>
      </c>
      <c r="D576" s="6">
        <v>7200</v>
      </c>
      <c r="E576" s="5">
        <v>35</v>
      </c>
      <c r="F576" s="4" t="str">
        <f ca="1">IFERROR(__xludf.DUMMYFUNCTION("LOWER(REGEXREPLACE(B576&amp;"" ""&amp;C576,""[^а-яa-z0-9 ]"","" ""))"),"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познавател"&amp;"ьного интереса   одходит для организации сюжетных и исследовательских игр   атериалы устойчивы к воздействию воды  легко очищаются и безопасны для детей ")</f>
        <v xml:space="preserve">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v>
      </c>
      <c r="G576" s="4" t="str">
        <f ca="1">IFERROR(__xludf.DUMMYFUNCTION("TEXTJOIN(""|"",TRUE,UNIQUE(FILTER(SPLIT(F576,"" ""),LEN(SPLIT(F576,"" ""))&gt;2)))"),"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amp;"одит|для|организации|сюжетных|исследовательских|игр|атериалы|устойчивы|воздействию|воды|легко|очищаются|безопасны|для|детей")</f>
        <v>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v>
      </c>
      <c r="I576" s="1"/>
      <c r="J576" s="1"/>
    </row>
    <row r="577" spans="1:10" x14ac:dyDescent="0.2">
      <c r="A577" s="8" t="s">
        <v>1908</v>
      </c>
      <c r="B577" s="7" t="s">
        <v>1907</v>
      </c>
      <c r="C577" s="7" t="s">
        <v>1906</v>
      </c>
      <c r="D577" s="6">
        <v>66500</v>
      </c>
      <c r="E577" s="5">
        <v>21</v>
      </c>
      <c r="F577" s="4" t="str">
        <f ca="1">IFERROR(__xludf.DUMMYFUNCTION("LOWER(REGEXREPLACE(B577&amp;"" ""&amp;C577,""[^а-яa-z0-9 ]"","" ""))"),"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систематическо"&amp;"го использования в предметно пространственной среде       атериалы безопасны  устойчивы к активной эксплуатации и легко поддаются санитарной обработке ")</f>
        <v xml:space="preserve">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v>
      </c>
      <c r="G577" s="4" t="str">
        <f ca="1">IFERROR(__xludf.DUMMYFUNCTION("TEXTJOIN(""|"",TRUE,UNIQUE(FILTER(SPLIT(F577,"" ""),LEN(SPLIT(F577,"" ""))&gt;2)))"),"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amp;"тно|пространственной|среде|атериалы|безопасны|устойчивы|активной|эксплуатации|легко|поддаются|санитарной|обработке")</f>
        <v>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v>
      </c>
      <c r="I577" s="1"/>
      <c r="J577" s="1"/>
    </row>
    <row r="578" spans="1:10" x14ac:dyDescent="0.2">
      <c r="A578" s="8" t="s">
        <v>1905</v>
      </c>
      <c r="B578" s="7" t="s">
        <v>1904</v>
      </c>
      <c r="C578" s="7" t="s">
        <v>1903</v>
      </c>
      <c r="D578" s="6">
        <v>10200</v>
      </c>
      <c r="E578" s="5">
        <v>5</v>
      </c>
      <c r="F578" s="4" t="str">
        <f ca="1">IFERROR(__xludf.DUMMYFUNCTION("LOWER(REGEXREPLACE(B578&amp;"" ""&amp;C578,""[^а-яa-z0-9 ]"","" ""))"),"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соц"&amp;"иально коммуникативных навыков   азмер изделий адаптирован для детской руки  материал эластичный и безопасный ")</f>
        <v xml:space="preserve">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v>
      </c>
      <c r="G578" s="4" t="str">
        <f ca="1">IFERROR(__xludf.DUMMYFUNCTION("TEXTJOIN(""|"",TRUE,UNIQUE(FILTER(SPLIT(F578,"" ""),LEN(SPLIT(F578,"" ""))&gt;2)))"),"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amp;"|азмер|изделий|адаптирован|для|детской|руки|материал|эластичный|безопасный")</f>
        <v>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v>
      </c>
      <c r="I578" s="1"/>
      <c r="J578" s="1"/>
    </row>
    <row r="579" spans="1:10" x14ac:dyDescent="0.2">
      <c r="A579" s="8" t="s">
        <v>1902</v>
      </c>
      <c r="B579" s="7" t="s">
        <v>1901</v>
      </c>
      <c r="C579" s="7" t="s">
        <v>1900</v>
      </c>
      <c r="D579" s="6">
        <v>4400</v>
      </c>
      <c r="E579" s="5">
        <v>5</v>
      </c>
      <c r="F579" s="4" t="str">
        <f ca="1">IFERROR(__xludf.DUMMYFUNCTION("LOWER(REGEXREPLACE(B579&amp;"" ""&amp;C579,""[^а-яa-z0-9 ]"","" ""))"),"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созда"&amp;"вать игровые сценарии  связанные с транспортом и городской средой   одходит для хранения в контейнере или коробе ")</f>
        <v xml:space="preserve">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v>
      </c>
      <c r="G579" s="4" t="str">
        <f ca="1">IFERROR(__xludf.DUMMYFUNCTION("TEXTJOIN(""|"",TRUE,UNIQUE(FILTER(SPLIT(F579,"" ""),LEN(SPLIT(F579,"" ""))&gt;2)))"),"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amp;"ии|связанные|транспортом|городской|средой|одходит|для|хранения|контейнере|или|коробе")</f>
        <v>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v>
      </c>
      <c r="I579" s="1"/>
      <c r="J579" s="1"/>
    </row>
    <row r="580" spans="1:10" x14ac:dyDescent="0.2">
      <c r="A580" s="8" t="s">
        <v>1899</v>
      </c>
      <c r="B580" s="7" t="s">
        <v>1898</v>
      </c>
      <c r="C580" s="7" t="s">
        <v>1897</v>
      </c>
      <c r="D580" s="6">
        <v>43700</v>
      </c>
      <c r="E580" s="5">
        <v>1</v>
      </c>
      <c r="F580" s="4" t="str">
        <f ca="1">IFERROR(__xludf.DUMMYFUNCTION("LOWER(REGEXREPLACE(B580&amp;"" ""&amp;C580,""[^а-яa-z0-9 ]"","" ""))"),"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усто"&amp;"йчивую фиксацию зеркал   атериалы безопасны и подходят для использования детьми под контролем педагога ")</f>
        <v xml:space="preserve">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v>
      </c>
      <c r="G580" s="4" t="str">
        <f ca="1">IFERROR(__xludf.DUMMYFUNCTION("TEXTJOIN(""|"",TRUE,UNIQUE(FILTER(SPLIT(F580,"" ""),LEN(SPLIT(F580,"" ""))&gt;2)))"),"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amp;"ал|атериалы|безопасны|подходят|для|использования|детьми|под|контролем|педагога")</f>
        <v>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v>
      </c>
      <c r="I580" s="1"/>
      <c r="J580" s="1"/>
    </row>
    <row r="581" spans="1:10" x14ac:dyDescent="0.2">
      <c r="A581" s="8" t="s">
        <v>1896</v>
      </c>
      <c r="B581" s="7" t="s">
        <v>1895</v>
      </c>
      <c r="C581" s="7" t="s">
        <v>1894</v>
      </c>
      <c r="D581" s="6">
        <v>13600</v>
      </c>
      <c r="E581" s="5">
        <v>5</v>
      </c>
      <c r="F581" s="4" t="str">
        <f ca="1">IFERROR(__xludf.DUMMYFUNCTION("LOWER(REGEXREPLACE(B581&amp;"" ""&amp;C581,""[^а-яa-z0-9 ]"","" ""))"),"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темат"&amp;"ических занятий ")</f>
        <v xml:space="preserve">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v>
      </c>
      <c r="G581" s="4" t="str">
        <f ca="1">IFERROR(__xludf.DUMMYFUNCTION("TEXTJOIN(""|"",TRUE,UNIQUE(FILTER(SPLIT(F581,"" ""),LEN(SPLIT(F581,"" ""))&gt;2)))"),"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f>
        <v>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v>
      </c>
      <c r="I581" s="1"/>
      <c r="J581" s="1"/>
    </row>
    <row r="582" spans="1:10" x14ac:dyDescent="0.2">
      <c r="A582" s="8" t="s">
        <v>1893</v>
      </c>
      <c r="B582" s="7" t="s">
        <v>1892</v>
      </c>
      <c r="C582" s="7" t="s">
        <v>1891</v>
      </c>
      <c r="D582" s="6">
        <v>20900</v>
      </c>
      <c r="E582" s="5">
        <v>1</v>
      </c>
      <c r="F582" s="4" t="str">
        <f ca="1">IFERROR(__xludf.DUMMYFUNCTION("LOWER(REGEXREPLACE(B582&amp;"" ""&amp;C582,""[^а-яa-z0-9 ]"","" ""))"),"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испол"&amp;"ьзования в помещении ")</f>
        <v xml:space="preserve">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v>
      </c>
      <c r="G582" s="4" t="str">
        <f ca="1">IFERROR(__xludf.DUMMYFUNCTION("TEXTJOIN(""|"",TRUE,UNIQUE(FILTER(SPLIT(F582,"" ""),LEN(SPLIT(F582,"" ""))&gt;2)))"),"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f>
        <v>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v>
      </c>
      <c r="I582" s="1"/>
      <c r="J582" s="1"/>
    </row>
    <row r="583" spans="1:10" x14ac:dyDescent="0.2">
      <c r="A583" s="8" t="s">
        <v>1890</v>
      </c>
      <c r="B583" s="7" t="s">
        <v>1889</v>
      </c>
      <c r="C583" s="7" t="s">
        <v>1888</v>
      </c>
      <c r="D583" s="6">
        <v>9500</v>
      </c>
      <c r="E583" s="5">
        <v>7</v>
      </c>
      <c r="F583" s="4" t="str">
        <f ca="1">IFERROR(__xludf.DUMMYFUNCTION("LOWER(REGEXREPLACE(B583&amp;"" ""&amp;C583,""[^а-яa-z0-9 ]"","" ""))"),"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со"&amp;"вместного чтения ")</f>
        <v xml:space="preserve">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v>
      </c>
      <c r="G583" s="4" t="str">
        <f ca="1">IFERROR(__xludf.DUMMYFUNCTION("TEXTJOIN(""|"",TRUE,UNIQUE(FILTER(SPLIT(F583,"" ""),LEN(SPLIT(F583,"" ""))&gt;2)))"),"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f>
        <v>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v>
      </c>
      <c r="I583" s="1"/>
      <c r="J583" s="1"/>
    </row>
    <row r="584" spans="1:10" x14ac:dyDescent="0.2">
      <c r="A584" s="8" t="s">
        <v>1887</v>
      </c>
      <c r="B584" s="7" t="s">
        <v>1886</v>
      </c>
      <c r="C584" s="7" t="s">
        <v>1885</v>
      </c>
      <c r="D584" s="6">
        <v>28500</v>
      </c>
      <c r="E584" s="5">
        <v>1</v>
      </c>
      <c r="F584" s="4" t="str">
        <f ca="1">IFERROR(__xludf.DUMMYFUNCTION("LOWER(REGEXREPLACE(B584&amp;"" ""&amp;C584,""[^а-яa-z0-9 ]"","" ""))"),"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к"&amp;" износу и удобны для частого использования ")</f>
        <v xml:space="preserve">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v>
      </c>
      <c r="G584" s="4" t="str">
        <f ca="1">IFERROR(__xludf.DUMMYFUNCTION("TEXTJOIN(""|"",TRUE,UNIQUE(FILTER(SPLIT(F584,"" ""),LEN(SPLIT(F584,"" ""))&gt;2)))"),"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amp;"ого|использования")</f>
        <v>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v>
      </c>
      <c r="I584" s="1"/>
      <c r="J584" s="1"/>
    </row>
    <row r="585" spans="1:10" x14ac:dyDescent="0.2">
      <c r="A585" s="8" t="s">
        <v>1884</v>
      </c>
      <c r="B585" s="7" t="s">
        <v>1883</v>
      </c>
      <c r="C585" s="7" t="s">
        <v>1882</v>
      </c>
      <c r="D585" s="6">
        <v>38700</v>
      </c>
      <c r="E585" s="5">
        <v>5</v>
      </c>
      <c r="F585" s="4" t="str">
        <f ca="1">IFERROR(__xludf.DUMMYFUNCTION("LOWER(REGEXREPLACE(B585&amp;"" ""&amp;C585,""[^а-яa-z0-9 ]"","" ""))"),"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f>
        <v xml:space="preserve">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v>
      </c>
      <c r="G585" s="4" t="str">
        <f ca="1">IFERROR(__xludf.DUMMYFUNCTION("TEXTJOIN(""|"",TRUE,UNIQUE(FILTER(SPLIT(F585,"" ""),LEN(SPLIT(F585,"" ""))&gt;2)))"),"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f>
        <v>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v>
      </c>
      <c r="I585" s="1"/>
      <c r="J585" s="1"/>
    </row>
    <row r="586" spans="1:10" x14ac:dyDescent="0.2">
      <c r="A586" s="8" t="s">
        <v>1881</v>
      </c>
      <c r="B586" s="7" t="s">
        <v>1880</v>
      </c>
      <c r="C586" s="7" t="s">
        <v>1879</v>
      </c>
      <c r="D586" s="6">
        <v>13700</v>
      </c>
      <c r="E586" s="5">
        <v>5</v>
      </c>
      <c r="F586" s="4" t="str">
        <f ca="1">IFERROR(__xludf.DUMMYFUNCTION("LOWER(REGEXREPLACE(B586&amp;"" ""&amp;C586,""[^а-яa-z0-9 ]"","" ""))"),"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правильный"&amp;" уход за растениями   орма изделий способствует формированию интереса к природе и эстетического вкуса ")</f>
        <v xml:space="preserve">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v>
      </c>
      <c r="G586" s="4" t="str">
        <f ca="1">IFERROR(__xludf.DUMMYFUNCTION("TEXTJOIN(""|"",TRUE,UNIQUE(FILTER(SPLIT(F586,"" ""),LEN(SPLIT(F586,"" ""))&gt;2)))"),"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amp;"|орма|изделий|способствует|формированию|интереса|природе|эстетического|вкуса")</f>
        <v>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v>
      </c>
      <c r="I586" s="1"/>
      <c r="J586" s="1"/>
    </row>
    <row r="587" spans="1:10" x14ac:dyDescent="0.2">
      <c r="A587" s="8" t="s">
        <v>1878</v>
      </c>
      <c r="B587" s="7" t="s">
        <v>1877</v>
      </c>
      <c r="C587" s="7" t="s">
        <v>1876</v>
      </c>
      <c r="D587" s="6">
        <v>8300</v>
      </c>
      <c r="E587" s="5">
        <v>7</v>
      </c>
      <c r="F587" s="4" t="str">
        <f ca="1">IFERROR(__xludf.DUMMYFUNCTION("LOWER(REGEXREPLACE(B587&amp;"" ""&amp;C587,""[^а-яa-z0-9 ]"","" ""))"),"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чтени"&amp;"я и спокойной деятельности   омплект рассчитан на регулярное использование ")</f>
        <v xml:space="preserve">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v>
      </c>
      <c r="G587" s="4" t="str">
        <f ca="1">IFERROR(__xludf.DUMMYFUNCTION("TEXTJOIN(""|"",TRUE,UNIQUE(FILTER(SPLIT(F587,"" ""),LEN(SPLIT(F587,"" ""))&gt;2)))"),"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amp;"|рассчитан|регулярное|использование")</f>
        <v>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v>
      </c>
      <c r="I587" s="1"/>
      <c r="J587" s="1"/>
    </row>
    <row r="588" spans="1:10" x14ac:dyDescent="0.2">
      <c r="A588" s="8" t="s">
        <v>1875</v>
      </c>
      <c r="B588" s="7" t="s">
        <v>1874</v>
      </c>
      <c r="C588" s="7" t="s">
        <v>1873</v>
      </c>
      <c r="D588" s="6">
        <v>7800</v>
      </c>
      <c r="E588" s="5">
        <v>1</v>
      </c>
      <c r="F588" s="4" t="str">
        <f ca="1">IFERROR(__xludf.DUMMYFUNCTION("LOWER(REGEXREPLACE(B588&amp;"" ""&amp;C588,""[^а-яa-z0-9 ]"","" ""))"),"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самостоятел"&amp;"ьного рассматривания ")</f>
        <v xml:space="preserve">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v>
      </c>
      <c r="G588" s="4" t="str">
        <f ca="1">IFERROR(__xludf.DUMMYFUNCTION("TEXTJOIN(""|"",TRUE,UNIQUE(FILTER(SPLIT(F588,"" ""),LEN(SPLIT(F588,"" ""))&gt;2)))"),"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amp;"я")</f>
        <v>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v>
      </c>
      <c r="I588" s="1"/>
      <c r="J588" s="1"/>
    </row>
    <row r="589" spans="1:10" x14ac:dyDescent="0.2">
      <c r="A589" s="8" t="s">
        <v>1872</v>
      </c>
      <c r="B589" s="7" t="s">
        <v>1871</v>
      </c>
      <c r="C589" s="7" t="s">
        <v>1870</v>
      </c>
      <c r="D589" s="6">
        <v>24900</v>
      </c>
      <c r="E589" s="5">
        <v>5</v>
      </c>
      <c r="F589" s="4" t="str">
        <f ca="1">IFERROR(__xludf.DUMMYFUNCTION("LOWER(REGEXREPLACE(B589&amp;"" ""&amp;C589,""[^а-яa-z0-9 ]"","" ""))"),"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бе"&amp;"зопасные  не сковывают движения реб нка ")</f>
        <v xml:space="preserve">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v>
      </c>
      <c r="G589" s="4" t="str">
        <f ca="1">IFERROR(__xludf.DUMMYFUNCTION("TEXTJOIN(""|"",TRUE,UNIQUE(FILTER(SPLIT(F589,"" ""),LEN(SPLIT(F589,"" ""))&gt;2)))"),"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amp;"ения|реб|нка")</f>
        <v>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v>
      </c>
      <c r="I589" s="1"/>
      <c r="J589" s="1"/>
    </row>
    <row r="590" spans="1:10" x14ac:dyDescent="0.2">
      <c r="A590" s="8" t="s">
        <v>1869</v>
      </c>
      <c r="B590" s="7" t="s">
        <v>1868</v>
      </c>
      <c r="C590" s="7" t="s">
        <v>1867</v>
      </c>
      <c r="D590" s="6">
        <v>9500</v>
      </c>
      <c r="E590" s="5">
        <v>2</v>
      </c>
      <c r="F590" s="4" t="str">
        <f ca="1">IFERROR(__xludf.DUMMYFUNCTION("LOWER(REGEXREPLACE(B590&amp;"" ""&amp;C590,""[^а-яa-z0-9 ]"","" ""))"),"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возраст"&amp;"а ")</f>
        <v xml:space="preserve">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v>
      </c>
      <c r="G590" s="4" t="str">
        <f ca="1">IFERROR(__xludf.DUMMYFUNCTION("TEXTJOIN(""|"",TRUE,UNIQUE(FILTER(SPLIT(F590,"" ""),LEN(SPLIT(F590,"" ""))&gt;2)))"),"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f>
        <v>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v>
      </c>
      <c r="I590" s="1"/>
      <c r="J590" s="1"/>
    </row>
    <row r="591" spans="1:10" x14ac:dyDescent="0.2">
      <c r="A591" s="8" t="s">
        <v>1866</v>
      </c>
      <c r="B591" s="7" t="s">
        <v>1865</v>
      </c>
      <c r="C591" s="7" t="s">
        <v>1864</v>
      </c>
      <c r="D591" s="6">
        <v>81300</v>
      </c>
      <c r="E591" s="5">
        <v>7</v>
      </c>
      <c r="F591" s="4" t="str">
        <f ca="1">IFERROR(__xludf.DUMMYFUNCTION("LOWER(REGEXREPLACE(B591&amp;"" ""&amp;C591,""[^а-яa-z0-9 ]"","" ""))"),"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f>
        <v xml:space="preserve">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v>
      </c>
      <c r="G591" s="4" t="str">
        <f ca="1">IFERROR(__xludf.DUMMYFUNCTION("TEXTJOIN(""|"",TRUE,UNIQUE(FILTER(SPLIT(F591,"" ""),LEN(SPLIT(F591,"" ""))&gt;2)))"),"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f>
        <v>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v>
      </c>
      <c r="I591" s="1"/>
      <c r="J591" s="1"/>
    </row>
    <row r="592" spans="1:10" x14ac:dyDescent="0.2">
      <c r="A592" s="8" t="s">
        <v>1863</v>
      </c>
      <c r="B592" s="7" t="s">
        <v>1862</v>
      </c>
      <c r="C592" s="7" t="s">
        <v>1861</v>
      </c>
      <c r="D592" s="6">
        <v>6500</v>
      </c>
      <c r="E592" s="5">
        <v>7</v>
      </c>
      <c r="F592" s="4" t="str">
        <f ca="1">IFERROR(__xludf.DUMMYFUNCTION("LOWER(REGEXREPLACE(B592&amp;"" ""&amp;C592,""[^а-яa-z0-9 ]"","" ""))"),"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f>
        <v xml:space="preserve">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v>
      </c>
      <c r="G592" s="4" t="str">
        <f ca="1">IFERROR(__xludf.DUMMYFUNCTION("TEXTJOIN(""|"",TRUE,UNIQUE(FILTER(SPLIT(F592,"" ""),LEN(SPLIT(F592,"" ""))&gt;2)))"),"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f>
        <v>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v>
      </c>
      <c r="I592" s="1"/>
      <c r="J592" s="1"/>
    </row>
    <row r="593" spans="1:10" x14ac:dyDescent="0.2">
      <c r="A593" s="8" t="s">
        <v>1860</v>
      </c>
      <c r="B593" s="7" t="s">
        <v>1859</v>
      </c>
      <c r="C593" s="7" t="s">
        <v>1858</v>
      </c>
      <c r="D593" s="6">
        <v>9700</v>
      </c>
      <c r="E593" s="5">
        <v>20</v>
      </c>
      <c r="F593" s="4" t="str">
        <f ca="1">IFERROR(__xludf.DUMMYFUNCTION("LOWER(REGEXREPLACE(B593&amp;"" ""&amp;C593,""[^а-яa-z0-9 ]"","" ""))"),"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формиров"&amp;"анию аккуратности и координации движений рук    комплект входит не менее 200 листов   лотность бумаги   не менее 80 г м    вета включают ж лтый и фиолетовый ")</f>
        <v xml:space="preserve">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v>
      </c>
      <c r="G593" s="4" t="str">
        <f ca="1">IFERROR(__xludf.DUMMYFUNCTION("TEXTJOIN(""|"",TRUE,UNIQUE(FILTER(SPLIT(F593,"" ""),LEN(SPLIT(F593,"" ""))&gt;2)))"),"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amp;"и|координации|движений|рук|комплект|входит|менее|200|листов|лотность|бумаги|менее|вета|включают|лтый|фиолетовый")</f>
        <v>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v>
      </c>
      <c r="I593" s="1"/>
      <c r="J593" s="1"/>
    </row>
    <row r="594" spans="1:10" x14ac:dyDescent="0.2">
      <c r="A594" s="8" t="s">
        <v>1857</v>
      </c>
      <c r="B594" s="7" t="s">
        <v>1856</v>
      </c>
      <c r="C594" s="7" t="s">
        <v>1855</v>
      </c>
      <c r="D594" s="6">
        <v>9900</v>
      </c>
      <c r="E594" s="5">
        <v>7</v>
      </c>
      <c r="F594" s="4" t="str">
        <f ca="1">IFERROR(__xludf.DUMMYFUNCTION("LOWER(REGEXREPLACE(B594&amp;"" ""&amp;C594,""[^а-яa-z0-9 ]"","" ""))"),"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f>
        <v xml:space="preserve">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v>
      </c>
      <c r="G594" s="4" t="str">
        <f ca="1">IFERROR(__xludf.DUMMYFUNCTION("TEXTJOIN(""|"",TRUE,UNIQUE(FILTER(SPLIT(F594,"" ""),LEN(SPLIT(F594,"" ""))&gt;2)))"),"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f>
        <v>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v>
      </c>
      <c r="I594" s="1"/>
      <c r="J594" s="1"/>
    </row>
    <row r="595" spans="1:10" x14ac:dyDescent="0.2">
      <c r="A595" s="8" t="s">
        <v>1854</v>
      </c>
      <c r="B595" s="7" t="s">
        <v>1853</v>
      </c>
      <c r="C595" s="7" t="s">
        <v>1852</v>
      </c>
      <c r="D595" s="6">
        <v>3800</v>
      </c>
      <c r="E595" s="5">
        <v>5</v>
      </c>
      <c r="F595" s="4" t="str">
        <f ca="1">IFERROR(__xludf.DUMMYFUNCTION("LOWER(REGEXREPLACE(B595&amp;"" ""&amp;C595,""[^а-яa-z0-9 ]"","" ""))"),"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f>
        <v xml:space="preserve">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v>
      </c>
      <c r="G595" s="4" t="str">
        <f ca="1">IFERROR(__xludf.DUMMYFUNCTION("TEXTJOIN(""|"",TRUE,UNIQUE(FILTER(SPLIT(F595,"" ""),LEN(SPLIT(F595,"" ""))&gt;2)))"),"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f>
        <v>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v>
      </c>
      <c r="I595" s="1"/>
      <c r="J595" s="1"/>
    </row>
    <row r="596" spans="1:10" x14ac:dyDescent="0.2">
      <c r="A596" s="8" t="s">
        <v>1851</v>
      </c>
      <c r="B596" s="7" t="s">
        <v>1850</v>
      </c>
      <c r="C596" s="7" t="s">
        <v>1849</v>
      </c>
      <c r="D596" s="6">
        <v>49400</v>
      </c>
      <c r="E596" s="5">
        <v>7</v>
      </c>
      <c r="F596" s="4" t="str">
        <f ca="1">IFERROR(__xludf.DUMMYFUNCTION("LOWER(REGEXREPLACE(B596&amp;"" ""&amp;C596,""[^а-яa-z0-9 ]"","" ""))"),"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обеспечи"&amp;"вающих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соединение"&amp;"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хранени"&amp;"я предусмотрена упаковка контейнер не менее 1 шт   позволяющая поддерживать порядок в группе ")</f>
        <v xml:space="preserve">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v>
      </c>
      <c r="G596" s="4" t="str">
        <f ca="1">IFERROR(__xludf.DUMMYFUNCTION("TEXTJOIN(""|"",TRUE,UNIQUE(FILTER(SPLIT(F596,"" ""),LEN(SPLIT(F596,"" ""))&gt;2)))"),"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amp;"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amp;"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amp;"щая|поддерживать|порядок|группе")</f>
        <v>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v>
      </c>
      <c r="I596" s="1"/>
      <c r="J596" s="1"/>
    </row>
    <row r="597" spans="1:10" x14ac:dyDescent="0.2">
      <c r="A597" s="8" t="s">
        <v>1848</v>
      </c>
      <c r="B597" s="7" t="s">
        <v>1847</v>
      </c>
      <c r="C597" s="7" t="s">
        <v>1846</v>
      </c>
      <c r="D597" s="6">
        <v>47700</v>
      </c>
      <c r="E597" s="5">
        <v>1</v>
      </c>
      <c r="F597" s="4" t="str">
        <f ca="1">IFERROR(__xludf.DUMMYFUNCTION("LOWER(REGEXREPLACE(B597&amp;"" ""&amp;C597,""[^а-яa-z0-9 ]"","" ""))"),"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вы"&amp;"сотой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договариваютс"&amp;"я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в"&amp;" коробке контейнере  пригодном для регулярной санитарной обработки ")</f>
        <v xml:space="preserve">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v>
      </c>
      <c r="G597" s="4" t="str">
        <f ca="1">IFERROR(__xludf.DUMMYFUNCTION("TEXTJOIN(""|"",TRUE,UNIQUE(FILTER(SPLIT(F597,"" ""),LEN(SPLIT(F597,"" ""))&gt;2)))"),"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amp;"|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amp;"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f>
        <v>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v>
      </c>
      <c r="I597" s="1"/>
      <c r="J597" s="1"/>
    </row>
    <row r="598" spans="1:10" x14ac:dyDescent="0.2">
      <c r="A598" s="8" t="s">
        <v>1845</v>
      </c>
      <c r="B598" s="7" t="s">
        <v>1844</v>
      </c>
      <c r="C598" s="7" t="s">
        <v>1843</v>
      </c>
      <c r="D598" s="6">
        <v>4800</v>
      </c>
      <c r="E598" s="5">
        <v>5</v>
      </c>
      <c r="F598" s="4" t="str">
        <f ca="1">IFERROR(__xludf.DUMMYFUNCTION("LOWER(REGEXREPLACE(B598&amp;"" ""&amp;C598,""[^а-яa-z0-9 ]"","" ""))"),"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д"&amp;"ля демонстрации и самостоятельной игры детьми ")</f>
        <v xml:space="preserve">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v>
      </c>
      <c r="G598" s="4" t="str">
        <f ca="1">IFERROR(__xludf.DUMMYFUNCTION("TEXTJOIN(""|"",TRUE,UNIQUE(FILTER(SPLIT(F598,"" ""),LEN(SPLIT(F598,"" ""))&gt;2)))"),"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amp;"самостоятельной|игры|детьми")</f>
        <v>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v>
      </c>
      <c r="I598" s="1"/>
      <c r="J598" s="1"/>
    </row>
    <row r="599" spans="1:10" x14ac:dyDescent="0.2">
      <c r="A599" s="8" t="s">
        <v>1842</v>
      </c>
      <c r="B599" s="7" t="s">
        <v>1841</v>
      </c>
      <c r="C599" s="7" t="s">
        <v>1840</v>
      </c>
      <c r="D599" s="6">
        <v>4500</v>
      </c>
      <c r="E599" s="5">
        <v>4</v>
      </c>
      <c r="F599" s="4" t="str">
        <f ca="1">IFERROR(__xludf.DUMMYFUNCTION("LOWER(REGEXREPLACE(B599&amp;"" ""&amp;C599,""[^а-яa-z0-9 ]"","" ""))"),"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высо"&amp;"той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пер"&amp;"сонажей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обсуждат"&amp;"ь поведение и чувства через персонажей ")</f>
        <v xml:space="preserve">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v>
      </c>
      <c r="G599" s="4" t="str">
        <f ca="1">IFERROR(__xludf.DUMMYFUNCTION("TEXTJOIN(""|"",TRUE,UNIQUE(FILTER(SPLIT(F599,"" ""),LEN(SPLIT(F599,"" ""))&gt;2)))"),"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amp;"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amp;"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f>
        <v>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v>
      </c>
      <c r="I599" s="1"/>
      <c r="J599" s="1"/>
    </row>
    <row r="600" spans="1:10" x14ac:dyDescent="0.2">
      <c r="A600" s="8" t="s">
        <v>1839</v>
      </c>
      <c r="B600" s="7" t="s">
        <v>1838</v>
      </c>
      <c r="C600" s="7" t="s">
        <v>1837</v>
      </c>
      <c r="D600" s="6">
        <v>34200</v>
      </c>
      <c r="E600" s="5">
        <v>1</v>
      </c>
      <c r="F600" s="4" t="str">
        <f ca="1">IFERROR(__xludf.DUMMYFUNCTION("LOWER(REGEXREPLACE(B600&amp;"" ""&amp;C600,""[^а-яa-z0-9 ]"","" ""))"),"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фигурок"&amp;"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хр"&amp;"анения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пам"&amp;"ять  найди пару  назови по описанию  разложи по группам  ")</f>
        <v xml:space="preserve">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v>
      </c>
      <c r="G600" s="4" t="str">
        <f ca="1">IFERROR(__xludf.DUMMYFUNCTION("TEXTJOIN(""|"",TRUE,UNIQUE(FILTER(SPLIT(F600,"" ""),LEN(SPLIT(F600,"" ""))&gt;2)))"),"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amp;"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amp;"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f>
        <v>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v>
      </c>
      <c r="I600" s="1"/>
      <c r="J600" s="1"/>
    </row>
    <row r="601" spans="1:10" x14ac:dyDescent="0.2">
      <c r="A601" s="8" t="s">
        <v>1836</v>
      </c>
      <c r="B601" s="7" t="s">
        <v>1835</v>
      </c>
      <c r="C601" s="7" t="s">
        <v>1834</v>
      </c>
      <c r="D601" s="6">
        <v>14300</v>
      </c>
      <c r="E601" s="5">
        <v>5</v>
      </c>
      <c r="F601" s="4" t="str">
        <f ca="1">IFERROR(__xludf.DUMMYFUNCTION("LOWER(REGEXREPLACE(B601&amp;"" ""&amp;C601,""[^а-яa-z0-9 ]"","" ""))"),"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п"&amp;"ожарный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ролевых"&amp;"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дл"&amp;"я дидактических заданий   кто что делает    кому что нужно    что лишнее   что развивает логическое мышление и внимание ")</f>
        <v xml:space="preserve">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v>
      </c>
      <c r="G601" s="4" t="str">
        <f ca="1">IFERROR(__xludf.DUMMYFUNCTION("TEXTJOIN(""|"",TRUE,UNIQUE(FILTER(SPLIT(F601,"" ""),LEN(SPLIT(F601,"" ""))&gt;2)))"),"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amp;"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amp;"|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amp;"е|внимание")</f>
        <v>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v>
      </c>
      <c r="I601" s="1"/>
      <c r="J601" s="1"/>
    </row>
    <row r="602" spans="1:10" x14ac:dyDescent="0.2">
      <c r="A602" s="8" t="s">
        <v>1833</v>
      </c>
      <c r="B602" s="7" t="s">
        <v>1832</v>
      </c>
      <c r="C602" s="7" t="s">
        <v>1831</v>
      </c>
      <c r="D602" s="6">
        <v>4900</v>
      </c>
      <c r="E602" s="5">
        <v>5</v>
      </c>
      <c r="F602" s="4" t="str">
        <f ca="1">IFERROR(__xludf.DUMMYFUNCTION("LOWER(REGEXREPLACE(B602&amp;"" ""&amp;C602,""[^а-яa-z0-9 ]"","" ""))"),"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f>
        <v xml:space="preserve">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v>
      </c>
      <c r="G602" s="4" t="str">
        <f ca="1">IFERROR(__xludf.DUMMYFUNCTION("TEXTJOIN(""|"",TRUE,UNIQUE(FILTER(SPLIT(F602,"" ""),LEN(SPLIT(F602,"" ""))&gt;2)))"),"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f>
        <v>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v>
      </c>
      <c r="I602" s="1"/>
      <c r="J602" s="1"/>
    </row>
    <row r="603" spans="1:10" x14ac:dyDescent="0.2">
      <c r="A603" s="8" t="s">
        <v>1830</v>
      </c>
      <c r="B603" s="7" t="s">
        <v>1829</v>
      </c>
      <c r="C603" s="7" t="s">
        <v>1828</v>
      </c>
      <c r="D603" s="6">
        <v>63200</v>
      </c>
      <c r="E603" s="5">
        <v>4</v>
      </c>
      <c r="F603" s="4" t="str">
        <f ca="1">IFERROR(__xludf.DUMMYFUNCTION("LOWER(REGEXREPLACE(B603&amp;"" ""&amp;C603,""[^а-яa-z0-9 ]"","" ""))"),"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метате"&amp;"льных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игр"&amp;"овую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пра"&amp;"вил игры ")</f>
        <v xml:space="preserve">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v>
      </c>
      <c r="G603" s="4" t="str">
        <f ca="1">IFERROR(__xludf.DUMMYFUNCTION("TEXTJOIN(""|"",TRUE,UNIQUE(FILTER(SPLIT(F603,"" ""),LEN(SPLIT(F603,"" ""))&gt;2)))"),"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amp;"|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amp;"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f>
        <v>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v>
      </c>
      <c r="I603" s="1"/>
      <c r="J603" s="1"/>
    </row>
    <row r="604" spans="1:10" x14ac:dyDescent="0.2">
      <c r="A604" s="8" t="s">
        <v>1827</v>
      </c>
      <c r="B604" s="7" t="s">
        <v>1826</v>
      </c>
      <c r="C604" s="7" t="s">
        <v>1825</v>
      </c>
      <c r="D604" s="6">
        <v>1800</v>
      </c>
      <c r="E604" s="5">
        <v>25</v>
      </c>
      <c r="F604" s="4" t="str">
        <f ca="1">IFERROR(__xludf.DUMMYFUNCTION("LOWER(REGEXREPLACE(B604&amp;"" ""&amp;C604,""[^а-яa-z0-9 ]"","" ""))"),"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оставля"&amp;"ется в формате  4 в виде набора листов ")</f>
        <v xml:space="preserve">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v>
      </c>
      <c r="G604" s="4" t="str">
        <f ca="1">IFERROR(__xludf.DUMMYFUNCTION("TEXTJOIN(""|"",TRUE,UNIQUE(FILTER(SPLIT(F604,"" ""),LEN(SPLIT(F604,"" ""))&gt;2)))"),"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amp;"абора|листов")</f>
        <v>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v>
      </c>
      <c r="I604" s="1"/>
      <c r="J604" s="1"/>
    </row>
    <row r="605" spans="1:10" x14ac:dyDescent="0.2">
      <c r="A605" s="8" t="s">
        <v>1824</v>
      </c>
      <c r="B605" s="7" t="s">
        <v>1823</v>
      </c>
      <c r="C605" s="7" t="s">
        <v>1822</v>
      </c>
      <c r="D605" s="6">
        <v>39900</v>
      </c>
      <c r="E605" s="5">
        <v>5</v>
      </c>
      <c r="F605" s="4" t="str">
        <f ca="1">IFERROR(__xludf.DUMMYFUNCTION("LOWER(REGEXREPLACE(B605&amp;"" ""&amp;C605,""[^а-яa-z0-9 ]"","" ""))"),"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вн"&amp;"е группы ")</f>
        <v xml:space="preserve">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v>
      </c>
      <c r="G605" s="4" t="str">
        <f ca="1">IFERROR(__xludf.DUMMYFUNCTION("TEXTJOIN(""|"",TRUE,UNIQUE(FILTER(SPLIT(F605,"" ""),LEN(SPLIT(F605,"" ""))&gt;2)))"),"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f>
        <v>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v>
      </c>
      <c r="I605" s="1"/>
      <c r="J605" s="1"/>
    </row>
    <row r="606" spans="1:10" x14ac:dyDescent="0.2">
      <c r="A606" s="8" t="s">
        <v>1821</v>
      </c>
      <c r="B606" s="7" t="s">
        <v>1820</v>
      </c>
      <c r="C606" s="7" t="s">
        <v>1819</v>
      </c>
      <c r="D606" s="6">
        <v>19000</v>
      </c>
      <c r="E606" s="5">
        <v>5</v>
      </c>
      <c r="F606" s="4" t="str">
        <f ca="1">IFERROR(__xludf.DUMMYFUNCTION("LOWER(REGEXREPLACE(B606&amp;"" ""&amp;C606,""[^а-яa-z0-9 ]"","" ""))"),"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f>
        <v xml:space="preserve">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v>
      </c>
      <c r="G606" s="4" t="str">
        <f ca="1">IFERROR(__xludf.DUMMYFUNCTION("TEXTJOIN(""|"",TRUE,UNIQUE(FILTER(SPLIT(F606,"" ""),LEN(SPLIT(F606,"" ""))&gt;2)))"),"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f>
        <v>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v>
      </c>
      <c r="I606" s="1"/>
      <c r="J606" s="1"/>
    </row>
    <row r="607" spans="1:10" x14ac:dyDescent="0.2">
      <c r="A607" s="8" t="s">
        <v>1818</v>
      </c>
      <c r="B607" s="7" t="s">
        <v>1817</v>
      </c>
      <c r="C607" s="7" t="s">
        <v>1816</v>
      </c>
      <c r="D607" s="6">
        <v>34000</v>
      </c>
      <c r="E607" s="5">
        <v>10</v>
      </c>
      <c r="F607" s="4" t="str">
        <f ca="1">IFERROR(__xludf.DUMMYFUNCTION("LOWER(REGEXREPLACE(B607&amp;"" ""&amp;C607,""[^а-яa-z0-9 ]"","" ""))"),"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f>
        <v xml:space="preserve">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v>
      </c>
      <c r="G607" s="4" t="str">
        <f ca="1">IFERROR(__xludf.DUMMYFUNCTION("TEXTJOIN(""|"",TRUE,UNIQUE(FILTER(SPLIT(F607,"" ""),LEN(SPLIT(F607,"" ""))&gt;2)))"),"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f>
        <v>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v>
      </c>
      <c r="I607" s="1"/>
      <c r="J607" s="1"/>
    </row>
    <row r="608" spans="1:10" x14ac:dyDescent="0.2">
      <c r="A608" s="8" t="s">
        <v>1815</v>
      </c>
      <c r="B608" s="7" t="s">
        <v>1814</v>
      </c>
      <c r="C608" s="7" t="s">
        <v>1813</v>
      </c>
      <c r="D608" s="6">
        <v>11400</v>
      </c>
      <c r="E608" s="5">
        <v>1</v>
      </c>
      <c r="F608" s="4" t="str">
        <f ca="1">IFERROR(__xludf.DUMMYFUNCTION("LOWER(REGEXREPLACE(B608&amp;"" ""&amp;C608,""[^а-яa-z0-9 ]"","" ""))"),"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f>
        <v xml:space="preserve">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v>
      </c>
      <c r="G608" s="4" t="str">
        <f ca="1">IFERROR(__xludf.DUMMYFUNCTION("TEXTJOIN(""|"",TRUE,UNIQUE(FILTER(SPLIT(F608,"" ""),LEN(SPLIT(F608,"" ""))&gt;2)))"),"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f>
        <v>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v>
      </c>
      <c r="I608" s="1"/>
      <c r="J608" s="1"/>
    </row>
    <row r="609" spans="1:10" x14ac:dyDescent="0.2">
      <c r="A609" s="8" t="s">
        <v>1812</v>
      </c>
      <c r="B609" s="7" t="s">
        <v>1811</v>
      </c>
      <c r="C609" s="7" t="s">
        <v>1810</v>
      </c>
      <c r="D609" s="6">
        <v>9700</v>
      </c>
      <c r="E609" s="5">
        <v>5</v>
      </c>
      <c r="F609" s="4" t="str">
        <f ca="1">IFERROR(__xludf.DUMMYFUNCTION("LOWER(REGEXREPLACE(B609&amp;"" ""&amp;C609,""[^а-яa-z0-9 ]"","" ""))"),"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f>
        <v xml:space="preserve">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v>
      </c>
      <c r="G609" s="4" t="str">
        <f ca="1">IFERROR(__xludf.DUMMYFUNCTION("TEXTJOIN(""|"",TRUE,UNIQUE(FILTER(SPLIT(F609,"" ""),LEN(SPLIT(F609,"" ""))&gt;2)))"),"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f>
        <v>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v>
      </c>
      <c r="I609" s="1"/>
      <c r="J609" s="1"/>
    </row>
    <row r="610" spans="1:10" x14ac:dyDescent="0.2">
      <c r="A610" s="8" t="s">
        <v>1809</v>
      </c>
      <c r="B610" s="7" t="s">
        <v>1808</v>
      </c>
      <c r="C610" s="7" t="s">
        <v>1807</v>
      </c>
      <c r="D610" s="6">
        <v>28500</v>
      </c>
      <c r="E610" s="5">
        <v>7</v>
      </c>
      <c r="F610" s="4" t="str">
        <f ca="1">IFERROR(__xludf.DUMMYFUNCTION("LOWER(REGEXREPLACE(B610&amp;"" ""&amp;C610,""[^а-яa-z0-9 ]"","" ""))")," абор полезных ископаемых  абор из 4 38 шт  редких кристаллов  камень минерал  кристаллический кластер  отдельный кристаллический минеральный камень  ")</f>
        <v xml:space="preserve"> абор полезных ископаемых  абор из 4 38 шт  редких кристаллов  камень минерал  кристаллический кластер  отдельный кристаллический минеральный камень  </v>
      </c>
      <c r="G610" s="4" t="str">
        <f ca="1">IFERROR(__xludf.DUMMYFUNCTION("TEXTJOIN(""|"",TRUE,UNIQUE(FILTER(SPLIT(F610,"" ""),LEN(SPLIT(F610,"" ""))&gt;2)))"),"абор|полезных|ископаемых|абор|редких|кристаллов|камень|минерал|кристаллический|кластер|отдельный|кристаллический|минеральный|камень")</f>
        <v>абор|полезных|ископаемых|абор|редких|кристаллов|камень|минерал|кристаллический|кластер|отдельный|кристаллический|минеральный|камень</v>
      </c>
      <c r="I610" s="1"/>
      <c r="J610" s="1"/>
    </row>
    <row r="611" spans="1:10" x14ac:dyDescent="0.2">
      <c r="A611" s="8" t="s">
        <v>1806</v>
      </c>
      <c r="B611" s="7" t="s">
        <v>1805</v>
      </c>
      <c r="C611" s="7" t="s">
        <v>1804</v>
      </c>
      <c r="D611" s="6">
        <v>19000</v>
      </c>
      <c r="E611" s="5">
        <v>2</v>
      </c>
      <c r="F611" s="4" t="str">
        <f ca="1">IFERROR(__xludf.DUMMYFUNCTION("LOWER(REGEXREPLACE(B611&amp;"" ""&amp;C611,""[^а-яa-z0-9 ]"","" ""))")," абор посудок  гровой набор посудки  набор чайный   атериал металл ")</f>
        <v xml:space="preserve"> абор посудок  гровой набор посудки  набор чайный   атериал металл </v>
      </c>
      <c r="G611" s="4" t="str">
        <f ca="1">IFERROR(__xludf.DUMMYFUNCTION("TEXTJOIN(""|"",TRUE,UNIQUE(FILTER(SPLIT(F611,"" ""),LEN(SPLIT(F611,"" ""))&gt;2)))"),"абор|посудок|гровой|набор|посудки|набор|чайный|атериал|металл")</f>
        <v>абор|посудок|гровой|набор|посудки|набор|чайный|атериал|металл</v>
      </c>
      <c r="I611" s="1"/>
      <c r="J611" s="1"/>
    </row>
    <row r="612" spans="1:10" x14ac:dyDescent="0.2">
      <c r="A612" s="8" t="s">
        <v>1803</v>
      </c>
      <c r="B612" s="7" t="s">
        <v>1802</v>
      </c>
      <c r="C612" s="7" t="s">
        <v>1801</v>
      </c>
      <c r="D612" s="6">
        <v>14000</v>
      </c>
      <c r="E612" s="5">
        <v>12</v>
      </c>
      <c r="F612" s="4" t="str">
        <f ca="1">IFERROR(__xludf.DUMMYFUNCTION("LOWER(REGEXREPLACE(B612&amp;"" ""&amp;C612,""[^а-яa-z0-9 ]"","" ""))")," абор посуды в коробке  озрастное ограничение 3   материал метал  в наборе 13 предметов  размер упаковки 22 32 9 см  производство  итай ")</f>
        <v xml:space="preserve"> абор посуды в коробке  озрастное ограничение 3   материал метал  в наборе 13 предметов  размер упаковки 22 32 9 см  производство  итай </v>
      </c>
      <c r="G612" s="4" t="str">
        <f ca="1">IFERROR(__xludf.DUMMYFUNCTION("TEXTJOIN(""|"",TRUE,UNIQUE(FILTER(SPLIT(F612,"" ""),LEN(SPLIT(F612,"" ""))&gt;2)))"),"абор|посуды|коробке|озрастное|ограничение|материал|метал|наборе|предметов|размер|упаковки|производство|итай")</f>
        <v>абор|посуды|коробке|озрастное|ограничение|материал|метал|наборе|предметов|размер|упаковки|производство|итай</v>
      </c>
      <c r="I612" s="1"/>
      <c r="J612" s="1"/>
    </row>
    <row r="613" spans="1:10" x14ac:dyDescent="0.2">
      <c r="A613" s="8" t="s">
        <v>1800</v>
      </c>
      <c r="B613" s="7" t="s">
        <v>1799</v>
      </c>
      <c r="C613" s="7" t="s">
        <v>1798</v>
      </c>
      <c r="D613" s="6">
        <v>4200</v>
      </c>
      <c r="E613" s="5">
        <v>14</v>
      </c>
      <c r="F613" s="4" t="str">
        <f ca="1">IFERROR(__xludf.DUMMYFUNCTION("LOWER(REGEXREPLACE(B613&amp;"" ""&amp;C613,""[^а-яa-z0-9 ]"","" ""))"),"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классифик"&amp;"ации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детски"&amp;"х учреждениях ")</f>
        <v xml:space="preserve">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v>
      </c>
      <c r="G613" s="4" t="str">
        <f ca="1">IFERROR(__xludf.DUMMYFUNCTION("TEXTJOIN(""|"",TRUE,UNIQUE(FILTER(SPLIT(F613,"" ""),LEN(SPLIT(F613,"" ""))&gt;2)))"),"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amp;"|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f>
        <v>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v>
      </c>
      <c r="I613" s="1"/>
      <c r="J613" s="1"/>
    </row>
    <row r="614" spans="1:10" x14ac:dyDescent="0.2">
      <c r="A614" s="8" t="s">
        <v>1797</v>
      </c>
      <c r="B614" s="7" t="s">
        <v>1796</v>
      </c>
      <c r="C614" s="7" t="s">
        <v>1795</v>
      </c>
      <c r="D614" s="6">
        <v>7000</v>
      </c>
      <c r="E614" s="5">
        <v>10</v>
      </c>
      <c r="F614" s="4" t="str">
        <f ca="1">IFERROR(__xludf.DUMMYFUNCTION("LOWER(REGEXREPLACE(B614&amp;"" ""&amp;C614,""[^а-яa-z0-9 ]"","" ""))"),"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познавате"&amp;"льного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по"&amp;"д контролем педагога ")</f>
        <v xml:space="preserve">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v>
      </c>
      <c r="G614" s="4" t="str">
        <f ca="1">IFERROR(__xludf.DUMMYFUNCTION("TEXTJOIN(""|"",TRUE,UNIQUE(FILTER(SPLIT(F614,"" ""),LEN(SPLIT(F614,"" ""))&gt;2)))"),"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amp;"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f>
        <v>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v>
      </c>
      <c r="I614" s="1"/>
      <c r="J614" s="1"/>
    </row>
    <row r="615" spans="1:10" x14ac:dyDescent="0.2">
      <c r="A615" s="8" t="s">
        <v>1794</v>
      </c>
      <c r="B615" s="7" t="s">
        <v>1793</v>
      </c>
      <c r="C615" s="7"/>
      <c r="D615" s="6">
        <v>1800</v>
      </c>
      <c r="E615" s="5">
        <v>1</v>
      </c>
      <c r="F615" s="4" t="str">
        <f ca="1">IFERROR(__xludf.DUMMYFUNCTION("LOWER(REGEXREPLACE(B615&amp;"" ""&amp;C615,""[^а-яa-z0-9 ]"","" ""))"),"  з   жаса  оптамасы   абайы а дар   ерия   делай сам    омашние животные из картона ")</f>
        <v xml:space="preserve">  з   жаса  оптамасы   абайы а дар   ерия   делай сам    омашние животные из картона </v>
      </c>
      <c r="G615" s="4" t="str">
        <f ca="1">IFERROR(__xludf.DUMMYFUNCTION("TEXTJOIN(""|"",TRUE,UNIQUE(FILTER(SPLIT(F615,"" ""),LEN(SPLIT(F615,"" ""))&gt;2)))"),"жаса|оптамасы|абайы|дар|ерия|делай|сам|омашние|животные|картона")</f>
        <v>жаса|оптамасы|абайы|дар|ерия|делай|сам|омашние|животные|картона</v>
      </c>
      <c r="I615" s="1"/>
      <c r="J615" s="1"/>
    </row>
    <row r="616" spans="1:10" x14ac:dyDescent="0.2">
      <c r="A616" s="8" t="s">
        <v>1792</v>
      </c>
      <c r="B616" s="7" t="s">
        <v>1791</v>
      </c>
      <c r="C616" s="7"/>
      <c r="D616" s="6">
        <v>1400</v>
      </c>
      <c r="E616" s="5">
        <v>1</v>
      </c>
      <c r="F616" s="4" t="str">
        <f ca="1">IFERROR(__xludf.DUMMYFUNCTION("LOWER(REGEXREPLACE(B616&amp;"" ""&amp;C616,""[^а-яa-z0-9 ]"","" ""))"),"  л мен к  емес    апсырма   к тапша   ерма ")</f>
        <v xml:space="preserve">  л мен к  емес    апсырма   к тапша   ерма </v>
      </c>
      <c r="G616" s="4" t="str">
        <f ca="1">IFERROR(__xludf.DUMMYFUNCTION("TEXTJOIN(""|"",TRUE,UNIQUE(FILTER(SPLIT(F616,"" ""),LEN(SPLIT(F616,"" ""))&gt;2)))"),"мен|емес|апсырма|тапша|ерма")</f>
        <v>мен|емес|апсырма|тапша|ерма</v>
      </c>
      <c r="I616" s="1"/>
      <c r="J616" s="1"/>
    </row>
    <row r="617" spans="1:10" x14ac:dyDescent="0.2">
      <c r="A617" s="8" t="s">
        <v>1790</v>
      </c>
      <c r="B617" s="7" t="s">
        <v>1789</v>
      </c>
      <c r="C617" s="7" t="s">
        <v>1788</v>
      </c>
      <c r="D617" s="6">
        <v>12400</v>
      </c>
      <c r="E617" s="5">
        <v>1</v>
      </c>
      <c r="F617" s="4" t="str">
        <f ca="1">IFERROR(__xludf.DUMMYFUNCTION("LOWER(REGEXREPLACE(B617&amp;"" ""&amp;C617,""[^а-яa-z0-9 ]"","" ""))"),"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с"&amp;"м   уклы выполнены из безопасного пластика  одежда изготовлена из текстильных материалов   одходит для групповых и индивидуальных игр ")</f>
        <v xml:space="preserve">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v>
      </c>
      <c r="G617" s="4" t="str">
        <f ca="1">IFERROR(__xludf.DUMMYFUNCTION("TEXTJOIN(""|"",TRUE,UNIQUE(FILTER(SPLIT(F617,"" ""),LEN(SPLIT(F617,"" ""))&gt;2)))"),"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amp;"зопасного|пластика|одежда|изготовлена|текстильных|материалов|одходит|для|групповых|индивидуальных|игр")</f>
        <v>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v>
      </c>
      <c r="I617" s="1"/>
      <c r="J617" s="1"/>
    </row>
    <row r="618" spans="1:10" x14ac:dyDescent="0.2">
      <c r="A618" s="8" t="s">
        <v>1787</v>
      </c>
      <c r="B618" s="7" t="s">
        <v>1786</v>
      </c>
      <c r="C618" s="7" t="s">
        <v>1785</v>
      </c>
      <c r="D618" s="6">
        <v>28500</v>
      </c>
      <c r="E618" s="5">
        <v>1</v>
      </c>
      <c r="F618" s="4" t="str">
        <f ca="1">IFERROR(__xludf.DUMMYFUNCTION("LOWER(REGEXREPLACE(B618&amp;"" ""&amp;C618,""[^а-яa-z0-9 ]"","" ""))"),"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без"&amp;"опасные   беспечивают порядок и доступность материалов для детей ")</f>
        <v xml:space="preserve">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v>
      </c>
      <c r="G618" s="4" t="str">
        <f ca="1">IFERROR(__xludf.DUMMYFUNCTION("TEXTJOIN(""|"",TRUE,UNIQUE(FILTER(SPLIT(F618,"" ""),LEN(SPLIT(F618,"" ""))&gt;2)))"),"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amp;"ок|доступность|материалов|для|детей")</f>
        <v>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v>
      </c>
      <c r="I618" s="1"/>
      <c r="J618" s="1"/>
    </row>
    <row r="619" spans="1:10" x14ac:dyDescent="0.2">
      <c r="A619" s="8" t="s">
        <v>1784</v>
      </c>
      <c r="B619" s="7" t="s">
        <v>1783</v>
      </c>
      <c r="C619" s="7" t="s">
        <v>1782</v>
      </c>
      <c r="D619" s="6">
        <v>11400</v>
      </c>
      <c r="E619" s="5">
        <v>7</v>
      </c>
      <c r="F619" s="4" t="str">
        <f ca="1">IFERROR(__xludf.DUMMYFUNCTION("LOWER(REGEXREPLACE(B619&amp;"" ""&amp;C619,""[^а-яa-z0-9 ]"","" ""))"),"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воображе"&amp;"ния   одходит для самостоятельной и совместной игровой деятельности ")</f>
        <v xml:space="preserve">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v>
      </c>
      <c r="G619" s="4" t="str">
        <f ca="1">IFERROR(__xludf.DUMMYFUNCTION("TEXTJOIN(""|"",TRUE,UNIQUE(FILTER(SPLIT(F619,"" ""),LEN(SPLIT(F619,"" ""))&gt;2)))"),"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amp;"|самостоятельной|совместной|игровой|деятельности")</f>
        <v>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v>
      </c>
      <c r="I619" s="1"/>
      <c r="J619" s="1"/>
    </row>
    <row r="620" spans="1:10" x14ac:dyDescent="0.2">
      <c r="A620" s="8" t="s">
        <v>1781</v>
      </c>
      <c r="B620" s="7" t="s">
        <v>1780</v>
      </c>
      <c r="C620" s="7" t="s">
        <v>1779</v>
      </c>
      <c r="D620" s="6">
        <v>32100</v>
      </c>
      <c r="E620" s="5">
        <v>5</v>
      </c>
      <c r="F620" s="4" t="str">
        <f ca="1">IFERROR(__xludf.DUMMYFUNCTION("LOWER(REGEXREPLACE(B620&amp;"" ""&amp;C620,""[^а-яa-z0-9 ]"","" ""))"),"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в"&amp;"ысотой около 12 см  выполненных в ярком цветовом оформлении   одходит для свободной игровой деятельности детей ")</f>
        <v xml:space="preserve">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v>
      </c>
      <c r="G620" s="4" t="str">
        <f ca="1">IFERROR(__xludf.DUMMYFUNCTION("TEXTJOIN(""|"",TRUE,UNIQUE(FILTER(SPLIT(F620,"" ""),LEN(SPLIT(F620,"" ""))&gt;2)))"),"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amp;"енных|ярком|цветовом|оформлении|одходит|для|свободной|игровой|деятельности|детей")</f>
        <v>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v>
      </c>
      <c r="I620" s="1"/>
      <c r="J620" s="1"/>
    </row>
    <row r="621" spans="1:10" x14ac:dyDescent="0.2">
      <c r="A621" s="8" t="s">
        <v>1778</v>
      </c>
      <c r="B621" s="7" t="s">
        <v>1777</v>
      </c>
      <c r="C621" s="7" t="s">
        <v>1776</v>
      </c>
      <c r="D621" s="6">
        <v>21900</v>
      </c>
      <c r="E621" s="5">
        <v>35</v>
      </c>
      <c r="F621" s="4" t="str">
        <f ca="1">IFERROR(__xludf.DUMMYFUNCTION("LOWER(REGEXREPLACE(B621&amp;"" ""&amp;C621,""[^а-яa-z0-9 ]"","" ""))"),"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транспо"&amp;"рта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f>
        <v xml:space="preserve">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v>
      </c>
      <c r="G621" s="4" t="str">
        <f ca="1">IFERROR(__xludf.DUMMYFUNCTION("TEXTJOIN(""|"",TRUE,UNIQUE(FILTER(SPLIT(F621,"" ""),LEN(SPLIT(F621,"" ""))&gt;2)))"),"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amp;"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f>
        <v>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v>
      </c>
      <c r="I621" s="1"/>
      <c r="J621" s="1"/>
    </row>
    <row r="622" spans="1:10" x14ac:dyDescent="0.2">
      <c r="A622" s="8" t="s">
        <v>1775</v>
      </c>
      <c r="B622" s="7" t="s">
        <v>1774</v>
      </c>
      <c r="C622" s="7" t="s">
        <v>1773</v>
      </c>
      <c r="D622" s="6">
        <v>38000</v>
      </c>
      <c r="E622" s="5">
        <v>1</v>
      </c>
      <c r="F622" s="4" t="str">
        <f ca="1">IFERROR(__xludf.DUMMYFUNCTION("LOWER(REGEXREPLACE(B622&amp;"" ""&amp;C622,""[^а-яa-z0-9 ]"","" ""))"),"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формиров"&amp;"ания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f>
        <v xml:space="preserve">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v>
      </c>
      <c r="G622" s="4" t="str">
        <f ca="1">IFERROR(__xludf.DUMMYFUNCTION("TEXTJOIN(""|"",TRUE,UNIQUE(FILTER(SPLIT(F622,"" ""),LEN(SPLIT(F622,"" ""))&gt;2)))"),"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amp;"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f>
        <v>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v>
      </c>
      <c r="I622" s="1"/>
      <c r="J622" s="1"/>
    </row>
    <row r="623" spans="1:10" x14ac:dyDescent="0.2">
      <c r="A623" s="8" t="s">
        <v>1772</v>
      </c>
      <c r="B623" s="7" t="s">
        <v>1771</v>
      </c>
      <c r="C623" s="7" t="s">
        <v>1770</v>
      </c>
      <c r="D623" s="6">
        <v>13100</v>
      </c>
      <c r="E623" s="5">
        <v>2</v>
      </c>
      <c r="F623" s="4" t="str">
        <f ca="1">IFERROR(__xludf.DUMMYFUNCTION("LOWER(REGEXREPLACE(B623&amp;"" ""&amp;C623,""[^а-яa-z0-9 ]"","" ""))"),"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позн"&amp;"авательного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f>
        <v xml:space="preserve">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v>
      </c>
      <c r="G623" s="4" t="str">
        <f ca="1">IFERROR(__xludf.DUMMYFUNCTION("TEXTJOIN(""|"",TRUE,UNIQUE(FILTER(SPLIT(F623,"" ""),LEN(SPLIT(F623,"" ""))&gt;2)))"),"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amp;"реса|комплект|входит|статичных|фигурок|насекомых|выполненных|прочного|полимерного|материала|одходит|для|индивидуальной|групповой|работы")</f>
        <v>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v>
      </c>
      <c r="I623" s="1"/>
      <c r="J623" s="1"/>
    </row>
    <row r="624" spans="1:10" x14ac:dyDescent="0.2">
      <c r="A624" s="8" t="s">
        <v>1769</v>
      </c>
      <c r="B624" s="7" t="s">
        <v>1768</v>
      </c>
      <c r="C624" s="7" t="s">
        <v>1767</v>
      </c>
      <c r="D624" s="6">
        <v>9600</v>
      </c>
      <c r="E624" s="5">
        <v>7</v>
      </c>
      <c r="F624" s="4" t="str">
        <f ca="1">IFERROR(__xludf.DUMMYFUNCTION("LOWER(REGEXREPLACE(B624&amp;"" ""&amp;C624,""[^а-яa-z0-9 ]"","" ""))"),"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безопас"&amp;"ны для детей и подходят для использования в образовательной среде дошкольного учреждения ")</f>
        <v xml:space="preserve">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v>
      </c>
      <c r="G624" s="4" t="str">
        <f ca="1">IFERROR(__xludf.DUMMYFUNCTION("TEXTJOIN(""|"",TRUE,UNIQUE(FILTER(SPLIT(F624,"" ""),LEN(SPLIT(F624,"" ""))&gt;2)))"),"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amp;"зования|образовательной|среде|дошкольного|учреждения")</f>
        <v>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v>
      </c>
      <c r="I624" s="1"/>
      <c r="J624" s="1"/>
    </row>
    <row r="625" spans="1:10" x14ac:dyDescent="0.2">
      <c r="A625" s="8" t="s">
        <v>1766</v>
      </c>
      <c r="B625" s="7" t="s">
        <v>1765</v>
      </c>
      <c r="C625" s="7" t="s">
        <v>1764</v>
      </c>
      <c r="D625" s="6">
        <v>66900</v>
      </c>
      <c r="E625" s="5">
        <v>15</v>
      </c>
      <c r="F625" s="4" t="str">
        <f ca="1">IFERROR(__xludf.DUMMYFUNCTION("LOWER(REGEXREPLACE(B625&amp;"" ""&amp;C625,""[^а-яa-z0-9 ]"","" ""))"),"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мышлени"&amp;"я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f>
        <v xml:space="preserve">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v>
      </c>
      <c r="G625" s="4" t="str">
        <f ca="1">IFERROR(__xludf.DUMMYFUNCTION("TEXTJOIN(""|"",TRUE,UNIQUE(FILTER(SPLIT(F625,"" ""),LEN(SPLIT(F625,"" ""))&gt;2)))"),"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amp;"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f>
        <v>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v>
      </c>
      <c r="I625" s="1"/>
      <c r="J625" s="1"/>
    </row>
    <row r="626" spans="1:10" x14ac:dyDescent="0.2">
      <c r="A626" s="8" t="s">
        <v>1763</v>
      </c>
      <c r="B626" s="7" t="s">
        <v>1762</v>
      </c>
      <c r="C626" s="7" t="s">
        <v>1761</v>
      </c>
      <c r="D626" s="6">
        <v>3400</v>
      </c>
      <c r="E626" s="5">
        <v>7</v>
      </c>
      <c r="F626" s="4" t="str">
        <f ca="1">IFERROR(__xludf.DUMMYFUNCTION("LOWER(REGEXREPLACE(B626&amp;"" ""&amp;C626,""[^а-яa-z0-9 ]"","" ""))"),"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дополняется"&amp;"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f>
        <v xml:space="preserve">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v>
      </c>
      <c r="G626" s="4" t="str">
        <f ca="1">IFERROR(__xludf.DUMMYFUNCTION("TEXTJOIN(""|"",TRUE,UNIQUE(FILTER(SPLIT(F626,"" ""),LEN(SPLIT(F626,"" ""))&gt;2)))"),"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amp;"позволяет|проводить|упражнения|разной|сложности|одходит|для|индивидуальной|подгрупповой|работы|спользуется|как|демонстрационный|раздаточный|материал")</f>
        <v>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v>
      </c>
      <c r="I626" s="1"/>
      <c r="J626" s="1"/>
    </row>
    <row r="627" spans="1:10" x14ac:dyDescent="0.2">
      <c r="A627" s="8" t="s">
        <v>1760</v>
      </c>
      <c r="B627" s="7" t="s">
        <v>1759</v>
      </c>
      <c r="C627" s="7" t="s">
        <v>1758</v>
      </c>
      <c r="D627" s="6">
        <v>8000</v>
      </c>
      <c r="E627" s="5">
        <v>1</v>
      </c>
      <c r="F627" s="4" t="str">
        <f ca="1">IFERROR(__xludf.DUMMYFUNCTION("LOWER(REGEXREPLACE(B627&amp;"" ""&amp;C627,""[^а-яa-z0-9 ]"","" ""))"),"  л  те о ай   ызы ты химия    инстон")</f>
        <v xml:space="preserve">  л  те о ай   ызы ты химия    инстон</v>
      </c>
      <c r="G627" s="4" t="str">
        <f ca="1">IFERROR(__xludf.DUMMYFUNCTION("TEXTJOIN(""|"",TRUE,UNIQUE(FILTER(SPLIT(F627,"" ""),LEN(SPLIT(F627,"" ""))&gt;2)))"),"ызы|химия|инстон")</f>
        <v>ызы|химия|инстон</v>
      </c>
      <c r="I627" s="1"/>
      <c r="J627" s="1"/>
    </row>
    <row r="628" spans="1:10" x14ac:dyDescent="0.2">
      <c r="A628" s="8" t="s">
        <v>1757</v>
      </c>
      <c r="B628" s="7" t="s">
        <v>1756</v>
      </c>
      <c r="C628" s="7" t="s">
        <v>1755</v>
      </c>
      <c r="D628" s="6">
        <v>1300</v>
      </c>
      <c r="E628" s="5">
        <v>25</v>
      </c>
      <c r="F628" s="4" t="str">
        <f ca="1">IFERROR(__xludf.DUMMYFUNCTION("LOWER(REGEXREPLACE(B628&amp;"" ""&amp;C628,""[^а-яa-z0-9 ]"","" ""))"),"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тв"&amp;"орческой деятельности в     ")</f>
        <v xml:space="preserve">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v>
      </c>
      <c r="G628" s="4" t="str">
        <f ca="1">IFERROR(__xludf.DUMMYFUNCTION("TEXTJOIN(""|"",TRUE,UNIQUE(FILTER(SPLIT(F628,"" ""),LEN(SPLIT(F628,"" ""))&gt;2)))"),"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f>
        <v>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v>
      </c>
      <c r="I628" s="1"/>
      <c r="J628" s="1"/>
    </row>
    <row r="629" spans="1:10" x14ac:dyDescent="0.2">
      <c r="A629" s="8" t="s">
        <v>1754</v>
      </c>
      <c r="B629" s="7" t="s">
        <v>1753</v>
      </c>
      <c r="C629" s="7" t="s">
        <v>1752</v>
      </c>
      <c r="D629" s="6">
        <v>3600</v>
      </c>
      <c r="E629" s="5">
        <v>1</v>
      </c>
      <c r="F629" s="4" t="str">
        <f ca="1">IFERROR(__xludf.DUMMYFUNCTION("LOWER(REGEXREPLACE(B629&amp;"" ""&amp;C629,""[^а-яa-z0-9 ]"","" ""))")," аполеон   apoleon  каз   рус   англ яз      едбридж  перевод  ужикова      санова     ")</f>
        <v xml:space="preserve"> аполеон   apoleon  каз   рус   англ яз      едбридж  перевод  ужикова      санова     </v>
      </c>
      <c r="G629" s="4" t="str">
        <f ca="1">IFERROR(__xludf.DUMMYFUNCTION("TEXTJOIN(""|"",TRUE,UNIQUE(FILTER(SPLIT(F629,"" ""),LEN(SPLIT(F629,"" ""))&gt;2)))"),"аполеон|apoleon|каз|рус|англ|едбридж|перевод|ужикова|санова")</f>
        <v>аполеон|apoleon|каз|рус|англ|едбридж|перевод|ужикова|санова</v>
      </c>
      <c r="I629" s="1"/>
      <c r="J629" s="1"/>
    </row>
    <row r="630" spans="1:10" x14ac:dyDescent="0.2">
      <c r="A630" s="8" t="s">
        <v>1751</v>
      </c>
      <c r="B630" s="7" t="s">
        <v>1750</v>
      </c>
      <c r="C630" s="7" t="s">
        <v>1749</v>
      </c>
      <c r="D630" s="6">
        <v>5700</v>
      </c>
      <c r="E630" s="5">
        <v>25</v>
      </c>
      <c r="F630" s="4" t="str">
        <f ca="1">IFERROR(__xludf.DUMMYFUNCTION("LOWER(REGEXREPLACE(B630&amp;"" ""&amp;C630,""[^а-яa-z0-9 ]"","" ""))"),"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компле"&amp;"кт входят два нарукавника и кармашек   одходят для использования детьми разного возраста ")</f>
        <v xml:space="preserve">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v>
      </c>
      <c r="G630" s="4" t="str">
        <f ca="1">IFERROR(__xludf.DUMMYFUNCTION("TEXTJOIN(""|"",TRUE,UNIQUE(FILTER(SPLIT(F630,"" ""),LEN(SPLIT(F630,"" ""))&gt;2)))"),"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amp;"укавника|кармашек|одходят|для|использования|детьми|разного|возраста")</f>
        <v>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v>
      </c>
      <c r="I630" s="1"/>
      <c r="J630" s="1"/>
    </row>
    <row r="631" spans="1:10" x14ac:dyDescent="0.2">
      <c r="A631" s="8" t="s">
        <v>1748</v>
      </c>
      <c r="B631" s="7" t="s">
        <v>1747</v>
      </c>
      <c r="C631" s="7" t="s">
        <v>1746</v>
      </c>
      <c r="D631" s="6">
        <v>127300</v>
      </c>
      <c r="E631" s="5">
        <v>7</v>
      </c>
      <c r="F631" s="4" t="str">
        <f ca="1">IFERROR(__xludf.DUMMYFUNCTION("LOWER(REGEXREPLACE(B631&amp;"" ""&amp;C631,""[^а-яa-z0-9 ]"","" ""))"),"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во"&amp;"сприятия  внимания и координации движений   атериал   дерево ")</f>
        <v xml:space="preserve">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v>
      </c>
      <c r="G631" s="4" t="str">
        <f ca="1">IFERROR(__xludf.DUMMYFUNCTION("TEXTJOIN(""|"",TRUE,UNIQUE(FILTER(SPLIT(F631,"" ""),LEN(SPLIT(F631,"" ""))&gt;2)))"),"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amp;"координации|движений|атериал|дерево")</f>
        <v>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v>
      </c>
      <c r="I631" s="1"/>
      <c r="J631" s="1"/>
    </row>
    <row r="632" spans="1:10" x14ac:dyDescent="0.2">
      <c r="A632" s="8" t="s">
        <v>1745</v>
      </c>
      <c r="B632" s="7" t="s">
        <v>1744</v>
      </c>
      <c r="C632" s="7" t="s">
        <v>1743</v>
      </c>
      <c r="D632" s="6">
        <v>163400</v>
      </c>
      <c r="E632" s="5">
        <v>8</v>
      </c>
      <c r="F632" s="4" t="str">
        <f ca="1">IFERROR(__xludf.DUMMYFUNCTION("LOWER(REGEXREPLACE(B632&amp;"" ""&amp;C632,""[^а-яa-z0-9 ]"","" ""))"),"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лет"&amp;"   зготовлен из дерева  имеет настенное крепление и устойчивую конструкцию  подходит для применения в     ")</f>
        <v xml:space="preserve">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v>
      </c>
      <c r="G632" s="4" t="str">
        <f ca="1">IFERROR(__xludf.DUMMYFUNCTION("TEXTJOIN(""|"",TRUE,UNIQUE(FILTER(SPLIT(F632,"" ""),LEN(SPLIT(F632,"" ""))&gt;2)))"),"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amp;"тенное|крепление|устойчивую|конструкцию|подходит|для|применения")</f>
        <v>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v>
      </c>
      <c r="I632" s="1"/>
      <c r="J632" s="1"/>
    </row>
    <row r="633" spans="1:10" x14ac:dyDescent="0.2">
      <c r="A633" s="8" t="s">
        <v>1742</v>
      </c>
      <c r="B633" s="7" t="s">
        <v>1741</v>
      </c>
      <c r="C633" s="7" t="s">
        <v>1740</v>
      </c>
      <c r="D633" s="6">
        <v>67400</v>
      </c>
      <c r="E633" s="5">
        <v>1</v>
      </c>
      <c r="F633" s="4" t="str">
        <f ca="1">IFERROR(__xludf.DUMMYFUNCTION("LOWER(REGEXREPLACE(B633&amp;"" ""&amp;C633,""[^а-яa-z0-9 ]"","" ""))"),"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з"&amp;"адания и выражать эмоции   репление к стене обеспечивает устойчивость  безопасность и экономию пространства ")</f>
        <v xml:space="preserve">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v>
      </c>
      <c r="G633" s="4" t="str">
        <f ca="1">IFERROR(__xludf.DUMMYFUNCTION("TEXTJOIN(""|"",TRUE,UNIQUE(FILTER(SPLIT(F633,"" ""),LEN(SPLIT(F633,"" ""))&gt;2)))"),"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amp;"|эмоции|репление|стене|обеспечивает|устойчивость|безопасность|экономию|пространства")</f>
        <v>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v>
      </c>
      <c r="I633" s="1"/>
      <c r="J633" s="1"/>
    </row>
    <row r="634" spans="1:10" x14ac:dyDescent="0.2">
      <c r="A634" s="8" t="s">
        <v>1739</v>
      </c>
      <c r="B634" s="7" t="s">
        <v>1738</v>
      </c>
      <c r="C634" s="7" t="s">
        <v>1737</v>
      </c>
      <c r="D634" s="6">
        <v>15300</v>
      </c>
      <c r="E634" s="5">
        <v>175</v>
      </c>
      <c r="F634" s="4" t="str">
        <f ca="1">IFERROR(__xludf.DUMMYFUNCTION("LOWER(REGEXREPLACE(B634&amp;"" ""&amp;C634,""[^а-яa-z0-9 ]"","" ""))"),"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зелен"&amp;"ые   6 шт    желтые   6 шт    синие   6 шт    розовые   6 шт    красные   6 шт    инструкция   1 шт")</f>
        <v xml:space="preserve">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v>
      </c>
      <c r="G634" s="4" t="str">
        <f ca="1">IFERROR(__xludf.DUMMYFUNCTION("TEXTJOIN(""|"",TRUE,UNIQUE(FILTER(SPLIT(F634,"" ""),LEN(SPLIT(F634,"" ""))&gt;2)))"),"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f>
        <v>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v>
      </c>
      <c r="I634" s="1"/>
      <c r="J634" s="1"/>
    </row>
    <row r="635" spans="1:10" x14ac:dyDescent="0.2">
      <c r="A635" s="8" t="s">
        <v>1736</v>
      </c>
      <c r="B635" s="7" t="s">
        <v>1735</v>
      </c>
      <c r="C635" s="7" t="s">
        <v>1734</v>
      </c>
      <c r="D635" s="6">
        <v>8100</v>
      </c>
      <c r="E635" s="5">
        <v>10</v>
      </c>
      <c r="F635" s="4" t="str">
        <f ca="1">IFERROR(__xludf.DUMMYFUNCTION("LOWER(REGEXREPLACE(B635&amp;"" ""&amp;C635,""[^а-яa-z0-9 ]"","" ""))"),"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способству"&amp;"ет закреплению таблицы умножения и развитию навыков сч та   азмер игрового поля составляет не менее 19 5 19 5 см   атериалы  дерево и бумажные карточки ")</f>
        <v xml:space="preserve">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v>
      </c>
      <c r="G635" s="4" t="str">
        <f ca="1">IFERROR(__xludf.DUMMYFUNCTION("TEXTJOIN(""|"",TRUE,UNIQUE(FILTER(SPLIT(F635,"" ""),LEN(SPLIT(F635,"" ""))&gt;2)))"),"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amp;"множения|развитию|навыков|азмер|игрового|поля|составляет|менее|атериалы|дерево|бумажные|карточки")</f>
        <v>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v>
      </c>
      <c r="I635" s="1"/>
      <c r="J635" s="1"/>
    </row>
    <row r="636" spans="1:10" x14ac:dyDescent="0.2">
      <c r="A636" s="8" t="s">
        <v>1733</v>
      </c>
      <c r="B636" s="7" t="s">
        <v>1732</v>
      </c>
      <c r="C636" s="7" t="s">
        <v>1731</v>
      </c>
      <c r="D636" s="6">
        <v>16000</v>
      </c>
      <c r="E636" s="5">
        <v>175</v>
      </c>
      <c r="F636" s="4" t="str">
        <f ca="1">IFERROR(__xludf.DUMMYFUNCTION("LOWER(REGEXREPLACE(B636&amp;"" ""&amp;C636,""[^а-яa-z0-9 ]"","" ""))"),"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"&amp;"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f>
        <v xml:space="preserve">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v>
      </c>
      <c r="G636" s="4" t="str">
        <f ca="1">IFERROR(__xludf.DUMMYFUNCTION("TEXTJOIN(""|"",TRUE,UNIQUE(FILTER(SPLIT(F636,"" ""),LEN(SPLIT(F636,"" ""))&gt;2)))"),"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amp;"бабочек|бабочка|одного|цвета|кубики|бабочки|двух|цветов|коврик|инструкция|карточки|бабочками|узорам")</f>
        <v>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v>
      </c>
      <c r="I636" s="1"/>
      <c r="J636" s="1"/>
    </row>
    <row r="637" spans="1:10" x14ac:dyDescent="0.2">
      <c r="A637" s="8" t="s">
        <v>1730</v>
      </c>
      <c r="B637" s="7" t="s">
        <v>1729</v>
      </c>
      <c r="C637" s="7" t="s">
        <v>1728</v>
      </c>
      <c r="D637" s="6">
        <v>16000</v>
      </c>
      <c r="E637" s="5">
        <v>195</v>
      </c>
      <c r="F637" s="4" t="str">
        <f ca="1">IFERROR(__xludf.DUMMYFUNCTION("LOWER(REGEXREPLACE(B637&amp;"" ""&amp;C637,""[^а-яa-z0-9 ]"","" ""))"),"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v>
      </c>
      <c r="G637" s="4" t="str">
        <f ca="1">IFERROR(__xludf.DUMMYFUNCTION("TEXTJOIN(""|"",TRUE,UNIQUE(FILTER(SPLIT(F637,"" ""),LEN(SPLIT(F637,"" ""))&gt;2)))"),"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f>
        <v>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v>
      </c>
      <c r="I637" s="1"/>
      <c r="J637" s="1"/>
    </row>
    <row r="638" spans="1:10" x14ac:dyDescent="0.2">
      <c r="A638" s="8" t="s">
        <v>1727</v>
      </c>
      <c r="B638" s="7" t="s">
        <v>1726</v>
      </c>
      <c r="C638" s="7" t="s">
        <v>1725</v>
      </c>
      <c r="D638" s="6">
        <v>4000</v>
      </c>
      <c r="E638" s="5">
        <v>175</v>
      </c>
      <c r="F638" s="4" t="str">
        <f ca="1">IFERROR(__xludf.DUMMYFUNCTION("LOWER(REGEXREPLACE(B638&amp;"" ""&amp;C638,""[^а-яa-z0-9 ]"","" ""))")," еер набор  еер набор  касса букв и цифр  на казахском языке   челка   1  904")</f>
        <v xml:space="preserve"> еер набор  еер набор  касса букв и цифр  на казахском языке   челка   1  904</v>
      </c>
      <c r="G638" s="4" t="str">
        <f ca="1">IFERROR(__xludf.DUMMYFUNCTION("TEXTJOIN(""|"",TRUE,UNIQUE(FILTER(SPLIT(F638,"" ""),LEN(SPLIT(F638,"" ""))&gt;2)))"),"еер|набор|еер|набор|касса|букв|цифр|казахском|языке|челка|904")</f>
        <v>еер|набор|еер|набор|касса|букв|цифр|казахском|языке|челка|904</v>
      </c>
      <c r="I638" s="1"/>
      <c r="J638" s="1"/>
    </row>
    <row r="639" spans="1:10" x14ac:dyDescent="0.2">
      <c r="A639" s="8" t="s">
        <v>1724</v>
      </c>
      <c r="B639" s="7" t="s">
        <v>1723</v>
      </c>
      <c r="C639" s="7" t="s">
        <v>1722</v>
      </c>
      <c r="D639" s="6">
        <v>4800</v>
      </c>
      <c r="E639" s="5">
        <v>14</v>
      </c>
      <c r="F639" s="4" t="str">
        <f ca="1">IFERROR(__xludf.DUMMYFUNCTION("LOWER(REGEXREPLACE(B639&amp;"" ""&amp;C639,""[^а-яa-z0-9 ]"","" ""))"),"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трениро"&amp;"вке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f>
        <v xml:space="preserve">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v>
      </c>
      <c r="G639" s="4" t="str">
        <f ca="1">IFERROR(__xludf.DUMMYFUNCTION("TEXTJOIN(""|"",TRUE,UNIQUE(FILTER(SPLIT(F639,"" ""),LEN(SPLIT(F639,"" ""))&gt;2)))"),"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amp;"|долговременной|памяти|развитию|логического|мышления|усидчивости|одходит|для|регулярного|применения|образовательной|деятельности")</f>
        <v>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v>
      </c>
      <c r="I639" s="1"/>
      <c r="J639" s="1"/>
    </row>
    <row r="640" spans="1:10" x14ac:dyDescent="0.2">
      <c r="A640" s="8" t="s">
        <v>1721</v>
      </c>
      <c r="B640" s="7" t="s">
        <v>1720</v>
      </c>
      <c r="C640" s="7" t="s">
        <v>1719</v>
      </c>
      <c r="D640" s="6">
        <v>10500</v>
      </c>
      <c r="E640" s="5">
        <v>7</v>
      </c>
      <c r="F640" s="4" t="str">
        <f ca="1">IFERROR(__xludf.DUMMYFUNCTION("LOWER(REGEXREPLACE(B640&amp;"" ""&amp;C640,""[^а-яa-z0-9 ]"","" ""))"),"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"&amp;"аккуратность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f>
        <v xml:space="preserve">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v>
      </c>
      <c r="G640" s="4" t="str">
        <f ca="1">IFERROR(__xludf.DUMMYFUNCTION("TEXTJOIN(""|"",TRUE,UNIQUE(FILTER(SPLIT(F640,"" ""),LEN(SPLIT(F640,"" ""))&gt;2)))"),"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amp;"дственное|мышление|гра|формирует|навыки|соблюдения|правил|очередности|действий|подходит|для|групповой|индивидуальной|деятельности")</f>
        <v>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v>
      </c>
      <c r="I640" s="1"/>
      <c r="J640" s="1"/>
    </row>
    <row r="641" spans="1:10" x14ac:dyDescent="0.2">
      <c r="A641" s="8" t="s">
        <v>1718</v>
      </c>
      <c r="B641" s="7" t="s">
        <v>1717</v>
      </c>
      <c r="C641" s="7" t="s">
        <v>1716</v>
      </c>
      <c r="D641" s="6">
        <v>3400</v>
      </c>
      <c r="E641" s="5">
        <v>14</v>
      </c>
      <c r="F641" s="4" t="str">
        <f ca="1">IFERROR(__xludf.DUMMYFUNCTION("LOWER(REGEXREPLACE(B641&amp;"" ""&amp;C641,""[^а-яa-z0-9 ]"","" ""))"),"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уч"&amp;"астники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деть"&amp;"ми  элементы имеют устойчивую форму и гладкую поверхность ")</f>
        <v xml:space="preserve">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v>
      </c>
      <c r="G641" s="4" t="str">
        <f ca="1">IFERROR(__xludf.DUMMYFUNCTION("TEXTJOIN(""|"",TRUE,UNIQUE(FILTER(SPLIT(F641,"" ""),LEN(SPLIT(F641,"" ""))&gt;2)))"),"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amp;"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amp;"орму|гладкую|поверхность")</f>
        <v>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v>
      </c>
      <c r="I641" s="1"/>
      <c r="J641" s="1"/>
    </row>
    <row r="642" spans="1:10" x14ac:dyDescent="0.2">
      <c r="A642" s="8" t="s">
        <v>1715</v>
      </c>
      <c r="B642" s="7" t="s">
        <v>1714</v>
      </c>
      <c r="C642" s="7" t="s">
        <v>1713</v>
      </c>
      <c r="D642" s="6">
        <v>44000</v>
      </c>
      <c r="E642" s="5">
        <v>47</v>
      </c>
      <c r="F642" s="4" t="str">
        <f ca="1">IFERROR(__xludf.DUMMYFUNCTION("LOWER(REGEXREPLACE(B642&amp;"" ""&amp;C642,""[^а-яa-z0-9 ]"","" ""))"),"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ра"&amp;"зноцветные детали   27 шт    красные детали   5 шт    розовые детали   5 шт    синие детали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v>
      </c>
      <c r="G642" s="4" t="str">
        <f ca="1">IFERROR(__xludf.DUMMYFUNCTION("TEXTJOIN(""|"",TRUE,UNIQUE(FILTER(SPLIT(F642,"" ""),LEN(SPLIT(F642,"" ""))&gt;2)))"),"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amp;"детали|желтые|детали|зеленые|детали")</f>
        <v>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v>
      </c>
      <c r="I642" s="1"/>
      <c r="J642" s="1"/>
    </row>
    <row r="643" spans="1:10" x14ac:dyDescent="0.2">
      <c r="A643" s="8" t="s">
        <v>1712</v>
      </c>
      <c r="B643" s="7" t="s">
        <v>1711</v>
      </c>
      <c r="C643" s="7" t="s">
        <v>1710</v>
      </c>
      <c r="D643" s="6">
        <v>13300</v>
      </c>
      <c r="E643" s="5">
        <v>175</v>
      </c>
      <c r="F643" s="4" t="str">
        <f ca="1">IFERROR(__xludf.DUMMYFUNCTION("LOWER(REGEXREPLACE(B643&amp;"" ""&amp;C643,""[^а-яa-z0-9 ]"","" ""))"),"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изуальное"&amp;" восприятие    ерпение    антазию   оранжевые палочки   8 шт    инструкция   1 шт    желтые палочки   8 шт    зеленые палочки   12 шт    красно пестрые палочки   8 шт    синие палочки   8 шт ")</f>
        <v xml:space="preserve">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v>
      </c>
      <c r="G643" s="4" t="str">
        <f ca="1">IFERROR(__xludf.DUMMYFUNCTION("TEXTJOIN(""|"",TRUE,UNIQUE(FILTER(SPLIT(F643,"" ""),LEN(SPLIT(F643,"" ""))&gt;2)))"),"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amp;"е|палочки|инструкция|желтые|палочки|зеленые|палочки|красно|пестрые|палочки|синие|палочки")</f>
        <v>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v>
      </c>
      <c r="I643" s="1"/>
      <c r="J643" s="1"/>
    </row>
    <row r="644" spans="1:10" x14ac:dyDescent="0.2">
      <c r="A644" s="8" t="s">
        <v>1709</v>
      </c>
      <c r="B644" s="7" t="s">
        <v>1708</v>
      </c>
      <c r="C644" s="7" t="s">
        <v>1707</v>
      </c>
      <c r="D644" s="6">
        <v>10800</v>
      </c>
      <c r="E644" s="5">
        <v>35</v>
      </c>
      <c r="F644" s="4" t="str">
        <f ca="1">IFERROR(__xludf.DUMMYFUNCTION("LOWER(REGEXREPLACE(B644&amp;"" ""&amp;C644,""[^а-яa-z0-9 ]"","" ""))"),"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"&amp;" 16 шт    карточки для формирования игрового поля   9 шт            инструкция  1 шт")</f>
        <v xml:space="preserve">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v>
      </c>
      <c r="G644" s="4" t="str">
        <f ca="1">IFERROR(__xludf.DUMMYFUNCTION("TEXTJOIN(""|"",TRUE,UNIQUE(FILTER(SPLIT(F644,"" ""),LEN(SPLIT(F644,"" ""))&gt;2)))"),"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f>
        <v>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v>
      </c>
      <c r="I644" s="1"/>
      <c r="J644" s="1"/>
    </row>
    <row r="645" spans="1:10" x14ac:dyDescent="0.2">
      <c r="A645" s="8" t="s">
        <v>1706</v>
      </c>
      <c r="B645" s="7" t="s">
        <v>1705</v>
      </c>
      <c r="C645" s="7" t="s">
        <v>1704</v>
      </c>
      <c r="D645" s="6">
        <v>20500</v>
      </c>
      <c r="E645" s="5">
        <v>195</v>
      </c>
      <c r="F645" s="4" t="str">
        <f ca="1">IFERROR(__xludf.DUMMYFUNCTION("LOWER(REGEXREPLACE(B645&amp;"" ""&amp;C645,""[^а-яa-z0-9 ]"","" ""))"),"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"&amp;"6 шт    желтые карты   15 шт    светло зеленые карты   16 шт    темно зеленые карты   4 шт    инструкция   1 шт")</f>
        <v xml:space="preserve">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v>
      </c>
      <c r="G645" s="4" t="str">
        <f ca="1">IFERROR(__xludf.DUMMYFUNCTION("TEXTJOIN(""|"",TRUE,UNIQUE(FILTER(SPLIT(F645,"" ""),LEN(SPLIT(F645,"" ""))&gt;2)))"),"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amp;"ы|инструкция")</f>
        <v>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v>
      </c>
      <c r="I645" s="1"/>
      <c r="J645" s="1"/>
    </row>
    <row r="646" spans="1:10" x14ac:dyDescent="0.2">
      <c r="A646" s="8" t="s">
        <v>1703</v>
      </c>
      <c r="B646" s="7" t="s">
        <v>1702</v>
      </c>
      <c r="C646" s="7" t="s">
        <v>1701</v>
      </c>
      <c r="D646" s="6">
        <v>20900</v>
      </c>
      <c r="E646" s="5">
        <v>1</v>
      </c>
      <c r="F646" s="4" t="str">
        <f ca="1">IFERROR(__xludf.DUMMYFUNCTION("LOWER(REGEXREPLACE(B646&amp;"" ""&amp;C646,""[^а-яa-z0-9 ]"","" ""))"),"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ат"&amp;"ериалы безопасны  шнурки удобны для детской руки ")</f>
        <v xml:space="preserve">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v>
      </c>
      <c r="G646" s="4" t="str">
        <f ca="1">IFERROR(__xludf.DUMMYFUNCTION("TEXTJOIN(""|"",TRUE,UNIQUE(FILTER(SPLIT(F646,"" ""),LEN(SPLIT(F646,"" ""))&gt;2)))"),"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amp;"рки|удобны|для|детской|руки")</f>
        <v>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v>
      </c>
      <c r="I646" s="1"/>
      <c r="J646" s="1"/>
    </row>
    <row r="647" spans="1:10" x14ac:dyDescent="0.2">
      <c r="A647" s="8" t="s">
        <v>1700</v>
      </c>
      <c r="B647" s="7" t="s">
        <v>1699</v>
      </c>
      <c r="C647" s="7" t="s">
        <v>1698</v>
      </c>
      <c r="D647" s="6">
        <v>10200</v>
      </c>
      <c r="E647" s="5">
        <v>7</v>
      </c>
      <c r="F647" s="4" t="str">
        <f ca="1">IFERROR(__xludf.DUMMYFUNCTION("LOWER(REGEXREPLACE(B647&amp;"" ""&amp;C647,""[^а-яa-z0-9 ]"","" ""))"),"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f>
        <v xml:space="preserve">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v>
      </c>
      <c r="G647" s="4" t="str">
        <f ca="1">IFERROR(__xludf.DUMMYFUNCTION("TEXTJOIN(""|"",TRUE,UNIQUE(FILTER(SPLIT(F647,"" ""),LEN(SPLIT(F647,"" ""))&gt;2)))"),"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f>
        <v>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v>
      </c>
      <c r="I647" s="1"/>
      <c r="J647" s="1"/>
    </row>
    <row r="648" spans="1:10" x14ac:dyDescent="0.2">
      <c r="A648" s="8" t="s">
        <v>1697</v>
      </c>
      <c r="B648" s="7" t="s">
        <v>1696</v>
      </c>
      <c r="C648" s="7" t="s">
        <v>1695</v>
      </c>
      <c r="D648" s="6">
        <v>28500</v>
      </c>
      <c r="E648" s="5">
        <v>43</v>
      </c>
      <c r="F648" s="4" t="str">
        <f ca="1">IFERROR(__xludf.DUMMYFUNCTION("LOWER(REGEXREPLACE(B648&amp;"" ""&amp;C648,""[^а-яa-z0-9 ]"","" ""))"),"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разви"&amp;"вающей и обучающей работе с детьми дошкольного возраста   гра способствует подготовке руки к письму и развитию самостоятельности ")</f>
        <v xml:space="preserve">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v>
      </c>
      <c r="G648" s="4" t="str">
        <f ca="1">IFERROR(__xludf.DUMMYFUNCTION("TEXTJOIN(""|"",TRUE,UNIQUE(FILTER(SPLIT(F648,"" ""),LEN(SPLIT(F648,"" ""))&gt;2)))"),"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amp;"|работе|детьми|дошкольного|возраста|гра|способствует|подготовке|руки|письму|развитию|самостоятельности")</f>
        <v>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v>
      </c>
      <c r="I648" s="1"/>
      <c r="J648" s="1"/>
    </row>
    <row r="649" spans="1:10" x14ac:dyDescent="0.2">
      <c r="A649" s="8" t="s">
        <v>1694</v>
      </c>
      <c r="B649" s="7" t="s">
        <v>1693</v>
      </c>
      <c r="C649" s="7" t="s">
        <v>1692</v>
      </c>
      <c r="D649" s="6">
        <v>8400</v>
      </c>
      <c r="E649" s="5">
        <v>1</v>
      </c>
      <c r="F649" s="4" t="str">
        <f ca="1">IFERROR(__xludf.DUMMYFUNCTION("LOWER(REGEXREPLACE(B649&amp;"" ""&amp;C649,""[^а-яa-z0-9 ]"","" ""))")," еликие чудеса света  ш   ")</f>
        <v xml:space="preserve"> еликие чудеса света  ш   </v>
      </c>
      <c r="G649" s="4" t="str">
        <f ca="1">IFERROR(__xludf.DUMMYFUNCTION("TEXTJOIN(""|"",TRUE,UNIQUE(FILTER(SPLIT(F649,"" ""),LEN(SPLIT(F649,"" ""))&gt;2)))"),"еликие|чудеса|света")</f>
        <v>еликие|чудеса|света</v>
      </c>
      <c r="I649" s="1"/>
      <c r="J649" s="1"/>
    </row>
    <row r="650" spans="1:10" x14ac:dyDescent="0.2">
      <c r="A650" s="8" t="s">
        <v>1691</v>
      </c>
      <c r="B650" s="7" t="s">
        <v>1690</v>
      </c>
      <c r="C650" s="7" t="s">
        <v>1689</v>
      </c>
      <c r="D650" s="6">
        <v>133000</v>
      </c>
      <c r="E650" s="5">
        <v>0</v>
      </c>
      <c r="F650" s="4" t="str">
        <f ca="1">IFERROR(__xludf.DUMMYFUNCTION("LOWER(REGEXREPLACE(B650&amp;"" ""&amp;C650,""[^а-яa-z0-9 ]"","" ""))"),"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запис"&amp;"и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f>
        <v xml:space="preserve">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v>
      </c>
      <c r="G650" s="4" t="str">
        <f ca="1">IFERROR(__xludf.DUMMYFUNCTION("TEXTJOIN(""|"",TRUE,UNIQUE(FILTER(SPLIT(F650,"" ""),LEN(SPLIT(F650,"" ""))&gt;2)))"),"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amp;"ения|утренников|праздничных|мероприятий|беспечивает|удобное|размещение|оборудования|способствует|повышению|качества|музыкально|педагогической|работы")</f>
        <v>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v>
      </c>
      <c r="I650" s="1"/>
      <c r="J650" s="1"/>
    </row>
    <row r="651" spans="1:10" x14ac:dyDescent="0.2">
      <c r="A651" s="8" t="s">
        <v>1688</v>
      </c>
      <c r="B651" s="7" t="s">
        <v>1687</v>
      </c>
      <c r="C651" s="7" t="s">
        <v>1686</v>
      </c>
      <c r="D651" s="6">
        <v>1900</v>
      </c>
      <c r="E651" s="5">
        <v>10</v>
      </c>
      <c r="F651" s="4" t="str">
        <f ca="1">IFERROR(__xludf.DUMMYFUNCTION("LOWER(REGEXREPLACE(B651&amp;"" ""&amp;C651,""[^а-яa-z0-9 ]"","" ""))"),"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коррекционн"&amp;"ой деятельности с детьми дошкольного возраста   пособствует развитию логического мышления  внимания и самостоятельности ")</f>
        <v xml:space="preserve">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v>
      </c>
      <c r="G651" s="4" t="str">
        <f ca="1">IFERROR(__xludf.DUMMYFUNCTION("TEXTJOIN(""|"",TRUE,UNIQUE(FILTER(SPLIT(F651,"" ""),LEN(SPLIT(F651,"" ""))&gt;2)))"),"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amp;"ьми|дошкольного|возраста|пособствует|развитию|логического|мышления|внимания|самостоятельности")</f>
        <v>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v>
      </c>
      <c r="I651" s="1"/>
      <c r="J651" s="1"/>
    </row>
    <row r="652" spans="1:10" x14ac:dyDescent="0.2">
      <c r="A652" s="8" t="s">
        <v>1685</v>
      </c>
      <c r="B652" s="7" t="s">
        <v>1684</v>
      </c>
      <c r="C652" s="7" t="s">
        <v>1683</v>
      </c>
      <c r="D652" s="6">
        <v>11900</v>
      </c>
      <c r="E652" s="5">
        <v>7</v>
      </c>
      <c r="F652" s="4" t="str">
        <f ca="1">IFERROR(__xludf.DUMMYFUNCTION("LOWER(REGEXREPLACE(B652&amp;"" ""&amp;C652,""[^а-яa-z0-9 ]"","" ""))"),"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"&amp;" ормирует навыки соблюдения правил игры  очередности ходов и сотрудничества ")</f>
        <v xml:space="preserve">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v>
      </c>
      <c r="G652" s="4" t="str">
        <f ca="1">IFERROR(__xludf.DUMMYFUNCTION("TEXTJOIN(""|"",TRUE,UNIQUE(FILTER(SPLIT(F652,"" ""),LEN(SPLIT(F652,"" ""))&gt;2)))"),"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amp;"соблюдения|правил|игры|очередности|ходов|сотрудничества")</f>
        <v>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v>
      </c>
      <c r="I652" s="1"/>
      <c r="J652" s="1"/>
    </row>
    <row r="653" spans="1:10" x14ac:dyDescent="0.2">
      <c r="A653" s="8" t="s">
        <v>1682</v>
      </c>
      <c r="B653" s="7" t="s">
        <v>1681</v>
      </c>
      <c r="C653" s="7" t="s">
        <v>1680</v>
      </c>
      <c r="D653" s="6">
        <v>12500</v>
      </c>
      <c r="E653" s="5">
        <v>50</v>
      </c>
      <c r="F653" s="4" t="str">
        <f ca="1">IFERROR(__xludf.DUMMYFUNCTION("LOWER(REGEXREPLACE(B653&amp;"" ""&amp;C653,""[^а-яa-z0-9 ]"","" ""))"),"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"&amp;"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f>
        <v xml:space="preserve">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v>
      </c>
      <c r="G653" s="4" t="str">
        <f ca="1">IFERROR(__xludf.DUMMYFUNCTION("TEXTJOIN(""|"",TRUE,UNIQUE(FILTER(SPLIT(F653,"" ""),LEN(SPLIT(F653,"" ""))&gt;2)))"),"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amp;"силуэтами|бабочек|бабочка|одного|цвета|кубики|бабочки|двух|цветов|коврик|инструкция|карточки|бабочками|узорами")</f>
        <v>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v>
      </c>
      <c r="I653" s="1"/>
      <c r="J653" s="1"/>
    </row>
    <row r="654" spans="1:10" x14ac:dyDescent="0.2">
      <c r="A654" s="8" t="s">
        <v>1679</v>
      </c>
      <c r="B654" s="7" t="s">
        <v>1678</v>
      </c>
      <c r="C654" s="7" t="s">
        <v>1677</v>
      </c>
      <c r="D654" s="6">
        <v>10800</v>
      </c>
      <c r="E654" s="5">
        <v>50</v>
      </c>
      <c r="F654" s="4" t="str">
        <f ca="1">IFERROR(__xludf.DUMMYFUNCTION("LOWER(REGEXREPLACE(B654&amp;"" ""&amp;C654,""[^а-яa-z0-9 ]"","" ""))"),"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"&amp;"16 шт    карточки для формирования игрового поля   9 шт    инструкция  1 шт  ")</f>
        <v xml:space="preserve">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v>
      </c>
      <c r="G654" s="4" t="str">
        <f ca="1">IFERROR(__xludf.DUMMYFUNCTION("TEXTJOIN(""|"",TRUE,UNIQUE(FILTER(SPLIT(F654,"" ""),LEN(SPLIT(F654,"" ""))&gt;2)))"),"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f>
        <v>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v>
      </c>
      <c r="I654" s="1"/>
      <c r="J654" s="1"/>
    </row>
    <row r="655" spans="1:10" x14ac:dyDescent="0.2">
      <c r="A655" s="8" t="s">
        <v>1676</v>
      </c>
      <c r="B655" s="7" t="s">
        <v>1675</v>
      </c>
      <c r="C655" s="7" t="s">
        <v>1674</v>
      </c>
      <c r="D655" s="6">
        <v>66500</v>
      </c>
      <c r="E655" s="5">
        <v>7</v>
      </c>
      <c r="F655" s="4" t="str">
        <f ca="1">IFERROR(__xludf.DUMMYFUNCTION("LOWER(REGEXREPLACE(B655&amp;"" ""&amp;C655,""[^а-яa-z0-9 ]"","" ""))")," астольные развивающие игры  азвивающие настольные игры направлены на тренировку логики  памяти  внимания  стратегического мышления и речи у детей")</f>
        <v xml:space="preserve"> астольные развивающие игры  азвивающие настольные игры направлены на тренировку логики  памяти  внимания  стратегического мышления и речи у детей</v>
      </c>
      <c r="G655" s="4" t="str">
        <f ca="1">IFERROR(__xludf.DUMMYFUNCTION("TEXTJOIN(""|"",TRUE,UNIQUE(FILTER(SPLIT(F655,"" ""),LEN(SPLIT(F655,"" ""))&gt;2)))"),"астольные|развивающие|игры|азвивающие|настольные|игры|направлены|тренировку|логики|памяти|внимания|стратегического|мышления|речи|детей")</f>
        <v>астольные|развивающие|игры|азвивающие|настольные|игры|направлены|тренировку|логики|памяти|внимания|стратегического|мышления|речи|детей</v>
      </c>
      <c r="I655" s="1"/>
      <c r="J655" s="1"/>
    </row>
    <row r="656" spans="1:10" x14ac:dyDescent="0.2">
      <c r="A656" s="8" t="s">
        <v>1673</v>
      </c>
      <c r="B656" s="7" t="s">
        <v>1672</v>
      </c>
      <c r="C656" s="7" t="s">
        <v>1671</v>
      </c>
      <c r="D656" s="6">
        <v>47500</v>
      </c>
      <c r="E656" s="5">
        <v>1</v>
      </c>
      <c r="F656" s="4" t="str">
        <f ca="1">IFERROR(__xludf.DUMMYFUNCTION("LOWER(REGEXREPLACE(B656&amp;"" ""&amp;C656,""[^а-яa-z0-9 ]"","" ""))"),"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онструкция"&amp;" рассчитана на установку на горизонтальной поверхности ")</f>
        <v xml:space="preserve">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v>
      </c>
      <c r="G656" s="4" t="str">
        <f ca="1">IFERROR(__xludf.DUMMYFUNCTION("TEXTJOIN(""|"",TRUE,UNIQUE(FILTER(SPLIT(F656,"" ""),LEN(SPLIT(F656,"" ""))&gt;2)))"),"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amp;"новку|горизонтальной|поверхности")</f>
        <v>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v>
      </c>
      <c r="I656" s="1"/>
      <c r="J656" s="1"/>
    </row>
    <row r="657" spans="1:10" x14ac:dyDescent="0.2">
      <c r="A657" s="8" t="s">
        <v>1670</v>
      </c>
      <c r="B657" s="7" t="s">
        <v>1669</v>
      </c>
      <c r="C657" s="7" t="s">
        <v>1668</v>
      </c>
      <c r="D657" s="6">
        <v>10700</v>
      </c>
      <c r="E657" s="5">
        <v>1</v>
      </c>
      <c r="F657" s="4" t="str">
        <f ca="1">IFERROR(__xludf.DUMMYFUNCTION("LOWER(REGEXREPLACE(B657&amp;"" ""&amp;C657,""[^а-яa-z0-9 ]"","" ""))"),"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оф"&amp;"ормлении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тактиль"&amp;"ного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"&amp;"     онструкция и материалы соответствуют требованиям использования в детских учреждениях ")</f>
        <v xml:space="preserve">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v>
      </c>
      <c r="G657" s="4" t="str">
        <f ca="1">IFERROR(__xludf.DUMMYFUNCTION("TEXTJOIN(""|"",TRUE,UNIQUE(FILTER(SPLIT(F657,"" ""),LEN(SPLIT(F657,"" ""))&gt;2)))"),"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amp;"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amp;"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amp;"ия|детских|учреждениях")</f>
        <v>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v>
      </c>
      <c r="I657" s="1"/>
      <c r="J657" s="1"/>
    </row>
    <row r="658" spans="1:10" x14ac:dyDescent="0.2">
      <c r="A658" s="8" t="s">
        <v>1667</v>
      </c>
      <c r="B658" s="7" t="s">
        <v>1666</v>
      </c>
      <c r="C658" s="7" t="s">
        <v>1665</v>
      </c>
      <c r="D658" s="6">
        <v>30400</v>
      </c>
      <c r="E658" s="5">
        <v>5</v>
      </c>
      <c r="F658" s="4" t="str">
        <f ca="1">IFERROR(__xludf.DUMMYFUNCTION("LOWER(REGEXREPLACE(B658&amp;"" ""&amp;C658,""[^а-яa-z0-9 ]"","" ""))"),"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разв"&amp;"итию координации движений и интереса к народным играм   гровые элементы изготовлены из прочных материалов ")</f>
        <v xml:space="preserve">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v>
      </c>
      <c r="G658" s="4" t="str">
        <f ca="1">IFERROR(__xludf.DUMMYFUNCTION("TEXTJOIN(""|"",TRUE,UNIQUE(FILTER(SPLIT(F658,"" ""),LEN(SPLIT(F658,"" ""))&gt;2)))"),"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amp;"еса|народным|играм|гровые|элементы|изготовлены|прочных|материалов")</f>
        <v>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v>
      </c>
      <c r="I658" s="1"/>
      <c r="J658" s="1"/>
    </row>
    <row r="659" spans="1:10" x14ac:dyDescent="0.2">
      <c r="A659" s="8" t="s">
        <v>1664</v>
      </c>
      <c r="B659" s="7" t="s">
        <v>1663</v>
      </c>
      <c r="C659" s="7" t="s">
        <v>1662</v>
      </c>
      <c r="D659" s="6">
        <v>19600</v>
      </c>
      <c r="E659" s="5">
        <v>15</v>
      </c>
      <c r="F659" s="4" t="str">
        <f ca="1">IFERROR(__xludf.DUMMYFUNCTION("LOWER(REGEXREPLACE(B659&amp;"" ""&amp;C659,""[^а-яa-z0-9 ]"","" ""))"),"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выступлени"&amp;"й  праздничных мероприятий и национальных празднико")</f>
        <v xml:space="preserve">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v>
      </c>
      <c r="G659" s="4" t="str">
        <f ca="1">IFERROR(__xludf.DUMMYFUNCTION("TEXTJOIN(""|"",TRUE,UNIQUE(FILTER(SPLIT(F659,"" ""),LEN(SPLIT(F659,"" ""))&gt;2)))"),"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amp;"ятий|национальных|празднико")</f>
        <v>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v>
      </c>
      <c r="I659" s="1"/>
      <c r="J659" s="1"/>
    </row>
    <row r="660" spans="1:10" x14ac:dyDescent="0.2">
      <c r="A660" s="8" t="s">
        <v>1661</v>
      </c>
      <c r="B660" s="7" t="s">
        <v>1660</v>
      </c>
      <c r="C660" s="7" t="s">
        <v>1659</v>
      </c>
      <c r="D660" s="6">
        <v>14000</v>
      </c>
      <c r="E660" s="5">
        <v>1</v>
      </c>
      <c r="F660" s="4" t="str">
        <f ca="1">IFERROR(__xludf.DUMMYFUNCTION("LOWER(REGEXREPLACE(B660&amp;"" ""&amp;C660,""[^а-яa-z0-9 ]"","" ""))")," еликий  бай   нциклопедия  буб к р      ужикова      айрамбаева   ")</f>
        <v xml:space="preserve"> еликий  бай   нциклопедия  буб к р      ужикова      айрамбаева   </v>
      </c>
      <c r="G660" s="4" t="str">
        <f ca="1">IFERROR(__xludf.DUMMYFUNCTION("TEXTJOIN(""|"",TRUE,UNIQUE(FILTER(SPLIT(F660,"" ""),LEN(SPLIT(F660,"" ""))&gt;2)))"),"еликий|бай|нциклопедия|буб|ужикова|айрамбаева")</f>
        <v>еликий|бай|нциклопедия|буб|ужикова|айрамбаева</v>
      </c>
      <c r="I660" s="1"/>
      <c r="J660" s="1"/>
    </row>
    <row r="661" spans="1:10" x14ac:dyDescent="0.2">
      <c r="A661" s="8" t="s">
        <v>1658</v>
      </c>
      <c r="B661" s="7" t="s">
        <v>1657</v>
      </c>
      <c r="C661" s="7" t="s">
        <v>1656</v>
      </c>
      <c r="D661" s="6">
        <v>19600</v>
      </c>
      <c r="E661" s="5">
        <v>15</v>
      </c>
      <c r="F661" s="4" t="str">
        <f ca="1">IFERROR(__xludf.DUMMYFUNCTION("LOWER(REGEXREPLACE(B661&amp;"" ""&amp;C661,""[^а-яa-z0-9 ]"","" ""))"),"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формир"&amp;"ованию интереса к традиционной культуре и развитию эмоциональной выразительности ")</f>
        <v xml:space="preserve">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v>
      </c>
      <c r="G661" s="4" t="str">
        <f ca="1">IFERROR(__xludf.DUMMYFUNCTION("TEXTJOIN(""|"",TRUE,UNIQUE(FILTER(SPLIT(F661,"" ""),LEN(SPLIT(F661,"" ""))&gt;2)))"),"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amp;"адиционной|культуре|развитию|эмоциональной|выразительности")</f>
        <v>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v>
      </c>
      <c r="I661" s="1"/>
      <c r="J661" s="1"/>
    </row>
    <row r="662" spans="1:10" x14ac:dyDescent="0.2">
      <c r="A662" s="8" t="s">
        <v>1655</v>
      </c>
      <c r="B662" s="7" t="s">
        <v>1654</v>
      </c>
      <c r="C662" s="7" t="s">
        <v>1653</v>
      </c>
      <c r="D662" s="6">
        <v>855000</v>
      </c>
      <c r="E662" s="5">
        <v>1</v>
      </c>
      <c r="F662" s="4" t="str">
        <f ca="1">IFERROR(__xludf.DUMMYFUNCTION("LOWER(REGEXREPLACE(B662&amp;"" ""&amp;C662,""[^а-яa-z0-9 ]"","" ""))"),"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атериал"&amp;"   дерево или облегч нный композит   азмещение   настенное  угловое ")</f>
        <v xml:space="preserve">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v>
      </c>
      <c r="G662" s="4" t="str">
        <f ca="1">IFERROR(__xludf.DUMMYFUNCTION("TEXTJOIN(""|"",TRUE,UNIQUE(FILTER(SPLIT(F662,"" ""),LEN(SPLIT(F662,"" ""))&gt;2)))"),"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amp;"омпозит|азмещение|настенное|угловое")</f>
        <v>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v>
      </c>
      <c r="I662" s="1"/>
      <c r="J662" s="1"/>
    </row>
    <row r="663" spans="1:10" x14ac:dyDescent="0.2">
      <c r="A663" s="8" t="s">
        <v>1652</v>
      </c>
      <c r="B663" s="7" t="s">
        <v>1651</v>
      </c>
      <c r="C663" s="7" t="s">
        <v>1650</v>
      </c>
      <c r="D663" s="6">
        <v>30200</v>
      </c>
      <c r="E663" s="5">
        <v>1</v>
      </c>
      <c r="F663" s="4" t="str">
        <f ca="1">IFERROR(__xludf.DUMMYFUNCTION("LOWER(REGEXREPLACE(B663&amp;"" ""&amp;C663,""[^а-яa-z0-9 ]"","" ""))"),"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д"&amp;"ошкольного возраста ")</f>
        <v xml:space="preserve">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v>
      </c>
      <c r="G663" s="4" t="str">
        <f ca="1">IFERROR(__xludf.DUMMYFUNCTION("TEXTJOIN(""|"",TRUE,UNIQUE(FILTER(SPLIT(F663,"" ""),LEN(SPLIT(F663,"" ""))&gt;2)))"),"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f>
        <v>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v>
      </c>
      <c r="I663" s="1"/>
      <c r="J663" s="1"/>
    </row>
    <row r="664" spans="1:10" x14ac:dyDescent="0.2">
      <c r="A664" s="8" t="s">
        <v>1649</v>
      </c>
      <c r="B664" s="7" t="s">
        <v>1648</v>
      </c>
      <c r="C664" s="7" t="s">
        <v>1647</v>
      </c>
      <c r="D664" s="6">
        <v>35500</v>
      </c>
      <c r="E664" s="5">
        <v>1</v>
      </c>
      <c r="F664" s="4" t="str">
        <f ca="1">IFERROR(__xludf.DUMMYFUNCTION("LOWER(REGEXREPLACE(B664&amp;"" ""&amp;C664,""[^а-яa-z0-9 ]"","" ""))"),"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"&amp;"числе в логопедической практике ")</f>
        <v xml:space="preserve">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v>
      </c>
      <c r="G664" s="4" t="str">
        <f ca="1">IFERROR(__xludf.DUMMYFUNCTION("TEXTJOIN(""|"",TRUE,UNIQUE(FILTER(SPLIT(F664,"" ""),LEN(SPLIT(F664,"" ""))&gt;2)))"),"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amp;"еской|практике")</f>
        <v>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v>
      </c>
      <c r="I664" s="1"/>
      <c r="J664" s="1"/>
    </row>
    <row r="665" spans="1:10" x14ac:dyDescent="0.2">
      <c r="A665" s="8" t="s">
        <v>1646</v>
      </c>
      <c r="B665" s="7" t="s">
        <v>1645</v>
      </c>
      <c r="C665" s="7" t="s">
        <v>1644</v>
      </c>
      <c r="D665" s="6">
        <v>3600</v>
      </c>
      <c r="E665" s="5">
        <v>1</v>
      </c>
      <c r="F665" s="4" t="str">
        <f ca="1">IFERROR(__xludf.DUMMYFUNCTION("LOWER(REGEXREPLACE(B665&amp;"" ""&amp;C665,""[^а-яa-z0-9 ]"","" ""))")," ельсон   elson  каз   рус   англ яз      ейси  перевод  ужикова      санова    ")</f>
        <v xml:space="preserve"> ельсон   elson  каз   рус   англ яз      ейси  перевод  ужикова      санова    </v>
      </c>
      <c r="G665" s="4" t="str">
        <f ca="1">IFERROR(__xludf.DUMMYFUNCTION("TEXTJOIN(""|"",TRUE,UNIQUE(FILTER(SPLIT(F665,"" ""),LEN(SPLIT(F665,"" ""))&gt;2)))"),"ельсон|elson|каз|рус|англ|ейси|перевод|ужикова|санова")</f>
        <v>ельсон|elson|каз|рус|англ|ейси|перевод|ужикова|санова</v>
      </c>
      <c r="I665" s="1"/>
      <c r="J665" s="1"/>
    </row>
    <row r="666" spans="1:10" x14ac:dyDescent="0.2">
      <c r="A666" s="8" t="s">
        <v>1643</v>
      </c>
      <c r="B666" s="7" t="s">
        <v>1642</v>
      </c>
      <c r="C666" s="7" t="s">
        <v>1641</v>
      </c>
      <c r="D666" s="6">
        <v>3000</v>
      </c>
      <c r="E666" s="5">
        <v>12</v>
      </c>
      <c r="F666" s="4" t="str">
        <f ca="1">IFERROR(__xludf.DUMMYFUNCTION("LOWER(REGEXREPLACE(B666&amp;"" ""&amp;C666,""[^а-яa-z0-9 ]"","" ""))"),"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f>
        <v xml:space="preserve">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v>
      </c>
      <c r="G666" s="4" t="str">
        <f ca="1">IFERROR(__xludf.DUMMYFUNCTION("TEXTJOIN(""|"",TRUE,UNIQUE(FILTER(SPLIT(F666,"" ""),LEN(SPLIT(F666,"" ""))&gt;2)))"),"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f>
        <v>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v>
      </c>
      <c r="I666" s="1"/>
      <c r="J666" s="1"/>
    </row>
    <row r="667" spans="1:10" x14ac:dyDescent="0.2">
      <c r="A667" s="8" t="s">
        <v>1640</v>
      </c>
      <c r="B667" s="7" t="s">
        <v>1639</v>
      </c>
      <c r="C667" s="7" t="s">
        <v>1638</v>
      </c>
      <c r="D667" s="6">
        <v>1900</v>
      </c>
      <c r="E667" s="5">
        <v>45</v>
      </c>
      <c r="F667" s="4" t="str">
        <f ca="1">IFERROR(__xludf.DUMMYFUNCTION("LOWER(REGEXREPLACE(B667&amp;"" ""&amp;C667,""[^а-яa-z0-9 ]"","" ""))"),"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f>
        <v xml:space="preserve">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v>
      </c>
      <c r="G667" s="4" t="str">
        <f ca="1">IFERROR(__xludf.DUMMYFUNCTION("TEXTJOIN(""|"",TRUE,UNIQUE(FILTER(SPLIT(F667,"" ""),LEN(SPLIT(F667,"" ""))&gt;2)))"),"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f>
        <v>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v>
      </c>
      <c r="I667" s="1"/>
      <c r="J667" s="1"/>
    </row>
    <row r="668" spans="1:10" x14ac:dyDescent="0.2">
      <c r="A668" s="8" t="s">
        <v>1637</v>
      </c>
      <c r="B668" s="7" t="s">
        <v>1636</v>
      </c>
      <c r="C668" s="7" t="s">
        <v>1635</v>
      </c>
      <c r="D668" s="6">
        <v>21700</v>
      </c>
      <c r="E668" s="5">
        <v>2</v>
      </c>
      <c r="F668" s="4" t="str">
        <f ca="1">IFERROR(__xludf.DUMMYFUNCTION("LOWER(REGEXREPLACE(B668&amp;"" ""&amp;C668,""[^а-яa-z0-9 ]"","" ""))")," ожницы с одним острым концом прямые  едицинские ножницы для проведения процедур  требующих точности ")</f>
        <v xml:space="preserve"> ожницы с одним острым концом прямые  едицинские ножницы для проведения процедур  требующих точности </v>
      </c>
      <c r="G668" s="4" t="str">
        <f ca="1">IFERROR(__xludf.DUMMYFUNCTION("TEXTJOIN(""|"",TRUE,UNIQUE(FILTER(SPLIT(F668,"" ""),LEN(SPLIT(F668,"" ""))&gt;2)))"),"ожницы|одним|острым|концом|прямые|едицинские|ножницы|для|проведения|процедур|требующих|точности")</f>
        <v>ожницы|одним|острым|концом|прямые|едицинские|ножницы|для|проведения|процедур|требующих|точности</v>
      </c>
      <c r="I668" s="1"/>
      <c r="J668" s="1"/>
    </row>
    <row r="669" spans="1:10" x14ac:dyDescent="0.2">
      <c r="A669" s="8" t="s">
        <v>1634</v>
      </c>
      <c r="B669" s="7" t="s">
        <v>1633</v>
      </c>
      <c r="C669" s="7" t="s">
        <v>1632</v>
      </c>
      <c r="D669" s="6">
        <v>9600</v>
      </c>
      <c r="E669" s="5">
        <v>2</v>
      </c>
      <c r="F669" s="4" t="str">
        <f ca="1">IFERROR(__xludf.DUMMYFUNCTION("LOWER(REGEXREPLACE(B669&amp;"" ""&amp;C669,""[^а-яa-z0-9 ]"","" ""))")," ожницы тупоконечные  спользуются для медицинских и хозяйственных нужд   езопасны за сч т закругл нных концов ")</f>
        <v xml:space="preserve"> ожницы тупоконечные  спользуются для медицинских и хозяйственных нужд   езопасны за сч т закругл нных концов </v>
      </c>
      <c r="G669" s="4" t="str">
        <f ca="1">IFERROR(__xludf.DUMMYFUNCTION("TEXTJOIN(""|"",TRUE,UNIQUE(FILTER(SPLIT(F669,"" ""),LEN(SPLIT(F669,"" ""))&gt;2)))"),"ожницы|тупоконечные|спользуются|для|медицинских|хозяйственных|нужд|езопасны|закругл|нных|концов")</f>
        <v>ожницы|тупоконечные|спользуются|для|медицинских|хозяйственных|нужд|езопасны|закругл|нных|концов</v>
      </c>
      <c r="I669" s="1"/>
      <c r="J669" s="1"/>
    </row>
    <row r="670" spans="1:10" x14ac:dyDescent="0.2">
      <c r="A670" s="8" t="s">
        <v>1631</v>
      </c>
      <c r="B670" s="7" t="s">
        <v>1630</v>
      </c>
      <c r="C670" s="7" t="s">
        <v>1629</v>
      </c>
      <c r="D670" s="6">
        <v>9100</v>
      </c>
      <c r="E670" s="5">
        <v>5</v>
      </c>
      <c r="F670" s="4" t="str">
        <f ca="1">IFERROR(__xludf.DUMMYFUNCTION("LOWER(REGEXREPLACE(B670&amp;"" ""&amp;C670,""[^а-яa-z0-9 ]"","" ""))"),"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з"&amp;"готовлены из пластика и предназначены для уличного использования ")</f>
        <v xml:space="preserve">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v>
      </c>
      <c r="G670" s="4" t="str">
        <f ca="1">IFERROR(__xludf.DUMMYFUNCTION("TEXTJOIN(""|"",TRUE,UNIQUE(FILTER(SPLIT(F670,"" ""),LEN(SPLIT(F670,"" ""))&gt;2)))"),"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amp;"редназначены|для|уличного|использования")</f>
        <v>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v>
      </c>
      <c r="I670" s="1"/>
      <c r="J670" s="1"/>
    </row>
    <row r="671" spans="1:10" x14ac:dyDescent="0.2">
      <c r="A671" s="8" t="s">
        <v>1628</v>
      </c>
      <c r="B671" s="7" t="s">
        <v>1627</v>
      </c>
      <c r="C671" s="7" t="s">
        <v>1626</v>
      </c>
      <c r="D671" s="6">
        <v>122300</v>
      </c>
      <c r="E671" s="5">
        <v>4</v>
      </c>
      <c r="F671" s="4" t="str">
        <f ca="1">IFERROR(__xludf.DUMMYFUNCTION("LOWER(REGEXREPLACE(B671&amp;"" ""&amp;C671,""[^а-яa-z0-9 ]"","" ""))")," блучатель бактерицидный obn 150 kront  акт   ффективность  99 9    99 0    95 0   роизводительность  100   150   230  м3 час  актерицидные лампы  2 х 30  т  араметры  1090х150х100 мм ")</f>
        <v xml:space="preserve"> блучатель бактерицидный obn 150 kront  акт   ффективность  99 9    99 0    95 0   роизводительность  100   150   230  м3 час  актерицидные лампы  2 х 30  т  араметры  1090х150х100 мм </v>
      </c>
      <c r="G671" s="4" t="str">
        <f ca="1">IFERROR(__xludf.DUMMYFUNCTION("TEXTJOIN(""|"",TRUE,UNIQUE(FILTER(SPLIT(F671,"" ""),LEN(SPLIT(F671,"" ""))&gt;2)))"),"блучатель|бактерицидный|obn|150|kront|акт|ффективность|роизводительность|100|150|230|час|актерицидные|лампы|араметры|1090х150х100")</f>
        <v>блучатель|бактерицидный|obn|150|kront|акт|ффективность|роизводительность|100|150|230|час|актерицидные|лампы|араметры|1090х150х100</v>
      </c>
      <c r="I671" s="1"/>
      <c r="J671" s="1"/>
    </row>
    <row r="672" spans="1:10" x14ac:dyDescent="0.2">
      <c r="A672" s="8" t="s">
        <v>1625</v>
      </c>
      <c r="B672" s="7" t="s">
        <v>1624</v>
      </c>
      <c r="C672" s="7" t="s">
        <v>1623</v>
      </c>
      <c r="D672" s="6">
        <v>1658600</v>
      </c>
      <c r="E672" s="5">
        <v>1</v>
      </c>
      <c r="F672" s="4" t="str">
        <f ca="1">IFERROR(__xludf.DUMMYFUNCTION("LOWER(REGEXREPLACE(B672&amp;"" ""&amp;C672,""[^а-яa-z0-9 ]"","" ""))"),"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простран"&amp;"стве   редназначено для размещения в помещениях ")</f>
        <v xml:space="preserve">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v>
      </c>
      <c r="G672" s="4" t="str">
        <f ca="1">IFERROR(__xludf.DUMMYFUNCTION("TEXTJOIN(""|"",TRUE,UNIQUE(FILTER(SPLIT(F672,"" ""),LEN(SPLIT(F672,"" ""))&gt;2)))"),"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amp;"но|для|размещения|помещениях")</f>
        <v>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v>
      </c>
      <c r="I672" s="1"/>
      <c r="J672" s="1"/>
    </row>
    <row r="673" spans="1:10" x14ac:dyDescent="0.2">
      <c r="A673" s="8" t="s">
        <v>1622</v>
      </c>
      <c r="B673" s="7" t="s">
        <v>1621</v>
      </c>
      <c r="C673" s="7" t="s">
        <v>1620</v>
      </c>
      <c r="D673" s="6">
        <v>5300</v>
      </c>
      <c r="E673" s="5">
        <v>1</v>
      </c>
      <c r="F673" s="4" t="str">
        <f ca="1">IFERROR(__xludf.DUMMYFUNCTION("LOWER(REGEXREPLACE(B673&amp;"" ""&amp;C673,""[^а-яa-z0-9 ]"","" ""))"),"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кла"&amp;"ссификации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для"&amp;" детей  обеспечивает удобство использования и долговечность при эксплуатации в условиях     ")</f>
        <v xml:space="preserve">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v>
      </c>
      <c r="G673" s="4" t="str">
        <f ca="1">IFERROR(__xludf.DUMMYFUNCTION("TEXTJOIN(""|"",TRUE,UNIQUE(FILTER(SPLIT(F673,"" ""),LEN(SPLIT(F673,"" ""))&gt;2)))"),"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amp;"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amp;"ия|долговечность|при|эксплуатации|условиях")</f>
        <v>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v>
      </c>
      <c r="I673" s="1"/>
      <c r="J673" s="1"/>
    </row>
    <row r="674" spans="1:10" x14ac:dyDescent="0.2">
      <c r="A674" s="8" t="s">
        <v>1619</v>
      </c>
      <c r="B674" s="7" t="s">
        <v>1618</v>
      </c>
      <c r="C674" s="7" t="s">
        <v>1617</v>
      </c>
      <c r="D674" s="6">
        <v>4800</v>
      </c>
      <c r="E674" s="5">
        <v>20</v>
      </c>
      <c r="F674" s="4" t="str">
        <f ca="1">IFERROR(__xludf.DUMMYFUNCTION("LOWER(REGEXREPLACE(B674&amp;"" ""&amp;C674,""[^а-яa-z0-9 ]"","" ""))"),"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эстафетах"&amp;"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f>
        <v xml:space="preserve">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v>
      </c>
      <c r="G674" s="4" t="str">
        <f ca="1">IFERROR(__xludf.DUMMYFUNCTION("TEXTJOIN(""|"",TRUE,UNIQUE(FILTER(SPLIT(F674,"" ""),LEN(SPLIT(F674,"" ""))&gt;2)))"),"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amp;"дходят|для|детей|разного|возраста|безопасны|использовании|устойчивы|износу|обеспечивают|комфортную|эксплуатацию|помещениях|открытых|площадках|детского|сада")</f>
        <v>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v>
      </c>
      <c r="I674" s="1"/>
      <c r="J674" s="1"/>
    </row>
    <row r="675" spans="1:10" x14ac:dyDescent="0.2">
      <c r="A675" s="8" t="s">
        <v>1616</v>
      </c>
      <c r="B675" s="7" t="s">
        <v>1615</v>
      </c>
      <c r="C675" s="7" t="s">
        <v>1614</v>
      </c>
      <c r="D675" s="6">
        <v>10600</v>
      </c>
      <c r="E675" s="5">
        <v>5</v>
      </c>
      <c r="F675" s="4" t="str">
        <f ca="1">IFERROR(__xludf.DUMMYFUNCTION("LOWER(REGEXREPLACE(B675&amp;"" ""&amp;C675,""[^а-яa-z0-9 ]"","" ""))"),"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"&amp;"  акая деятельность способствует развитию логического мышления и навыков сч та   атериалы набора включают бумажные карточки и элементы из дерева ")</f>
        <v xml:space="preserve">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v>
      </c>
      <c r="G675" s="4" t="str">
        <f ca="1">IFERROR(__xludf.DUMMYFUNCTION("TEXTJOIN(""|"",TRUE,UNIQUE(FILTER(SPLIT(F675,"" ""),LEN(SPLIT(F675,"" ""))&gt;2)))"),"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amp;"обствует|развитию|логического|мышления|навыков|атериалы|набора|включают|бумажные|карточки|элементы|дерева")</f>
        <v>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v>
      </c>
      <c r="I675" s="1"/>
      <c r="J675" s="1"/>
    </row>
    <row r="676" spans="1:10" x14ac:dyDescent="0.2">
      <c r="A676" s="8" t="s">
        <v>1613</v>
      </c>
      <c r="B676" s="7" t="s">
        <v>1612</v>
      </c>
      <c r="C676" s="7" t="s">
        <v>1611</v>
      </c>
      <c r="D676" s="6">
        <v>2600</v>
      </c>
      <c r="E676" s="5">
        <v>5</v>
      </c>
      <c r="F676" s="4" t="str">
        <f ca="1">IFERROR(__xludf.DUMMYFUNCTION("LOWER(REGEXREPLACE(B676&amp;"" ""&amp;C676,""[^а-яa-z0-9 ]"","" ""))"),"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обр"&amp;"азовательной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f>
        <v xml:space="preserve">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v>
      </c>
      <c r="G676" s="4" t="str">
        <f ca="1">IFERROR(__xludf.DUMMYFUNCTION("TEXTJOIN(""|"",TRUE,UNIQUE(FILTER(SPLIT(F676,"" ""),LEN(SPLIT(F676,"" ""))&gt;2)))"),"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amp;"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f>
        <v>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v>
      </c>
      <c r="I676" s="1"/>
      <c r="J676" s="1"/>
    </row>
    <row r="677" spans="1:10" x14ac:dyDescent="0.2">
      <c r="A677" s="8" t="s">
        <v>1610</v>
      </c>
      <c r="B677" s="7" t="s">
        <v>1609</v>
      </c>
      <c r="C677" s="7" t="s">
        <v>1608</v>
      </c>
      <c r="D677" s="6">
        <v>26600</v>
      </c>
      <c r="E677" s="5">
        <v>1</v>
      </c>
      <c r="F677" s="4" t="str">
        <f ca="1">IFERROR(__xludf.DUMMYFUNCTION("LOWER(REGEXREPLACE(B677&amp;"" ""&amp;C677,""[^а-яa-z0-9 ]"","" ""))"),"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"&amp;"охватывает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f>
        <v xml:space="preserve">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v>
      </c>
      <c r="G677" s="4" t="str">
        <f ca="1">IFERROR(__xludf.DUMMYFUNCTION("TEXTJOIN(""|"",TRUE,UNIQUE(FILTER(SPLIT(F677,"" ""),LEN(SPLIT(F677,"" ""))&gt;2)))"),"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amp;"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f>
        <v>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v>
      </c>
      <c r="I677" s="1"/>
      <c r="J677" s="1"/>
    </row>
    <row r="678" spans="1:10" x14ac:dyDescent="0.2">
      <c r="A678" s="8" t="s">
        <v>1607</v>
      </c>
      <c r="B678" s="7" t="s">
        <v>1606</v>
      </c>
      <c r="C678" s="7" t="s">
        <v>1605</v>
      </c>
      <c r="D678" s="6">
        <v>5700</v>
      </c>
      <c r="E678" s="5">
        <v>1</v>
      </c>
      <c r="F678" s="4" t="str">
        <f ca="1">IFERROR(__xludf.DUMMYFUNCTION("LOWER(REGEXREPLACE(B678&amp;"" ""&amp;C678,""[^а-яa-z0-9 ]"","" ""))"),"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словарного"&amp;"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безоп"&amp;"асны и соответствуют условиям эксплуатации в     ")</f>
        <v xml:space="preserve">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v>
      </c>
      <c r="G678" s="4" t="str">
        <f ca="1">IFERROR(__xludf.DUMMYFUNCTION("TEXTJOIN(""|"",TRUE,UNIQUE(FILTER(SPLIT(F678,"" ""),LEN(SPLIT(F678,"" ""))&gt;2)))"),"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amp;"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amp;"атации")</f>
        <v>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v>
      </c>
      <c r="I678" s="1"/>
      <c r="J678" s="1"/>
    </row>
    <row r="679" spans="1:10" x14ac:dyDescent="0.2">
      <c r="A679" s="8" t="s">
        <v>1604</v>
      </c>
      <c r="B679" s="7" t="s">
        <v>1603</v>
      </c>
      <c r="C679" s="7" t="s">
        <v>1602</v>
      </c>
      <c r="D679" s="6">
        <v>36000</v>
      </c>
      <c r="E679" s="5">
        <v>320</v>
      </c>
      <c r="F679" s="4" t="str">
        <f ca="1">IFERROR(__xludf.DUMMYFUNCTION("LOWER(REGEXREPLACE(B679&amp;"" ""&amp;C679,""[^а-яa-z0-9 ]"","" ""))"),"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гиги"&amp;"еническим требованиям  предъявляемым к изделиям для детских учреждений ")</f>
        <v xml:space="preserve">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v>
      </c>
      <c r="G679" s="4" t="str">
        <f ca="1">IFERROR(__xludf.DUMMYFUNCTION("TEXTJOIN(""|"",TRUE,UNIQUE(FILTER(SPLIT(F679,"" ""),LEN(SPLIT(F679,"" ""))&gt;2)))"),"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amp;"иям|предъявляемым|изделиям|для|детских|учреждений")</f>
        <v>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v>
      </c>
      <c r="I679" s="1"/>
      <c r="J679" s="1"/>
    </row>
    <row r="680" spans="1:10" x14ac:dyDescent="0.2">
      <c r="A680" s="8" t="s">
        <v>1601</v>
      </c>
      <c r="B680" s="7" t="s">
        <v>1600</v>
      </c>
      <c r="C680" s="7" t="s">
        <v>1599</v>
      </c>
      <c r="D680" s="6">
        <v>9900</v>
      </c>
      <c r="E680" s="5">
        <v>7</v>
      </c>
      <c r="F680" s="4" t="str">
        <f ca="1">IFERROR(__xludf.DUMMYFUNCTION("LOWER(REGEXREPLACE(B680&amp;"" ""&amp;C680,""[^а-яa-z0-9 ]"","" ""))"),"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f>
        <v xml:space="preserve">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v>
      </c>
      <c r="G680" s="4" t="str">
        <f ca="1">IFERROR(__xludf.DUMMYFUNCTION("TEXTJOIN(""|"",TRUE,UNIQUE(FILTER(SPLIT(F680,"" ""),LEN(SPLIT(F680,"" ""))&gt;2)))"),"есы|детские|набор|входит|весы|двумя|лотками|грузов|различного|веса|вет|ассортименте|без|возможности|выбора|азмер|игрушки|атериал|пластик")</f>
        <v>есы|детские|набор|входит|весы|двумя|лотками|грузов|различного|веса|вет|ассортименте|без|возможности|выбора|азмер|игрушки|атериал|пластик</v>
      </c>
      <c r="I680" s="1"/>
      <c r="J680" s="1"/>
    </row>
    <row r="681" spans="1:10" x14ac:dyDescent="0.2">
      <c r="A681" s="8" t="s">
        <v>1598</v>
      </c>
      <c r="B681" s="7" t="s">
        <v>1597</v>
      </c>
      <c r="C681" s="7" t="s">
        <v>1596</v>
      </c>
      <c r="D681" s="6">
        <v>12600</v>
      </c>
      <c r="E681" s="5">
        <v>1</v>
      </c>
      <c r="F681" s="4" t="str">
        <f ca="1">IFERROR(__xludf.DUMMYFUNCTION("LOWER(REGEXREPLACE(B681&amp;"" ""&amp;C681,""[^а-яa-z0-9 ]"","" ""))")," йсана  л ппес    уа ты шума тар    алжанова")</f>
        <v xml:space="preserve"> йсана  л ппес    уа ты шума тар    алжанова</v>
      </c>
      <c r="G681" s="4" t="str">
        <f ca="1">IFERROR(__xludf.DUMMYFUNCTION("TEXTJOIN(""|"",TRUE,UNIQUE(FILTER(SPLIT(F681,"" ""),LEN(SPLIT(F681,"" ""))&gt;2)))"),"йсана|ппес|шума|тар|алжанова")</f>
        <v>йсана|ппес|шума|тар|алжанова</v>
      </c>
      <c r="I681" s="1"/>
      <c r="J681" s="1"/>
    </row>
    <row r="682" spans="1:10" x14ac:dyDescent="0.2">
      <c r="A682" s="8" t="s">
        <v>1595</v>
      </c>
      <c r="B682" s="7" t="s">
        <v>1594</v>
      </c>
      <c r="C682" s="7" t="s">
        <v>1593</v>
      </c>
      <c r="D682" s="6">
        <v>2200</v>
      </c>
      <c r="E682" s="5">
        <v>1</v>
      </c>
      <c r="F682" s="4" t="str">
        <f ca="1">IFERROR(__xludf.DUMMYFUNCTION("LOWER(REGEXREPLACE(B682&amp;"" ""&amp;C682,""[^а-яa-z0-9 ]"","" ""))")," ни были первыми  умисбаев   ")</f>
        <v xml:space="preserve"> ни были первыми  умисбаев   </v>
      </c>
      <c r="G682" s="4" t="str">
        <f ca="1">IFERROR(__xludf.DUMMYFUNCTION("TEXTJOIN(""|"",TRUE,UNIQUE(FILTER(SPLIT(F682,"" ""),LEN(SPLIT(F682,"" ""))&gt;2)))"),"были|первыми|умисбаев")</f>
        <v>были|первыми|умисбаев</v>
      </c>
      <c r="I682" s="1"/>
      <c r="J682" s="1"/>
    </row>
    <row r="683" spans="1:10" x14ac:dyDescent="0.2">
      <c r="A683" s="8" t="s">
        <v>1592</v>
      </c>
      <c r="B683" s="7" t="s">
        <v>1591</v>
      </c>
      <c r="C683" s="7" t="s">
        <v>1590</v>
      </c>
      <c r="D683" s="6">
        <v>3000</v>
      </c>
      <c r="E683" s="5">
        <v>1</v>
      </c>
      <c r="F683" s="4" t="str">
        <f ca="1">IFERROR(__xludf.DUMMYFUNCTION("LOWER(REGEXREPLACE(B683&amp;"" ""&amp;C683,""[^а-яa-z0-9 ]"","" ""))")," пасные животные  азахстана  азенас      итяев      щенко   ")</f>
        <v xml:space="preserve"> пасные животные  азахстана  азенас      итяев      щенко   </v>
      </c>
      <c r="G683" s="4" t="str">
        <f ca="1">IFERROR(__xludf.DUMMYFUNCTION("TEXTJOIN(""|"",TRUE,UNIQUE(FILTER(SPLIT(F683,"" ""),LEN(SPLIT(F683,"" ""))&gt;2)))"),"пасные|животные|азахстана|азенас|итяев|щенко")</f>
        <v>пасные|животные|азахстана|азенас|итяев|щенко</v>
      </c>
      <c r="I683" s="1"/>
      <c r="J683" s="1"/>
    </row>
    <row r="684" spans="1:10" x14ac:dyDescent="0.2">
      <c r="A684" s="8" t="s">
        <v>1589</v>
      </c>
      <c r="B684" s="7" t="s">
        <v>1588</v>
      </c>
      <c r="C684" s="7" t="s">
        <v>1587</v>
      </c>
      <c r="D684" s="6">
        <v>55400</v>
      </c>
      <c r="E684" s="5">
        <v>7</v>
      </c>
      <c r="F684" s="4" t="str">
        <f ca="1">IFERROR(__xludf.DUMMYFUNCTION("LOWER(REGEXREPLACE(B684&amp;"" ""&amp;C684,""[^а-яa-z0-9 ]"","" ""))"),"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малень"&amp;"ких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f>
        <v xml:space="preserve">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v>
      </c>
      <c r="G684" s="4" t="str">
        <f ca="1">IFERROR(__xludf.DUMMYFUNCTION("TEXTJOIN(""|"",TRUE,UNIQUE(FILTER(SPLIT(F684,"" ""),LEN(SPLIT(F684,"" ""))&gt;2)))"),"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amp;"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f>
        <v>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v>
      </c>
      <c r="I684" s="1"/>
      <c r="J684" s="1"/>
    </row>
    <row r="685" spans="1:10" x14ac:dyDescent="0.2">
      <c r="A685" s="8" t="s">
        <v>1586</v>
      </c>
      <c r="B685" s="7" t="s">
        <v>1585</v>
      </c>
      <c r="C685" s="7" t="s">
        <v>1584</v>
      </c>
      <c r="D685" s="6">
        <v>139400</v>
      </c>
      <c r="E685" s="5">
        <v>1</v>
      </c>
      <c r="F685" s="4" t="str">
        <f ca="1">IFERROR(__xludf.DUMMYFUNCTION("LOWER(REGEXREPLACE(B685&amp;"" ""&amp;C685,""[^а-яa-z0-9 ]"","" ""))"),"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воз"&amp;"раста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f>
        <v xml:space="preserve">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v>
      </c>
      <c r="G685" s="4" t="str">
        <f ca="1">IFERROR(__xludf.DUMMYFUNCTION("TEXTJOIN(""|"",TRUE,UNIQUE(FILTER(SPLIT(F685,"" ""),LEN(SPLIT(F685,"" ""))&gt;2)))"),"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amp;"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f>
        <v>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v>
      </c>
      <c r="I685" s="1"/>
      <c r="J685" s="1"/>
    </row>
    <row r="686" spans="1:10" x14ac:dyDescent="0.2">
      <c r="A686" s="8" t="s">
        <v>1583</v>
      </c>
      <c r="B686" s="7" t="s">
        <v>1582</v>
      </c>
      <c r="C686" s="7" t="s">
        <v>1581</v>
      </c>
      <c r="D686" s="6">
        <v>40800</v>
      </c>
      <c r="E686" s="5">
        <v>1</v>
      </c>
      <c r="F686" s="4" t="str">
        <f ca="1">IFERROR(__xludf.DUMMYFUNCTION("LOWER(REGEXREPLACE(B686&amp;"" ""&amp;C686,""[^а-яa-z0-9 ]"","" ""))")," нер    с нд рмес мен  амирова     ")</f>
        <v xml:space="preserve"> нер    с нд рмес мен  амирова     </v>
      </c>
      <c r="G686" s="4" t="str">
        <f ca="1">IFERROR(__xludf.DUMMYFUNCTION("TEXTJOIN(""|"",TRUE,UNIQUE(FILTER(SPLIT(F686,"" ""),LEN(SPLIT(F686,"" ""))&gt;2)))"),"нер|рмес|мен|амирова")</f>
        <v>нер|рмес|мен|амирова</v>
      </c>
      <c r="I686" s="1"/>
      <c r="J686" s="1"/>
    </row>
    <row r="687" spans="1:10" x14ac:dyDescent="0.2">
      <c r="A687" s="8" t="s">
        <v>1580</v>
      </c>
      <c r="B687" s="7" t="s">
        <v>1579</v>
      </c>
      <c r="C687" s="7" t="s">
        <v>1578</v>
      </c>
      <c r="D687" s="6">
        <v>5700</v>
      </c>
      <c r="E687" s="5">
        <v>14</v>
      </c>
      <c r="F687" s="4" t="str">
        <f ca="1">IFERROR(__xludf.DUMMYFUNCTION("LOWER(REGEXREPLACE(B687&amp;"" ""&amp;C687,""[^а-яa-z0-9 ]"","" ""))"),"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воспри"&amp;"ятия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нн"&amp;"ые края и устойчив к регулярному использованию в условиях     ")</f>
        <v xml:space="preserve">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v>
      </c>
      <c r="G687" s="4" t="str">
        <f ca="1">IFERROR(__xludf.DUMMYFUNCTION("TEXTJOIN(""|"",TRUE,UNIQUE(FILTER(SPLIT(F687,"" ""),LEN(SPLIT(F687,"" ""))&gt;2)))"),"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amp;"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amp;"ользованию|условиях")</f>
        <v>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v>
      </c>
      <c r="I687" s="1"/>
      <c r="J687" s="1"/>
    </row>
    <row r="688" spans="1:10" x14ac:dyDescent="0.2">
      <c r="A688" s="8" t="s">
        <v>1577</v>
      </c>
      <c r="B688" s="7" t="s">
        <v>1576</v>
      </c>
      <c r="C688" s="7" t="s">
        <v>1575</v>
      </c>
      <c r="D688" s="6">
        <v>6700</v>
      </c>
      <c r="E688" s="5">
        <v>14</v>
      </c>
      <c r="F688" s="4" t="str">
        <f ca="1">IFERROR(__xludf.DUMMYFUNCTION("LOWER(REGEXREPLACE(B688&amp;"" ""&amp;C688,""[^а-яa-z0-9 ]"","" ""))"),"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учитыва"&amp;"ть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усло"&amp;"виях     ")</f>
        <v xml:space="preserve">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v>
      </c>
      <c r="G688" s="4" t="str">
        <f ca="1">IFERROR(__xludf.DUMMYFUNCTION("TEXTJOIN(""|"",TRUE,UNIQUE(FILTER(SPLIT(F688,"" ""),LEN(SPLIT(F688,"" ""))&gt;2)))"),"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amp;"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f>
        <v>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v>
      </c>
      <c r="I688" s="1"/>
      <c r="J688" s="1"/>
    </row>
    <row r="689" spans="1:10" x14ac:dyDescent="0.2">
      <c r="A689" s="8" t="s">
        <v>1574</v>
      </c>
      <c r="B689" s="7" t="s">
        <v>1573</v>
      </c>
      <c r="C689" s="7" t="s">
        <v>1572</v>
      </c>
      <c r="D689" s="6">
        <v>1400</v>
      </c>
      <c r="E689" s="5">
        <v>21</v>
      </c>
      <c r="F689" s="4" t="str">
        <f ca="1">IFERROR(__xludf.DUMMYFUNCTION("LOWER(REGEXREPLACE(B689&amp;"" ""&amp;C689,""[^а-яa-z0-9 ]"","" ""))"),"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"&amp;"деятельность развивает внимание и навыки соотнесения    набор входит не менее 10 карточек размером около 15 5 11 см и не менее 20 фигурок на липучках ")</f>
        <v xml:space="preserve">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v>
      </c>
      <c r="G689" s="4" t="str">
        <f ca="1">IFERROR(__xludf.DUMMYFUNCTION("TEXTJOIN(""|"",TRUE,UNIQUE(FILTER(SPLIT(F689,"" ""),LEN(SPLIT(F689,"" ""))&gt;2)))"),"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amp;"ыки|соотнесения|набор|входит|менее|карточек|размером|около|менее|фигурок|липучках")</f>
        <v>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v>
      </c>
      <c r="I689" s="1"/>
      <c r="J689" s="1"/>
    </row>
    <row r="690" spans="1:10" x14ac:dyDescent="0.2">
      <c r="A690" s="8" t="s">
        <v>1571</v>
      </c>
      <c r="B690" s="7" t="s">
        <v>1570</v>
      </c>
      <c r="C690" s="7" t="s">
        <v>1569</v>
      </c>
      <c r="D690" s="6">
        <v>36000</v>
      </c>
      <c r="E690" s="5">
        <v>2</v>
      </c>
      <c r="F690" s="4" t="str">
        <f ca="1">IFERROR(__xludf.DUMMYFUNCTION("LOWER(REGEXREPLACE(B690&amp;"" ""&amp;C690,""[^а-яa-z0-9 ]"","" ""))")," есы напольные  есы предназначены для измерения массы тела детей и взрослых  используются в медицинском кабинете ")</f>
        <v xml:space="preserve"> есы напольные  есы предназначены для измерения массы тела детей и взрослых  используются в медицинском кабинете </v>
      </c>
      <c r="G690" s="4" t="str">
        <f ca="1">IFERROR(__xludf.DUMMYFUNCTION("TEXTJOIN(""|"",TRUE,UNIQUE(FILTER(SPLIT(F690,"" ""),LEN(SPLIT(F690,"" ""))&gt;2)))"),"есы|напольные|есы|предназначены|для|измерения|массы|тела|детей|взрослых|используются|медицинском|кабинете")</f>
        <v>есы|напольные|есы|предназначены|для|измерения|массы|тела|детей|взрослых|используются|медицинском|кабинете</v>
      </c>
      <c r="I690" s="1"/>
      <c r="J690" s="1"/>
    </row>
    <row r="691" spans="1:10" x14ac:dyDescent="0.2">
      <c r="A691" s="8" t="s">
        <v>1568</v>
      </c>
      <c r="B691" s="7" t="s">
        <v>1567</v>
      </c>
      <c r="C691" s="7" t="s">
        <v>1566</v>
      </c>
      <c r="D691" s="6">
        <v>2600</v>
      </c>
      <c r="E691" s="5">
        <v>14</v>
      </c>
      <c r="F691" s="4" t="str">
        <f ca="1">IFERROR(__xludf.DUMMYFUNCTION("LOWER(REGEXREPLACE(B691&amp;"" ""&amp;C691,""[^а-яa-z0-9 ]"","" ""))"),"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"&amp;" акая деятельность развивает внимание и зрительный анализ   оличество элементов   не менее 10 шт   азмер в собранном виде   не менее 19 14 см   атериал   фанера     ")</f>
        <v xml:space="preserve">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v>
      </c>
      <c r="G691" s="4" t="str">
        <f ca="1">IFERROR(__xludf.DUMMYFUNCTION("TEXTJOIN(""|"",TRUE,UNIQUE(FILTER(SPLIT(F691,"" ""),LEN(SPLIT(F691,"" ""))&gt;2)))"),"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amp;"ивает|внимание|зрительный|анализ|оличество|элементов|менее|азмер|собранном|виде|менее|атериал|фанера")</f>
        <v>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v>
      </c>
      <c r="I691" s="1"/>
      <c r="J691" s="1"/>
    </row>
    <row r="692" spans="1:10" x14ac:dyDescent="0.2">
      <c r="A692" s="8" t="s">
        <v>1565</v>
      </c>
      <c r="B692" s="7" t="s">
        <v>1564</v>
      </c>
      <c r="C692" s="7" t="s">
        <v>1563</v>
      </c>
      <c r="D692" s="6">
        <v>14100</v>
      </c>
      <c r="E692" s="5">
        <v>7</v>
      </c>
      <c r="F692" s="4" t="str">
        <f ca="1">IFERROR(__xludf.DUMMYFUNCTION("LOWER(REGEXREPLACE(B692&amp;"" ""&amp;C692,""[^а-яa-z0-9 ]"","" ""))"),"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f>
        <v xml:space="preserve">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v>
      </c>
      <c r="G692" s="4" t="str">
        <f ca="1">IFERROR(__xludf.DUMMYFUNCTION("TEXTJOIN(""|"",TRUE,UNIQUE(FILTER(SPLIT(F692,"" ""),LEN(SPLIT(F692,"" ""))&gt;2)))"),"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f>
        <v>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v>
      </c>
      <c r="I692" s="1"/>
      <c r="J692" s="1"/>
    </row>
    <row r="693" spans="1:10" x14ac:dyDescent="0.2">
      <c r="A693" s="8" t="s">
        <v>1562</v>
      </c>
      <c r="B693" s="7" t="s">
        <v>1561</v>
      </c>
      <c r="C693" s="7" t="s">
        <v>1560</v>
      </c>
      <c r="D693" s="6">
        <v>3100</v>
      </c>
      <c r="E693" s="5">
        <v>5</v>
      </c>
      <c r="F693" s="4" t="str">
        <f ca="1">IFERROR(__xludf.DUMMYFUNCTION("LOWER(REGEXREPLACE(B693&amp;"" ""&amp;C693,""[^а-яa-z0-9 ]"","" ""))"),"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цел"&amp;"остной картинки   акая деятельность развивает зрительное восприятие  внимание и навыки анализа   азлы предназначены для многократного использования ")</f>
        <v xml:space="preserve">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v>
      </c>
      <c r="G693" s="4" t="str">
        <f ca="1">IFERROR(__xludf.DUMMYFUNCTION("TEXTJOIN(""|"",TRUE,UNIQUE(FILTER(SPLIT(F693,"" ""),LEN(SPLIT(F693,"" ""))&gt;2)))"),"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amp;"ь|развивает|зрительное|восприятие|внимание|навыки|анализа|азлы|предназначены|для|многократного|использования")</f>
        <v>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v>
      </c>
      <c r="I693" s="1"/>
      <c r="J693" s="1"/>
    </row>
    <row r="694" spans="1:10" x14ac:dyDescent="0.2">
      <c r="A694" s="8" t="s">
        <v>1559</v>
      </c>
      <c r="B694" s="7" t="s">
        <v>1558</v>
      </c>
      <c r="C694" s="7" t="s">
        <v>1557</v>
      </c>
      <c r="D694" s="6">
        <v>2400</v>
      </c>
      <c r="E694" s="5">
        <v>5</v>
      </c>
      <c r="F694" s="4" t="str">
        <f ca="1">IFERROR(__xludf.DUMMYFUNCTION("LOWER(REGEXREPLACE(B694&amp;"" ""&amp;C694,""[^а-яa-z0-9 ]"","" ""))"),"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менее"&amp;" 26 и до 60 шт   атериал   картон  рассчитанный на многократную сборку   ематика может включать сказочных персонажей  транспорт  животных и сюжетные сцены ")</f>
        <v xml:space="preserve">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v>
      </c>
      <c r="G694" s="4" t="str">
        <f ca="1">IFERROR(__xludf.DUMMYFUNCTION("TEXTJOIN(""|"",TRUE,UNIQUE(FILTER(SPLIT(F694,"" ""),LEN(SPLIT(F694,"" ""))&gt;2)))"),"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amp;"атную|сборку|ематика|может|включать|сказочных|персонажей|транспорт|животных|сюжетные|сцены")</f>
        <v>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v>
      </c>
      <c r="I694" s="1"/>
      <c r="J694" s="1"/>
    </row>
    <row r="695" spans="1:10" x14ac:dyDescent="0.2">
      <c r="A695" s="8" t="s">
        <v>1556</v>
      </c>
      <c r="B695" s="7" t="s">
        <v>1555</v>
      </c>
      <c r="C695" s="7" t="s">
        <v>1554</v>
      </c>
      <c r="D695" s="6">
        <v>7600</v>
      </c>
      <c r="E695" s="5">
        <v>1</v>
      </c>
      <c r="F695" s="4" t="str">
        <f ca="1">IFERROR(__xludf.DUMMYFUNCTION("LOWER(REGEXREPLACE(B695&amp;"" ""&amp;C695,""[^а-яa-z0-9 ]"","" ""))"),"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образовател"&amp;"ьной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f>
        <v xml:space="preserve">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v>
      </c>
      <c r="G695" s="4" t="str">
        <f ca="1">IFERROR(__xludf.DUMMYFUNCTION("TEXTJOIN(""|"",TRUE,UNIQUE(FILTER(SPLIT(F695,"" ""),LEN(SPLIT(F695,"" ""))&gt;2)))"),"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amp;"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f>
        <v>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v>
      </c>
      <c r="I695" s="1"/>
      <c r="J695" s="1"/>
    </row>
    <row r="696" spans="1:10" x14ac:dyDescent="0.2">
      <c r="A696" s="8" t="s">
        <v>1553</v>
      </c>
      <c r="B696" s="7" t="s">
        <v>1552</v>
      </c>
      <c r="C696" s="7" t="s">
        <v>1551</v>
      </c>
      <c r="D696" s="6">
        <v>2100</v>
      </c>
      <c r="E696" s="5">
        <v>25</v>
      </c>
      <c r="F696" s="4" t="str">
        <f ca="1">IFERROR(__xludf.DUMMYFUNCTION("LOWER(REGEXREPLACE(B696&amp;"" ""&amp;C696,""[^а-яa-z0-9 ]"","" ""))"),"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моторик"&amp;"и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f>
        <v xml:space="preserve">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v>
      </c>
      <c r="G696" s="4" t="str">
        <f ca="1">IFERROR(__xludf.DUMMYFUNCTION("TEXTJOIN(""|"",TRUE,UNIQUE(FILTER(SPLIT(F696,"" ""),LEN(SPLIT(F696,"" ""))&gt;2)))"),"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amp;"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f>
        <v>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v>
      </c>
      <c r="I696" s="1"/>
      <c r="J696" s="1"/>
    </row>
    <row r="697" spans="1:10" x14ac:dyDescent="0.2">
      <c r="A697" s="8" t="s">
        <v>1550</v>
      </c>
      <c r="B697" s="7" t="s">
        <v>1549</v>
      </c>
      <c r="C697" s="7" t="s">
        <v>1548</v>
      </c>
      <c r="D697" s="6">
        <v>4000</v>
      </c>
      <c r="E697" s="5">
        <v>20</v>
      </c>
      <c r="F697" s="4" t="str">
        <f ca="1">IFERROR(__xludf.DUMMYFUNCTION("LOWER(REGEXREPLACE(B697&amp;"" ""&amp;C697,""[^а-яa-z0-9 ]"","" ""))"),"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самовыражения"&amp;"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f>
        <v xml:space="preserve">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v>
      </c>
      <c r="G697" s="4" t="str">
        <f ca="1">IFERROR(__xludf.DUMMYFUNCTION("TEXTJOIN(""|"",TRUE,UNIQUE(FILTER(SPLIT(F697,"" ""),LEN(SPLIT(F697,"" ""))&gt;2)))"),"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amp;"индивидуальных|групповых|занятиях|раски|безопасны|для|детей|легко|смываются|имеют|яркие|цвета|подходят|для|использования|условиях|детских|учреждений")</f>
        <v>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v>
      </c>
      <c r="I697" s="1"/>
      <c r="J697" s="1"/>
    </row>
    <row r="698" spans="1:10" x14ac:dyDescent="0.2">
      <c r="A698" s="8" t="s">
        <v>1547</v>
      </c>
      <c r="B698" s="7" t="s">
        <v>1546</v>
      </c>
      <c r="C698" s="7" t="s">
        <v>1545</v>
      </c>
      <c r="D698" s="6">
        <v>6500</v>
      </c>
      <c r="E698" s="5">
        <v>1</v>
      </c>
      <c r="F698" s="4" t="str">
        <f ca="1">IFERROR(__xludf.DUMMYFUNCTION("LOWER(REGEXREPLACE(B698&amp;"" ""&amp;C698,""[^а-яa-z0-9 ]"","" ""))"),"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"&amp;"занятиях   зготовлены из мягких  нетоксичных и гипоаллергенных материалов  легко очищаются и устойчивы к частому использованию в условиях     ")</f>
        <v xml:space="preserve">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v>
      </c>
      <c r="G698" s="4" t="str">
        <f ca="1">IFERROR(__xludf.DUMMYFUNCTION("TEXTJOIN(""|"",TRUE,UNIQUE(FILTER(SPLIT(F698,"" ""),LEN(SPLIT(F698,"" ""))&gt;2)))"),"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amp;"ны|мягких|нетоксичных|гипоаллергенных|материалов|легко|очищаются|устойчивы|частому|использованию|условиях")</f>
        <v>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v>
      </c>
      <c r="I698" s="1"/>
      <c r="J698" s="1"/>
    </row>
    <row r="699" spans="1:10" x14ac:dyDescent="0.2">
      <c r="A699" s="8" t="s">
        <v>1544</v>
      </c>
      <c r="B699" s="7" t="s">
        <v>1543</v>
      </c>
      <c r="C699" s="7" t="s">
        <v>1542</v>
      </c>
      <c r="D699" s="6">
        <v>8200</v>
      </c>
      <c r="E699" s="5">
        <v>5</v>
      </c>
      <c r="F699" s="4" t="str">
        <f ca="1">IFERROR(__xludf.DUMMYFUNCTION("LOWER(REGEXREPLACE(B699&amp;"" ""&amp;C699,""[^а-яa-z0-9 ]"","" ""))"),"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реч"&amp;"и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f>
        <v xml:space="preserve">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v>
      </c>
      <c r="G699" s="4" t="str">
        <f ca="1">IFERROR(__xludf.DUMMYFUNCTION("TEXTJOIN(""|"",TRUE,UNIQUE(FILTER(SPLIT(F699,"" ""),LEN(SPLIT(F699,"" ""))&gt;2)))"),"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amp;"ативных|навыков|уклы|подходят|для|пальчиковых|настольных|постановок|изготовлены|мягких|безопасных|материалов|устойчивы|регулярной|эксплуатации")</f>
        <v>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v>
      </c>
      <c r="I699" s="1"/>
      <c r="J699" s="1"/>
    </row>
    <row r="700" spans="1:10" x14ac:dyDescent="0.2">
      <c r="A700" s="8" t="s">
        <v>1541</v>
      </c>
      <c r="B700" s="7" t="s">
        <v>1540</v>
      </c>
      <c r="C700" s="7" t="s">
        <v>1539</v>
      </c>
      <c r="D700" s="6">
        <v>19800</v>
      </c>
      <c r="E700" s="5">
        <v>14</v>
      </c>
      <c r="F700" s="4" t="str">
        <f ca="1">IFERROR(__xludf.DUMMYFUNCTION("LOWER(REGEXREPLACE(B700&amp;"" ""&amp;C700,""[^а-яa-z0-9 ]"","" ""))"),"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детя"&amp;"м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f>
        <v xml:space="preserve">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v>
      </c>
      <c r="G700" s="4" t="str">
        <f ca="1">IFERROR(__xludf.DUMMYFUNCTION("TEXTJOIN(""|"",TRUE,UNIQUE(FILTER(SPLIT(F700,"" ""),LEN(SPLIT(F700,"" ""))&gt;2)))"),"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amp;"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f>
        <v>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v>
      </c>
      <c r="I700" s="1"/>
      <c r="J700" s="1"/>
    </row>
    <row r="701" spans="1:10" x14ac:dyDescent="0.2">
      <c r="A701" s="8" t="s">
        <v>1538</v>
      </c>
      <c r="B701" s="7" t="s">
        <v>1537</v>
      </c>
      <c r="C701" s="7" t="s">
        <v>1536</v>
      </c>
      <c r="D701" s="6">
        <v>8700</v>
      </c>
      <c r="E701" s="5">
        <v>5</v>
      </c>
      <c r="F701" s="4" t="str">
        <f ca="1">IFERROR(__xludf.DUMMYFUNCTION("LOWER(REGEXREPLACE(B701&amp;"" ""&amp;C701,""[^а-яa-z0-9 ]"","" ""))"),"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представ"&amp;"лений о весе и соотношении величин   лементы набора рассчитаны на многократное использование ")</f>
        <v xml:space="preserve">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v>
      </c>
      <c r="G701" s="4" t="str">
        <f ca="1">IFERROR(__xludf.DUMMYFUNCTION("TEXTJOIN(""|"",TRUE,UNIQUE(FILTER(SPLIT(F701,"" ""),LEN(SPLIT(F701,"" ""))&gt;2)))"),"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amp;"ошении|величин|лементы|набора|рассчитаны|многократное|использование")</f>
        <v>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v>
      </c>
      <c r="I701" s="1"/>
      <c r="J701" s="1"/>
    </row>
    <row r="702" spans="1:10" x14ac:dyDescent="0.2">
      <c r="A702" s="8" t="s">
        <v>1535</v>
      </c>
      <c r="B702" s="7" t="s">
        <v>1534</v>
      </c>
      <c r="C702" s="7" t="s">
        <v>1533</v>
      </c>
      <c r="D702" s="6">
        <v>1700</v>
      </c>
      <c r="E702" s="5">
        <v>50</v>
      </c>
      <c r="F702" s="4" t="str">
        <f ca="1">IFERROR(__xludf.DUMMYFUNCTION("LOWER(REGEXREPLACE(B702&amp;"" ""&amp;C702,""[^а-яa-z0-9 ]"","" ""))"),"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дошкольн"&amp;"ого учреждения   беспечивает удобный доступ к документам  их сохранность и аккуратное размещение   одходит для эксплуатации в условиях     ")</f>
        <v xml:space="preserve">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v>
      </c>
      <c r="G702" s="4" t="str">
        <f ca="1">IFERROR(__xludf.DUMMYFUNCTION("TEXTJOIN(""|"",TRUE,UNIQUE(FILTER(SPLIT(F702,"" ""),LEN(SPLIT(F702,"" ""))&gt;2)))"),"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amp;"ечивает|удобный|доступ|документам|сохранность|аккуратное|размещение|одходит|для|эксплуатации|условиях")</f>
        <v>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v>
      </c>
      <c r="I702" s="1"/>
      <c r="J702" s="1"/>
    </row>
    <row r="703" spans="1:10" x14ac:dyDescent="0.2">
      <c r="A703" s="8" t="s">
        <v>1532</v>
      </c>
      <c r="B703" s="7" t="s">
        <v>1531</v>
      </c>
      <c r="C703" s="7" t="s">
        <v>1530</v>
      </c>
      <c r="D703" s="6">
        <v>27400</v>
      </c>
      <c r="E703" s="5">
        <v>5</v>
      </c>
      <c r="F703" s="4" t="str">
        <f ca="1">IFERROR(__xludf.DUMMYFUNCTION("LOWER(REGEXREPLACE(B703&amp;"" ""&amp;C703,""[^а-яa-z0-9 ]"","" ""))"),"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специа"&amp;"листов и зонах отдыха   пособствуют формированию у детей эстетического восприятия и интереса к миру растений ")</f>
        <v xml:space="preserve">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v>
      </c>
      <c r="G703" s="4" t="str">
        <f ca="1">IFERROR(__xludf.DUMMYFUNCTION("TEXTJOIN(""|"",TRUE,UNIQUE(FILTER(SPLIT(F703,"" ""),LEN(SPLIT(F703,"" ""))&gt;2)))"),"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amp;"ах|отдыха|пособствуют|формированию|детей|эстетического|восприятия|интереса|миру|растений")</f>
        <v>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v>
      </c>
      <c r="I703" s="1"/>
      <c r="J703" s="1"/>
    </row>
    <row r="704" spans="1:10" x14ac:dyDescent="0.2">
      <c r="A704" s="8" t="s">
        <v>1529</v>
      </c>
      <c r="B704" s="7" t="s">
        <v>1528</v>
      </c>
      <c r="C704" s="7" t="s">
        <v>1527</v>
      </c>
      <c r="D704" s="6">
        <v>53100</v>
      </c>
      <c r="E704" s="5">
        <v>2</v>
      </c>
      <c r="F704" s="4" t="str">
        <f ca="1">IFERROR(__xludf.DUMMYFUNCTION("LOWER(REGEXREPLACE(B704&amp;"" ""&amp;C704,""[^а-яa-z0-9 ]"","" ""))"),"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физкул"&amp;"ьтурных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f>
        <v xml:space="preserve">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v>
      </c>
      <c r="G704" s="4" t="str">
        <f ca="1">IFERROR(__xludf.DUMMYFUNCTION("TEXTJOIN(""|"",TRUE,UNIQUE(FILTER(SPLIT(F704,"" ""),LEN(SPLIT(F704,"" ""))&gt;2)))"),"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amp;"гровых|паузах|коррекционно|развивающей|работе|зготовлен|прочного|текстильного|материала|безопасен|удобен|для|использования|помещении|улице")</f>
        <v>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v>
      </c>
      <c r="I704" s="1"/>
      <c r="J704" s="1"/>
    </row>
    <row r="705" spans="1:10" x14ac:dyDescent="0.2">
      <c r="A705" s="8" t="s">
        <v>1526</v>
      </c>
      <c r="B705" s="7" t="s">
        <v>1525</v>
      </c>
      <c r="C705" s="7" t="s">
        <v>1524</v>
      </c>
      <c r="D705" s="6">
        <v>29900</v>
      </c>
      <c r="E705" s="5">
        <v>5</v>
      </c>
      <c r="F705" s="4" t="str">
        <f ca="1">IFERROR(__xludf.DUMMYFUNCTION("LOWER(REGEXREPLACE(B705&amp;"" ""&amp;C705,""[^а-яa-z0-9 ]"","" ""))"),"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воображен"&amp;"ия  речи и навыков моделирования игровых ситуаций   онструкция безопасна и устойчива к регулярному использованию в условиях     ")</f>
        <v xml:space="preserve">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v>
      </c>
      <c r="G705" s="4" t="str">
        <f ca="1">IFERROR(__xludf.DUMMYFUNCTION("TEXTJOIN(""|"",TRUE,UNIQUE(FILTER(SPLIT(F705,"" ""),LEN(SPLIT(F705,"" ""))&gt;2)))"),"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amp;"|моделирования|игровых|ситуаций|онструкция|безопасна|устойчива|регулярному|использованию|условиях")</f>
        <v>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v>
      </c>
      <c r="I705" s="1"/>
      <c r="J705" s="1"/>
    </row>
    <row r="706" spans="1:10" x14ac:dyDescent="0.2">
      <c r="A706" s="8" t="s">
        <v>1523</v>
      </c>
      <c r="B706" s="7" t="s">
        <v>1522</v>
      </c>
      <c r="C706" s="7" t="s">
        <v>1521</v>
      </c>
      <c r="D706" s="6">
        <v>114000</v>
      </c>
      <c r="E706" s="5">
        <v>2</v>
      </c>
      <c r="F706" s="4" t="str">
        <f ca="1">IFERROR(__xludf.DUMMYFUNCTION("LOWER(REGEXREPLACE(B706&amp;"" ""&amp;C706,""[^а-яa-z0-9 ]"","" ""))"),"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устойчивости"&amp;"   атериал   дерево или        азмер   410   410   950 мм   азначение   оформление мобильных книжных зон и тематических выставок ")</f>
        <v xml:space="preserve">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v>
      </c>
      <c r="G706" s="4" t="str">
        <f ca="1">IFERROR(__xludf.DUMMYFUNCTION("TEXTJOIN(""|"",TRUE,UNIQUE(FILTER(SPLIT(F706,"" ""),LEN(SPLIT(F706,"" ""))&gt;2)))"),"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amp;"|азмер|410|410|950|азначение|оформление|мобильных|книжных|зон|тематических|выставок")</f>
        <v>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v>
      </c>
      <c r="I706" s="1"/>
      <c r="J706" s="1"/>
    </row>
    <row r="707" spans="1:10" x14ac:dyDescent="0.2">
      <c r="A707" s="8" t="s">
        <v>1520</v>
      </c>
      <c r="B707" s="7" t="s">
        <v>1519</v>
      </c>
      <c r="C707" s="7" t="s">
        <v>1518</v>
      </c>
      <c r="D707" s="6">
        <v>111900</v>
      </c>
      <c r="E707" s="5">
        <v>7</v>
      </c>
      <c r="F707" s="4" t="str">
        <f ca="1">IFERROR(__xludf.DUMMYFUNCTION("LOWER(REGEXREPLACE(B707&amp;"" ""&amp;C707,""[^а-яa-z0-9 ]"","" ""))"),"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ра"&amp;"звитию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f>
        <v xml:space="preserve">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v>
      </c>
      <c r="G707" s="4" t="str">
        <f ca="1">IFERROR(__xludf.DUMMYFUNCTION("TEXTJOIN(""|"",TRUE,UNIQUE(FILTER(SPLIT(F707,"" ""),LEN(SPLIT(F707,"" ""))&gt;2)))"),"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amp;"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f>
        <v>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v>
      </c>
      <c r="I707" s="1"/>
      <c r="J707" s="1"/>
    </row>
    <row r="708" spans="1:10" x14ac:dyDescent="0.2">
      <c r="A708" s="8" t="s">
        <v>1517</v>
      </c>
      <c r="B708" s="7" t="s">
        <v>1516</v>
      </c>
      <c r="C708" s="7" t="s">
        <v>1515</v>
      </c>
      <c r="D708" s="6">
        <v>1000</v>
      </c>
      <c r="E708" s="5">
        <v>3</v>
      </c>
      <c r="F708" s="4" t="str">
        <f ca="1">IFERROR(__xludf.DUMMYFUNCTION("LOWER(REGEXREPLACE(B708&amp;"" ""&amp;C708,""[^а-яa-z0-9 ]"","" ""))"),"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"&amp;"заданий   онструкция устойчивая  с безопасными краями  подходит для эксплуатации в детских учреждениях ")</f>
        <v xml:space="preserve">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v>
      </c>
      <c r="G708" s="4" t="str">
        <f ca="1">IFERROR(__xludf.DUMMYFUNCTION("TEXTJOIN(""|"",TRUE,UNIQUE(FILTER(SPLIT(F708,"" ""),LEN(SPLIT(F708,"" ""))&gt;2)))"),"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amp;"|устойчивая|безопасными|краями|подходит|для|эксплуатации|детских|учреждениях")</f>
        <v>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v>
      </c>
      <c r="I708" s="1"/>
      <c r="J708" s="1"/>
    </row>
    <row r="709" spans="1:10" x14ac:dyDescent="0.2">
      <c r="A709" s="8" t="s">
        <v>1514</v>
      </c>
      <c r="B709" s="7" t="s">
        <v>1513</v>
      </c>
      <c r="C709" s="7" t="s">
        <v>1512</v>
      </c>
      <c r="D709" s="6">
        <v>1700</v>
      </c>
      <c r="E709" s="5">
        <v>4</v>
      </c>
      <c r="F709" s="4" t="str">
        <f ca="1">IFERROR(__xludf.DUMMYFUNCTION("LOWER(REGEXREPLACE(B709&amp;"" ""&amp;C709,""[^а-яa-z0-9 ]"","" ""))"),"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"&amp;"групповой работе с детьми дошкольного возраста ")</f>
        <v xml:space="preserve">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v>
      </c>
      <c r="G709" s="4" t="str">
        <f ca="1">IFERROR(__xludf.DUMMYFUNCTION("TEXTJOIN(""|"",TRUE,UNIQUE(FILTER(SPLIT(F709,"" ""),LEN(SPLIT(F709,"" ""))&gt;2)))"),"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amp;"ошкольного|возраста")</f>
        <v>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v>
      </c>
      <c r="I709" s="1"/>
      <c r="J709" s="1"/>
    </row>
    <row r="710" spans="1:10" x14ac:dyDescent="0.2">
      <c r="A710" s="8" t="s">
        <v>1511</v>
      </c>
      <c r="B710" s="7" t="s">
        <v>1510</v>
      </c>
      <c r="C710" s="7" t="s">
        <v>1509</v>
      </c>
      <c r="D710" s="6">
        <v>465400</v>
      </c>
      <c r="E710" s="5">
        <v>1</v>
      </c>
      <c r="F710" s="4" t="str">
        <f ca="1">IFERROR(__xludf.DUMMYFUNCTION("LOWER(REGEXREPLACE(B710&amp;"" ""&amp;C710,""[^а-яa-z0-9 ]"","" ""))")," есы db 200h   рузоподъемность  200 кг   увствительность  50 100 г")</f>
        <v xml:space="preserve"> есы db 200h   рузоподъемность  200 кг   увствительность  50 100 г</v>
      </c>
      <c r="G710" s="4" t="str">
        <f ca="1">IFERROR(__xludf.DUMMYFUNCTION("TEXTJOIN(""|"",TRUE,UNIQUE(FILTER(SPLIT(F710,"" ""),LEN(SPLIT(F710,"" ""))&gt;2)))"),"есы|200h|рузоподъемность|200|увствительность|100")</f>
        <v>есы|200h|рузоподъемность|200|увствительность|100</v>
      </c>
      <c r="I710" s="1"/>
      <c r="J710" s="1"/>
    </row>
    <row r="711" spans="1:10" x14ac:dyDescent="0.2">
      <c r="A711" s="8" t="s">
        <v>1508</v>
      </c>
      <c r="B711" s="7" t="s">
        <v>1507</v>
      </c>
      <c r="C711" s="7" t="s">
        <v>1506</v>
      </c>
      <c r="D711" s="6">
        <v>6100</v>
      </c>
      <c r="E711" s="5">
        <v>35</v>
      </c>
      <c r="F711" s="4" t="str">
        <f ca="1">IFERROR(__xludf.DUMMYFUNCTION("LOWER(REGEXREPLACE(B711&amp;"" ""&amp;C711,""[^а-яa-z0-9 ]"","" ""))"),"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дошкольног"&amp;"о возраста   зделие безопасно и устойчиво к регулярной эксплуатации ")</f>
        <v xml:space="preserve">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v>
      </c>
      <c r="G711" s="4" t="str">
        <f ca="1">IFERROR(__xludf.DUMMYFUNCTION("TEXTJOIN(""|"",TRUE,UNIQUE(FILTER(SPLIT(F711,"" ""),LEN(SPLIT(F711,"" ""))&gt;2)))"),"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amp;"опасно|устойчиво|регулярной|эксплуатации")</f>
        <v>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v>
      </c>
      <c r="I711" s="1"/>
      <c r="J711" s="1"/>
    </row>
    <row r="712" spans="1:10" x14ac:dyDescent="0.2">
      <c r="A712" s="8" t="s">
        <v>1505</v>
      </c>
      <c r="B712" s="8" t="s">
        <v>1504</v>
      </c>
      <c r="C712" s="7" t="s">
        <v>1503</v>
      </c>
      <c r="D712" s="6">
        <v>475000</v>
      </c>
      <c r="E712" s="5">
        <v>1</v>
      </c>
      <c r="F712" s="4" t="str">
        <f ca="1">IFERROR(__xludf.DUMMYFUNCTION("LOWER(REGEXREPLACE(B712&amp;"" ""&amp;C712,""[^а-яa-z0-9 ]"","" ""))"),"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онструкция"&amp;" устойчивая  поверхности безопасны для детей  эксплуатация соответствует требованиям использования музыкального оборудования в     ")</f>
        <v xml:space="preserve">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v>
      </c>
      <c r="G712" s="4" t="str">
        <f ca="1">IFERROR(__xludf.DUMMYFUNCTION("TEXTJOIN(""|"",TRUE,UNIQUE(FILTER(SPLIT(F712,"" ""),LEN(SPLIT(F712,"" ""))&gt;2)))"),"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amp;"и|безопасны|для|детей|эксплуатация|соответствует|требованиям|использования|музыкального|оборудования")</f>
        <v>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v>
      </c>
      <c r="I712" s="1"/>
      <c r="J712" s="1"/>
    </row>
    <row r="713" spans="1:10" x14ac:dyDescent="0.2">
      <c r="A713" s="8" t="s">
        <v>1502</v>
      </c>
      <c r="B713" s="7" t="s">
        <v>1501</v>
      </c>
      <c r="C713" s="7" t="s">
        <v>1500</v>
      </c>
      <c r="D713" s="6">
        <v>8400</v>
      </c>
      <c r="E713" s="5">
        <v>2</v>
      </c>
      <c r="F713" s="4" t="str">
        <f ca="1">IFERROR(__xludf.DUMMYFUNCTION("LOWER(REGEXREPLACE(B713&amp;"" ""&amp;C713,""[^а-яa-z0-9 ]"","" ""))")," инцет анатомический  рименяется для медицинских манипуляций  захвата и удержания материалов ")</f>
        <v xml:space="preserve"> инцет анатомический  рименяется для медицинских манипуляций  захвата и удержания материалов </v>
      </c>
      <c r="G713" s="4" t="str">
        <f ca="1">IFERROR(__xludf.DUMMYFUNCTION("TEXTJOIN(""|"",TRUE,UNIQUE(FILTER(SPLIT(F713,"" ""),LEN(SPLIT(F713,"" ""))&gt;2)))"),"инцет|анатомический|рименяется|для|медицинских|манипуляций|захвата|удержания|материалов")</f>
        <v>инцет|анатомический|рименяется|для|медицинских|манипуляций|захвата|удержания|материалов</v>
      </c>
      <c r="I713" s="1"/>
      <c r="J713" s="1"/>
    </row>
    <row r="714" spans="1:10" x14ac:dyDescent="0.2">
      <c r="A714" s="8" t="s">
        <v>1499</v>
      </c>
      <c r="B714" s="7" t="s">
        <v>1498</v>
      </c>
      <c r="C714" s="7" t="s">
        <v>1497</v>
      </c>
      <c r="D714" s="6">
        <v>14400</v>
      </c>
      <c r="E714" s="5">
        <v>1</v>
      </c>
      <c r="F714" s="4" t="str">
        <f ca="1">IFERROR(__xludf.DUMMYFUNCTION("LOWER(REGEXREPLACE(B714&amp;"" ""&amp;C714,""[^а-яa-z0-9 ]"","" ""))"),"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возраста"&amp;"   лементы яркие  подвижные  безопасные и удобные для детского восприятия ")</f>
        <v xml:space="preserve">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v>
      </c>
      <c r="G714" s="4" t="str">
        <f ca="1">IFERROR(__xludf.DUMMYFUNCTION("TEXTJOIN(""|"",TRUE,UNIQUE(FILTER(SPLIT(F714,"" ""),LEN(SPLIT(F714,"" ""))&gt;2)))"),"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amp;"одвижные|безопасные|удобные|для|детского|восприятия")</f>
        <v>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v>
      </c>
      <c r="I714" s="1"/>
      <c r="J714" s="1"/>
    </row>
    <row r="715" spans="1:10" x14ac:dyDescent="0.2">
      <c r="A715" s="8" t="s">
        <v>1496</v>
      </c>
      <c r="B715" s="7" t="s">
        <v>1495</v>
      </c>
      <c r="C715" s="7" t="s">
        <v>1494</v>
      </c>
      <c r="D715" s="6">
        <v>25700</v>
      </c>
      <c r="E715" s="5">
        <v>7</v>
      </c>
      <c r="F715" s="4" t="str">
        <f ca="1">IFERROR(__xludf.DUMMYFUNCTION("LOWER(REGEXREPLACE(B715&amp;"" ""&amp;C715,""[^а-яa-z0-9 ]"","" ""))"),"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за"&amp;"нятий в     ")</f>
        <v xml:space="preserve">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v>
      </c>
      <c r="G715" s="4" t="str">
        <f ca="1">IFERROR(__xludf.DUMMYFUNCTION("TEXTJOIN(""|"",TRUE,UNIQUE(FILTER(SPLIT(F715,"" ""),LEN(SPLIT(F715,"" ""))&gt;2)))"),"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f>
        <v>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v>
      </c>
      <c r="I715" s="1"/>
      <c r="J715" s="1"/>
    </row>
    <row r="716" spans="1:10" x14ac:dyDescent="0.2">
      <c r="A716" s="8" t="s">
        <v>1493</v>
      </c>
      <c r="B716" s="7" t="s">
        <v>1492</v>
      </c>
      <c r="C716" s="7" t="s">
        <v>1491</v>
      </c>
      <c r="D716" s="6">
        <v>7600</v>
      </c>
      <c r="E716" s="5">
        <v>1</v>
      </c>
      <c r="F716" s="4" t="str">
        <f ca="1">IFERROR(__xludf.DUMMYFUNCTION("LOWER(REGEXREPLACE(B716&amp;"" ""&amp;C716,""[^а-яa-z0-9 ]"","" ""))"),"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д"&amp;"етской рукой ")</f>
        <v xml:space="preserve">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v>
      </c>
      <c r="G716" s="4" t="str">
        <f ca="1">IFERROR(__xludf.DUMMYFUNCTION("TEXTJOIN(""|"",TRUE,UNIQUE(FILTER(SPLIT(F716,"" ""),LEN(SPLIT(F716,"" ""))&gt;2)))"),"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f>
        <v>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v>
      </c>
      <c r="I716" s="1"/>
      <c r="J716" s="1"/>
    </row>
    <row r="717" spans="1:10" x14ac:dyDescent="0.2">
      <c r="A717" s="8" t="s">
        <v>1490</v>
      </c>
      <c r="B717" s="7" t="s">
        <v>1489</v>
      </c>
      <c r="C717" s="7" t="s">
        <v>1488</v>
      </c>
      <c r="D717" s="6">
        <v>4000</v>
      </c>
      <c r="E717" s="5">
        <v>7</v>
      </c>
      <c r="F717" s="4" t="str">
        <f ca="1">IFERROR(__xludf.DUMMYFUNCTION("LOWER(REGEXREPLACE(B717&amp;"" ""&amp;C717,""[^а-яa-z0-9 ]"","" ""))"),"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игрово"&amp;"й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f>
        <v xml:space="preserve">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v>
      </c>
      <c r="G717" s="4" t="str">
        <f ca="1">IFERROR(__xludf.DUMMYFUNCTION("TEXTJOIN(""|"",TRUE,UNIQUE(FILTER(SPLIT(F717,"" ""),LEN(SPLIT(F717,"" ""))&gt;2)))"),"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amp;"|деятельности|лементы|размещаются|устойчивой|подставке|зготовлена|дерева|безопасна|долговечна|для|использования|условиях")</f>
        <v>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v>
      </c>
      <c r="I717" s="1"/>
      <c r="J717" s="1"/>
    </row>
    <row r="718" spans="1:10" x14ac:dyDescent="0.2">
      <c r="A718" s="8" t="s">
        <v>1487</v>
      </c>
      <c r="B718" s="7" t="s">
        <v>1486</v>
      </c>
      <c r="C718" s="7" t="s">
        <v>1485</v>
      </c>
      <c r="D718" s="6">
        <v>31000</v>
      </c>
      <c r="E718" s="5">
        <v>1</v>
      </c>
      <c r="F718" s="4" t="str">
        <f ca="1">IFERROR(__xludf.DUMMYFUNCTION("LOWER(REGEXREPLACE(B718&amp;"" ""&amp;C718,""[^а-яa-z0-9 ]"","" ""))"),"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обесп"&amp;"ечивают безопасность и долговечность изделия ")</f>
        <v xml:space="preserve">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v>
      </c>
      <c r="G718" s="4" t="str">
        <f ca="1">IFERROR(__xludf.DUMMYFUNCTION("TEXTJOIN(""|"",TRUE,UNIQUE(FILTER(SPLIT(F718,"" ""),LEN(SPLIT(F718,"" ""))&gt;2)))"),"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amp;"|долговечность|изделия")</f>
        <v>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v>
      </c>
      <c r="I718" s="1"/>
      <c r="J718" s="1"/>
    </row>
    <row r="719" spans="1:10" x14ac:dyDescent="0.2">
      <c r="A719" s="8" t="s">
        <v>1484</v>
      </c>
      <c r="B719" s="7" t="s">
        <v>1483</v>
      </c>
      <c r="C719" s="7" t="s">
        <v>1482</v>
      </c>
      <c r="D719" s="6">
        <v>8600</v>
      </c>
      <c r="E719" s="5">
        <v>22</v>
      </c>
      <c r="F719" s="4" t="str">
        <f ca="1">IFERROR(__xludf.DUMMYFUNCTION("LOWER(REGEXREPLACE(B719&amp;"" ""&amp;C719,""[^а-яa-z0-9 ]"","" ""))"),"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f>
        <v xml:space="preserve">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v>
      </c>
      <c r="G719" s="4" t="str">
        <f ca="1">IFERROR(__xludf.DUMMYFUNCTION("TEXTJOIN(""|"",TRUE,UNIQUE(FILTER(SPLIT(F719,"" ""),LEN(SPLIT(F719,"" ""))&gt;2)))"),"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f>
        <v>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v>
      </c>
      <c r="I719" s="1"/>
      <c r="J719" s="1"/>
    </row>
    <row r="720" spans="1:10" x14ac:dyDescent="0.2">
      <c r="A720" s="8" t="s">
        <v>1481</v>
      </c>
      <c r="B720" s="7" t="s">
        <v>1480</v>
      </c>
      <c r="C720" s="7" t="s">
        <v>1479</v>
      </c>
      <c r="D720" s="6">
        <v>10500</v>
      </c>
      <c r="E720" s="5">
        <v>1</v>
      </c>
      <c r="F720" s="4" t="str">
        <f ca="1">IFERROR(__xludf.DUMMYFUNCTION("LOWER(REGEXREPLACE(B720&amp;"" ""&amp;C720,""[^а-яa-z0-9 ]"","" ""))"),"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f>
        <v xml:space="preserve">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v>
      </c>
      <c r="G720" s="4" t="str">
        <f ca="1">IFERROR(__xludf.DUMMYFUNCTION("TEXTJOIN(""|"",TRUE,UNIQUE(FILTER(SPLIT(F720,"" ""),LEN(SPLIT(F720,"" ""))&gt;2)))"),"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f>
        <v>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v>
      </c>
      <c r="I720" s="1"/>
      <c r="J720" s="1"/>
    </row>
    <row r="721" spans="1:10" x14ac:dyDescent="0.2">
      <c r="A721" s="8" t="s">
        <v>1478</v>
      </c>
      <c r="B721" s="7" t="s">
        <v>1477</v>
      </c>
      <c r="C721" s="7"/>
      <c r="D721" s="6">
        <v>1800</v>
      </c>
      <c r="E721" s="5">
        <v>1</v>
      </c>
      <c r="F721" s="4" t="str">
        <f ca="1">IFERROR(__xludf.DUMMYFUNCTION("LOWER(REGEXREPLACE(B721&amp;"" ""&amp;C721,""[^а-яa-z0-9 ]"","" ""))"),"  з   жаса  оптамасы   й жануарлары   ерия   делай сам    омашние животные из картона ")</f>
        <v xml:space="preserve">  з   жаса  оптамасы   й жануарлары   ерия   делай сам    омашние животные из картона </v>
      </c>
      <c r="G721" s="4" t="str">
        <f ca="1">IFERROR(__xludf.DUMMYFUNCTION("TEXTJOIN(""|"",TRUE,UNIQUE(FILTER(SPLIT(F721,"" ""),LEN(SPLIT(F721,"" ""))&gt;2)))"),"жаса|оптамасы|жануарлары|ерия|делай|сам|омашние|животные|картона")</f>
        <v>жаса|оптамасы|жануарлары|ерия|делай|сам|омашние|животные|картона</v>
      </c>
      <c r="I721" s="1"/>
      <c r="J721" s="1"/>
    </row>
    <row r="722" spans="1:10" x14ac:dyDescent="0.2">
      <c r="A722" s="8" t="s">
        <v>1476</v>
      </c>
      <c r="B722" s="7" t="s">
        <v>1475</v>
      </c>
      <c r="C722" s="7" t="s">
        <v>1474</v>
      </c>
      <c r="D722" s="6">
        <v>183900</v>
      </c>
      <c r="E722" s="5">
        <v>3</v>
      </c>
      <c r="F722" s="4" t="str">
        <f ca="1">IFERROR(__xludf.DUMMYFUNCTION("LOWER(REGEXREPLACE(B722&amp;"" ""&amp;C722,""[^а-яa-z0-9 ]"","" ""))")," есы sw 10 dd  рузоподъемность  10 кг   увствительность  5 г")</f>
        <v xml:space="preserve"> есы sw 10 dd  рузоподъемность  10 кг   увствительность  5 г</v>
      </c>
      <c r="G722" s="4" t="str">
        <f ca="1">IFERROR(__xludf.DUMMYFUNCTION("TEXTJOIN(""|"",TRUE,UNIQUE(FILTER(SPLIT(F722,"" ""),LEN(SPLIT(F722,"" ""))&gt;2)))"),"есы|рузоподъемность|увствительность")</f>
        <v>есы|рузоподъемность|увствительность</v>
      </c>
      <c r="I722" s="1"/>
      <c r="J722" s="1"/>
    </row>
    <row r="723" spans="1:10" x14ac:dyDescent="0.2">
      <c r="A723" s="8" t="s">
        <v>1473</v>
      </c>
      <c r="B723" s="7" t="s">
        <v>1472</v>
      </c>
      <c r="C723" s="7" t="s">
        <v>1471</v>
      </c>
      <c r="D723" s="6">
        <v>9500</v>
      </c>
      <c r="E723" s="5">
        <v>1</v>
      </c>
      <c r="F723" s="4" t="str">
        <f ca="1">IFERROR(__xludf.DUMMYFUNCTION("LOWER(REGEXREPLACE(B723&amp;"" ""&amp;C723,""[^а-яa-z0-9 ]"","" ""))"),"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д"&amp;"етского сада ")</f>
        <v xml:space="preserve">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v>
      </c>
      <c r="G723" s="4" t="str">
        <f ca="1">IFERROR(__xludf.DUMMYFUNCTION("TEXTJOIN(""|"",TRUE,UNIQUE(FILTER(SPLIT(F723,"" ""),LEN(SPLIT(F723,"" ""))&gt;2)))"),"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f>
        <v>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v>
      </c>
      <c r="I723" s="1"/>
      <c r="J723" s="1"/>
    </row>
    <row r="724" spans="1:10" x14ac:dyDescent="0.2">
      <c r="A724" s="8" t="s">
        <v>1470</v>
      </c>
      <c r="B724" s="7" t="s">
        <v>1469</v>
      </c>
      <c r="C724" s="7" t="s">
        <v>1083</v>
      </c>
      <c r="D724" s="6">
        <v>3000</v>
      </c>
      <c r="E724" s="5">
        <v>1</v>
      </c>
      <c r="F724" s="4" t="str">
        <f ca="1">IFERROR(__xludf.DUMMYFUNCTION("LOWER(REGEXREPLACE(B724&amp;"" ""&amp;C724,""[^а-яa-z0-9 ]"","" ""))"),"  л мен жолбарыс  ртег   ояма    растар ан  ужикова   ")</f>
        <v xml:space="preserve">  л мен жолбарыс  ртег   ояма    растар ан  ужикова   </v>
      </c>
      <c r="G724" s="4" t="str">
        <f ca="1">IFERROR(__xludf.DUMMYFUNCTION("TEXTJOIN(""|"",TRUE,UNIQUE(FILTER(SPLIT(F724,"" ""),LEN(SPLIT(F724,"" ""))&gt;2)))"),"мен|жолбарыс|ртег|ояма|растар|ужикова")</f>
        <v>мен|жолбарыс|ртег|ояма|растар|ужикова</v>
      </c>
      <c r="I724" s="1"/>
      <c r="J724" s="1"/>
    </row>
    <row r="725" spans="1:10" x14ac:dyDescent="0.2">
      <c r="A725" s="8" t="s">
        <v>1468</v>
      </c>
      <c r="B725" s="7" t="s">
        <v>1467</v>
      </c>
      <c r="C725" s="7" t="s">
        <v>1466</v>
      </c>
      <c r="D725" s="6">
        <v>3400</v>
      </c>
      <c r="E725" s="5">
        <v>2</v>
      </c>
      <c r="F725" s="4" t="str">
        <f ca="1">IFERROR(__xludf.DUMMYFUNCTION("LOWER(REGEXREPLACE(B725&amp;"" ""&amp;C725,""[^а-яa-z0-9 ]"","" ""))"),"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развив"&amp;"ающей работе с детьми дошкольного возраста ")</f>
        <v xml:space="preserve">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v>
      </c>
      <c r="G725" s="4" t="str">
        <f ca="1">IFERROR(__xludf.DUMMYFUNCTION("TEXTJOIN(""|"",TRUE,UNIQUE(FILTER(SPLIT(F725,"" ""),LEN(SPLIT(F725,"" ""))&gt;2)))"),"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amp;"тьми|дошкольного|возраста")</f>
        <v>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v>
      </c>
      <c r="I725" s="1"/>
      <c r="J725" s="1"/>
    </row>
    <row r="726" spans="1:10" x14ac:dyDescent="0.2">
      <c r="A726" s="8" t="s">
        <v>1465</v>
      </c>
      <c r="B726" s="7" t="s">
        <v>1464</v>
      </c>
      <c r="C726" s="7" t="s">
        <v>1463</v>
      </c>
      <c r="D726" s="6">
        <v>19000</v>
      </c>
      <c r="E726" s="5">
        <v>2</v>
      </c>
      <c r="F726" s="4" t="str">
        <f ca="1">IFERROR(__xludf.DUMMYFUNCTION("LOWER(REGEXREPLACE(B726&amp;"" ""&amp;C726,""[^а-яa-z0-9 ]"","" ""))"),"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фо"&amp;"нематического слуха у детей ")</f>
        <v xml:space="preserve">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v>
      </c>
      <c r="G726" s="4" t="str">
        <f ca="1">IFERROR(__xludf.DUMMYFUNCTION("TEXTJOIN(""|"",TRUE,UNIQUE(FILTER(SPLIT(F726,"" ""),LEN(SPLIT(F726,"" ""))&gt;2)))"),"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f>
        <v>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v>
      </c>
      <c r="I726" s="1"/>
      <c r="J726" s="1"/>
    </row>
    <row r="727" spans="1:10" x14ac:dyDescent="0.2">
      <c r="A727" s="8" t="s">
        <v>1462</v>
      </c>
      <c r="B727" s="7" t="s">
        <v>1461</v>
      </c>
      <c r="C727" s="7" t="s">
        <v>1460</v>
      </c>
      <c r="D727" s="6">
        <v>17400</v>
      </c>
      <c r="E727" s="5">
        <v>35</v>
      </c>
      <c r="F727" s="4" t="str">
        <f ca="1">IFERROR(__xludf.DUMMYFUNCTION("LOWER(REGEXREPLACE(B727&amp;"" ""&amp;C727,""[^а-яa-z0-9 ]"","" ""))"),"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регулиро"&amp;"вкой громкости и выключателем  безопасен для использования в     ")</f>
        <v xml:space="preserve">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v>
      </c>
      <c r="G727" s="4" t="str">
        <f ca="1">IFERROR(__xludf.DUMMYFUNCTION("TEXTJOIN(""|"",TRUE,UNIQUE(FILTER(SPLIT(F727,"" ""),LEN(SPLIT(F727,"" ""))&gt;2)))"),"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amp;"лем|безопасен|для|использования")</f>
        <v>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v>
      </c>
      <c r="I727" s="1"/>
      <c r="J727" s="1"/>
    </row>
    <row r="728" spans="1:10" x14ac:dyDescent="0.2">
      <c r="A728" s="8" t="s">
        <v>1459</v>
      </c>
      <c r="B728" s="7" t="s">
        <v>1458</v>
      </c>
      <c r="C728" s="7" t="s">
        <v>1457</v>
      </c>
      <c r="D728" s="6">
        <v>4400</v>
      </c>
      <c r="E728" s="5">
        <v>25</v>
      </c>
      <c r="F728" s="4" t="str">
        <f ca="1">IFERROR(__xludf.DUMMYFUNCTION("LOWER(REGEXREPLACE(B728&amp;"" ""&amp;C728,""[^а-яa-z0-9 ]"","" ""))"),"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f>
        <v xml:space="preserve">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v>
      </c>
      <c r="G728" s="4" t="str">
        <f ca="1">IFERROR(__xludf.DUMMYFUNCTION("TEXTJOIN(""|"",TRUE,UNIQUE(FILTER(SPLIT(F728,"" ""),LEN(SPLIT(F728,"" ""))&gt;2)))"),"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f>
        <v>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v>
      </c>
      <c r="I728" s="1"/>
      <c r="J728" s="1"/>
    </row>
    <row r="729" spans="1:10" x14ac:dyDescent="0.2">
      <c r="A729" s="8" t="s">
        <v>1456</v>
      </c>
      <c r="B729" s="7" t="s">
        <v>1455</v>
      </c>
      <c r="C729" s="7" t="s">
        <v>1454</v>
      </c>
      <c r="D729" s="6">
        <v>3300</v>
      </c>
      <c r="E729" s="5">
        <v>20</v>
      </c>
      <c r="F729" s="4" t="str">
        <f ca="1">IFERROR(__xludf.DUMMYFUNCTION("LOWER(REGEXREPLACE(B729&amp;"" ""&amp;C729,""[^а-яa-z0-9 ]"","" ""))"),"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соблюд"&amp;"ении правил эксплуатации ")</f>
        <v xml:space="preserve">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v>
      </c>
      <c r="G729" s="4" t="str">
        <f ca="1">IFERROR(__xludf.DUMMYFUNCTION("TEXTJOIN(""|"",TRUE,UNIQUE(FILTER(SPLIT(F729,"" ""),LEN(SPLIT(F729,"" ""))&gt;2)))"),"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amp;"ции")</f>
        <v>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v>
      </c>
      <c r="I729" s="1"/>
      <c r="J729" s="1"/>
    </row>
    <row r="730" spans="1:10" x14ac:dyDescent="0.2">
      <c r="A730" s="8" t="s">
        <v>1453</v>
      </c>
      <c r="B730" s="7" t="s">
        <v>1452</v>
      </c>
      <c r="C730" s="7" t="s">
        <v>1451</v>
      </c>
      <c r="D730" s="6">
        <v>27000</v>
      </c>
      <c r="E730" s="5">
        <v>320</v>
      </c>
      <c r="F730" s="4" t="str">
        <f ca="1">IFERROR(__xludf.DUMMYFUNCTION("LOWER(REGEXREPLACE(B730&amp;"" ""&amp;C730,""[^а-яa-z0-9 ]"","" ""))"),"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f>
        <v xml:space="preserve">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v>
      </c>
      <c r="G730" s="4" t="str">
        <f ca="1">IFERROR(__xludf.DUMMYFUNCTION("TEXTJOIN(""|"",TRUE,UNIQUE(FILTER(SPLIT(F730,"" ""),LEN(SPLIT(F730,"" ""))&gt;2)))"),"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f>
        <v>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v>
      </c>
      <c r="I730" s="1"/>
      <c r="J730" s="1"/>
    </row>
    <row r="731" spans="1:10" x14ac:dyDescent="0.2">
      <c r="A731" s="8" t="s">
        <v>1450</v>
      </c>
      <c r="B731" s="7" t="s">
        <v>1449</v>
      </c>
      <c r="C731" s="7" t="s">
        <v>1448</v>
      </c>
      <c r="D731" s="6">
        <v>27000</v>
      </c>
      <c r="E731" s="5">
        <v>320</v>
      </c>
      <c r="F731" s="4" t="str">
        <f ca="1">IFERROR(__xludf.DUMMYFUNCTION("LOWER(REGEXREPLACE(B731&amp;"" ""&amp;C731,""[^а-яa-z0-9 ]"","" ""))"),"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использован"&amp;"ия ")</f>
        <v xml:space="preserve">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v>
      </c>
      <c r="G731" s="4" t="str">
        <f ca="1">IFERROR(__xludf.DUMMYFUNCTION("TEXTJOIN(""|"",TRUE,UNIQUE(FILTER(SPLIT(F731,"" ""),LEN(SPLIT(F731,"" ""))&gt;2)))"),"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f>
        <v>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v>
      </c>
      <c r="I731" s="1"/>
      <c r="J731" s="1"/>
    </row>
    <row r="732" spans="1:10" x14ac:dyDescent="0.2">
      <c r="A732" s="8" t="s">
        <v>1447</v>
      </c>
      <c r="B732" s="7" t="s">
        <v>1446</v>
      </c>
      <c r="C732" s="7" t="s">
        <v>1445</v>
      </c>
      <c r="D732" s="6">
        <v>17100</v>
      </c>
      <c r="E732" s="5">
        <v>1</v>
      </c>
      <c r="F732" s="4" t="str">
        <f ca="1">IFERROR(__xludf.DUMMYFUNCTION("LOWER(REGEXREPLACE(B732&amp;"" ""&amp;C732,""[^а-яa-z0-9 ]"","" ""))"),"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безопасе"&amp;"н для использования в     ")</f>
        <v xml:space="preserve">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v>
      </c>
      <c r="G732" s="4" t="str">
        <f ca="1">IFERROR(__xludf.DUMMYFUNCTION("TEXTJOIN(""|"",TRUE,UNIQUE(FILTER(SPLIT(F732,"" ""),LEN(SPLIT(F732,"" ""))&gt;2)))"),"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amp;"я")</f>
        <v>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v>
      </c>
      <c r="I732" s="1"/>
      <c r="J732" s="1"/>
    </row>
    <row r="733" spans="1:10" x14ac:dyDescent="0.2">
      <c r="A733" s="8" t="s">
        <v>1444</v>
      </c>
      <c r="B733" s="7" t="s">
        <v>1443</v>
      </c>
      <c r="C733" s="7" t="s">
        <v>1442</v>
      </c>
      <c r="D733" s="6">
        <v>39900</v>
      </c>
      <c r="E733" s="5">
        <v>1</v>
      </c>
      <c r="F733" s="4" t="str">
        <f ca="1">IFERROR(__xludf.DUMMYFUNCTION("LOWER(REGEXREPLACE(B733&amp;"" ""&amp;C733,""[^а-яa-z0-9 ]"","" ""))"),"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ас"&amp;"считана на нагрузку до 150 кг ")</f>
        <v xml:space="preserve">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v>
      </c>
      <c r="G733" s="4" t="str">
        <f ca="1">IFERROR(__xludf.DUMMYFUNCTION("TEXTJOIN(""|"",TRUE,UNIQUE(FILTER(SPLIT(F733,"" ""),LEN(SPLIT(F733,"" ""))&gt;2)))"),"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f>
        <v>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v>
      </c>
      <c r="I733" s="1"/>
      <c r="J733" s="1"/>
    </row>
    <row r="734" spans="1:10" x14ac:dyDescent="0.2">
      <c r="A734" s="8" t="s">
        <v>1441</v>
      </c>
      <c r="B734" s="7" t="s">
        <v>1440</v>
      </c>
      <c r="C734" s="7" t="s">
        <v>1439</v>
      </c>
      <c r="D734" s="6">
        <v>22800</v>
      </c>
      <c r="E734" s="5">
        <v>5</v>
      </c>
      <c r="F734" s="4" t="str">
        <f ca="1">IFERROR(__xludf.DUMMYFUNCTION("LOWER(REGEXREPLACE(B734&amp;"" ""&amp;C734,""[^а-яa-z0-9 ]"","" ""))"),"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в"&amp;"ет   красный с тематическими обозначениями ")</f>
        <v xml:space="preserve">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v>
      </c>
      <c r="G734" s="4" t="str">
        <f ca="1">IFERROR(__xludf.DUMMYFUNCTION("TEXTJOIN(""|"",TRUE,UNIQUE(FILTER(SPLIT(F734,"" ""),LEN(SPLIT(F734,"" ""))&gt;2)))"),"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amp;"атическими|обозначениями")</f>
        <v>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v>
      </c>
      <c r="I734" s="1"/>
      <c r="J734" s="1"/>
    </row>
    <row r="735" spans="1:10" x14ac:dyDescent="0.2">
      <c r="A735" s="8" t="s">
        <v>1438</v>
      </c>
      <c r="B735" s="7" t="s">
        <v>1437</v>
      </c>
      <c r="C735" s="7" t="s">
        <v>1436</v>
      </c>
      <c r="D735" s="6">
        <v>22800</v>
      </c>
      <c r="E735" s="5">
        <v>7</v>
      </c>
      <c r="F735" s="4" t="str">
        <f ca="1">IFERROR(__xludf.DUMMYFUNCTION("LOWER(REGEXREPLACE(B735&amp;"" ""&amp;C735,""[^а-яa-z0-9 ]"","" ""))"),"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f>
        <v xml:space="preserve">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v>
      </c>
      <c r="G735" s="4" t="str">
        <f ca="1">IFERROR(__xludf.DUMMYFUNCTION("TEXTJOIN(""|"",TRUE,UNIQUE(FILTER(SPLIT(F735,"" ""),LEN(SPLIT(F735,"" ""))&gt;2)))"),"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f>
        <v>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v>
      </c>
      <c r="I735" s="1"/>
      <c r="J735" s="1"/>
    </row>
    <row r="736" spans="1:10" x14ac:dyDescent="0.2">
      <c r="A736" s="8" t="s">
        <v>1435</v>
      </c>
      <c r="B736" s="7" t="s">
        <v>1434</v>
      </c>
      <c r="C736" s="7" t="s">
        <v>1433</v>
      </c>
      <c r="D736" s="6">
        <v>31400</v>
      </c>
      <c r="E736" s="5">
        <v>5</v>
      </c>
      <c r="F736" s="4" t="str">
        <f ca="1">IFERROR(__xludf.DUMMYFUNCTION("LOWER(REGEXREPLACE(B736&amp;"" ""&amp;C736,""[^а-яa-z0-9 ]"","" ""))"),"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соответствуе"&amp;"т требованиям     ")</f>
        <v xml:space="preserve">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v>
      </c>
      <c r="G736" s="4" t="str">
        <f ca="1">IFERROR(__xludf.DUMMYFUNCTION("TEXTJOIN(""|"",TRUE,UNIQUE(FILTER(SPLIT(F736,"" ""),LEN(SPLIT(F736,"" ""))&gt;2)))"),"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f>
        <v>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v>
      </c>
      <c r="I736" s="1"/>
      <c r="J736" s="1"/>
    </row>
    <row r="737" spans="1:10" x14ac:dyDescent="0.2">
      <c r="A737" s="8" t="s">
        <v>1432</v>
      </c>
      <c r="B737" s="7" t="s">
        <v>1431</v>
      </c>
      <c r="C737" s="7" t="s">
        <v>1430</v>
      </c>
      <c r="D737" s="6">
        <v>18400</v>
      </c>
      <c r="E737" s="5">
        <v>7</v>
      </c>
      <c r="F737" s="4" t="str">
        <f ca="1">IFERROR(__xludf.DUMMYFUNCTION("LOWER(REGEXREPLACE(B737&amp;"" ""&amp;C737,""[^а-яa-z0-9 ]"","" ""))"),"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професс"&amp;"иям ")</f>
        <v xml:space="preserve">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v>
      </c>
      <c r="G737" s="4" t="str">
        <f ca="1">IFERROR(__xludf.DUMMYFUNCTION("TEXTJOIN(""|"",TRUE,UNIQUE(FILTER(SPLIT(F737,"" ""),LEN(SPLIT(F737,"" ""))&gt;2)))"),"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f>
        <v>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v>
      </c>
      <c r="I737" s="1"/>
      <c r="J737" s="1"/>
    </row>
    <row r="738" spans="1:10" x14ac:dyDescent="0.2">
      <c r="A738" s="8" t="s">
        <v>1429</v>
      </c>
      <c r="B738" s="7" t="s">
        <v>1428</v>
      </c>
      <c r="C738" s="7" t="s">
        <v>1427</v>
      </c>
      <c r="D738" s="6">
        <v>240200</v>
      </c>
      <c r="E738" s="5">
        <v>2</v>
      </c>
      <c r="F738" s="4" t="str">
        <f ca="1">IFERROR(__xludf.DUMMYFUNCTION("LOWER(REGEXREPLACE(B738&amp;"" ""&amp;C738,""[^а-яa-z0-9 ]"","" ""))"),"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акти"&amp;"вность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f>
        <v xml:space="preserve">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v>
      </c>
      <c r="G738" s="4" t="str">
        <f ca="1">IFERROR(__xludf.DUMMYFUNCTION("TEXTJOIN(""|"",TRUE,UNIQUE(FILTER(SPLIT(F738,"" ""),LEN(SPLIT(F738,"" ""))&gt;2)))"),"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amp;"витию|координации|движений|общей|моторики|омплект|включает|менее|элементов|онструкция|предназначена|для|использования|помещениях")</f>
        <v>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v>
      </c>
      <c r="I738" s="1"/>
      <c r="J738" s="1"/>
    </row>
    <row r="739" spans="1:10" x14ac:dyDescent="0.2">
      <c r="A739" s="8" t="s">
        <v>1426</v>
      </c>
      <c r="B739" s="7" t="s">
        <v>1425</v>
      </c>
      <c r="C739" s="7" t="s">
        <v>1424</v>
      </c>
      <c r="D739" s="6">
        <v>10600</v>
      </c>
      <c r="E739" s="5">
        <v>320</v>
      </c>
      <c r="F739" s="4" t="str">
        <f ca="1">IFERROR(__xludf.DUMMYFUNCTION("LOWER(REGEXREPLACE(B739&amp;"" ""&amp;C739,""[^а-яa-z0-9 ]"","" ""))"),"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f>
        <v xml:space="preserve">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v>
      </c>
      <c r="G739" s="4" t="str">
        <f ca="1">IFERROR(__xludf.DUMMYFUNCTION("TEXTJOIN(""|"",TRUE,UNIQUE(FILTER(SPLIT(F739,"" ""),LEN(SPLIT(F739,"" ""))&gt;2)))"),"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f>
        <v>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v>
      </c>
      <c r="I739" s="1"/>
      <c r="J739" s="1"/>
    </row>
    <row r="740" spans="1:10" x14ac:dyDescent="0.2">
      <c r="A740" s="8" t="s">
        <v>1423</v>
      </c>
      <c r="B740" s="7" t="s">
        <v>1422</v>
      </c>
      <c r="C740" s="7" t="s">
        <v>1421</v>
      </c>
      <c r="D740" s="6">
        <v>15600</v>
      </c>
      <c r="E740" s="5">
        <v>5</v>
      </c>
      <c r="F740" s="4" t="str">
        <f ca="1">IFERROR(__xludf.DUMMYFUNCTION("LOWER(REGEXREPLACE(B740&amp;"" ""&amp;C740,""[^а-яa-z0-9 ]"","" ""))"),"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пособствует"&amp;" развитию воображения и социальных навыков ")</f>
        <v xml:space="preserve">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v>
      </c>
      <c r="G740" s="4" t="str">
        <f ca="1">IFERROR(__xludf.DUMMYFUNCTION("TEXTJOIN(""|"",TRUE,UNIQUE(FILTER(SPLIT(F740,"" ""),LEN(SPLIT(F740,"" ""))&gt;2)))"),"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amp;"ых|навыков")</f>
        <v>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v>
      </c>
      <c r="I740" s="1"/>
      <c r="J740" s="1"/>
    </row>
    <row r="741" spans="1:10" x14ac:dyDescent="0.2">
      <c r="A741" s="8" t="s">
        <v>1420</v>
      </c>
      <c r="B741" s="7" t="s">
        <v>1419</v>
      </c>
      <c r="C741" s="7" t="s">
        <v>1418</v>
      </c>
      <c r="D741" s="6">
        <v>28500</v>
      </c>
      <c r="E741" s="5">
        <v>4</v>
      </c>
      <c r="F741" s="4" t="str">
        <f ca="1">IFERROR(__xludf.DUMMYFUNCTION("LOWER(REGEXREPLACE(B741&amp;"" ""&amp;C741,""[^а-яa-z0-9 ]"","" ""))"),"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f>
        <v xml:space="preserve">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v>
      </c>
      <c r="G741" s="4" t="str">
        <f ca="1">IFERROR(__xludf.DUMMYFUNCTION("TEXTJOIN(""|"",TRUE,UNIQUE(FILTER(SPLIT(F741,"" ""),LEN(SPLIT(F741,"" ""))&gt;2)))"),"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f>
        <v>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v>
      </c>
      <c r="I741" s="1"/>
      <c r="J741" s="1"/>
    </row>
    <row r="742" spans="1:10" x14ac:dyDescent="0.2">
      <c r="A742" s="8" t="s">
        <v>1417</v>
      </c>
      <c r="B742" s="7" t="s">
        <v>1416</v>
      </c>
      <c r="C742" s="7" t="s">
        <v>1415</v>
      </c>
      <c r="D742" s="6">
        <v>665000</v>
      </c>
      <c r="E742" s="5">
        <v>1</v>
      </c>
      <c r="F742" s="4" t="str">
        <f ca="1">IFERROR(__xludf.DUMMYFUNCTION("LOWER(REGEXREPLACE(B742&amp;"" ""&amp;C742,""[^а-яa-z0-9 ]"","" ""))"),"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сенсорны"&amp;"х и релаксационных зонах     ")</f>
        <v xml:space="preserve">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v>
      </c>
      <c r="G742" s="4" t="str">
        <f ca="1">IFERROR(__xludf.DUMMYFUNCTION("TEXTJOIN(""|"",TRUE,UNIQUE(FILTER(SPLIT(F742,"" ""),LEN(SPLIT(F742,"" ""))&gt;2)))"),"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f>
        <v>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v>
      </c>
      <c r="I742" s="1"/>
      <c r="J742" s="1"/>
    </row>
    <row r="743" spans="1:10" x14ac:dyDescent="0.2">
      <c r="A743" s="8" t="s">
        <v>1414</v>
      </c>
      <c r="B743" s="7" t="s">
        <v>1413</v>
      </c>
      <c r="C743" s="7" t="s">
        <v>1412</v>
      </c>
      <c r="D743" s="6">
        <v>3100</v>
      </c>
      <c r="E743" s="5">
        <v>175</v>
      </c>
      <c r="F743" s="4" t="str">
        <f ca="1">IFERROR(__xludf.DUMMYFUNCTION("LOWER(REGEXREPLACE(B743&amp;"" ""&amp;C743,""[^а-яa-z0-9 ]"","" ""))"),"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f>
        <v xml:space="preserve">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v>
      </c>
      <c r="G743" s="4" t="str">
        <f ca="1">IFERROR(__xludf.DUMMYFUNCTION("TEXTJOIN(""|"",TRUE,UNIQUE(FILTER(SPLIT(F743,"" ""),LEN(SPLIT(F743,"" ""))&gt;2)))"),"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f>
        <v>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v>
      </c>
      <c r="I743" s="1"/>
      <c r="J743" s="1"/>
    </row>
    <row r="744" spans="1:10" x14ac:dyDescent="0.2">
      <c r="A744" s="8" t="s">
        <v>1411</v>
      </c>
      <c r="B744" s="7" t="s">
        <v>1410</v>
      </c>
      <c r="C744" s="7" t="s">
        <v>1409</v>
      </c>
      <c r="D744" s="6">
        <v>437000</v>
      </c>
      <c r="E744" s="5">
        <v>1</v>
      </c>
      <c r="F744" s="4" t="str">
        <f ca="1">IFERROR(__xludf.DUMMYFUNCTION("LOWER(REGEXREPLACE(B744&amp;"" ""&amp;C744,""[^а-яa-z0-9 ]"","" ""))"),"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подсветк"&amp;"ой с возможностью выбора режимов   иаметр колонны   не менее 10 см  высота   не менее 120 см ")</f>
        <v xml:space="preserve">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v>
      </c>
      <c r="G744" s="4" t="str">
        <f ca="1">IFERROR(__xludf.DUMMYFUNCTION("TEXTJOIN(""|"",TRUE,UNIQUE(FILTER(SPLIT(F744,"" ""),LEN(SPLIT(F744,"" ""))&gt;2)))"),"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amp;"бора|режимов|иаметр|колонны|менее|высота|менее|120")</f>
        <v>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v>
      </c>
      <c r="I744" s="1"/>
      <c r="J744" s="1"/>
    </row>
    <row r="745" spans="1:10" x14ac:dyDescent="0.2">
      <c r="A745" s="8" t="s">
        <v>1408</v>
      </c>
      <c r="B745" s="7" t="s">
        <v>1407</v>
      </c>
      <c r="C745" s="7" t="s">
        <v>1406</v>
      </c>
      <c r="D745" s="6">
        <v>129200</v>
      </c>
      <c r="E745" s="5">
        <v>2</v>
      </c>
      <c r="F745" s="4" t="str">
        <f ca="1">IFERROR(__xludf.DUMMYFUNCTION("LOWER(REGEXREPLACE(B745&amp;"" ""&amp;C745,""[^а-яa-z0-9 ]"","" ""))"),"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дв"&amp;"ижений ")</f>
        <v xml:space="preserve">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v>
      </c>
      <c r="G745" s="4" t="str">
        <f ca="1">IFERROR(__xludf.DUMMYFUNCTION("TEXTJOIN(""|"",TRUE,UNIQUE(FILTER(SPLIT(F745,"" ""),LEN(SPLIT(F745,"" ""))&gt;2)))"),"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f>
        <v>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v>
      </c>
      <c r="I745" s="1"/>
      <c r="J745" s="1"/>
    </row>
    <row r="746" spans="1:10" x14ac:dyDescent="0.2">
      <c r="A746" s="8" t="s">
        <v>1405</v>
      </c>
      <c r="B746" s="7" t="s">
        <v>1404</v>
      </c>
      <c r="C746" s="7" t="s">
        <v>1403</v>
      </c>
      <c r="D746" s="6">
        <v>76000</v>
      </c>
      <c r="E746" s="5">
        <v>1</v>
      </c>
      <c r="F746" s="4" t="str">
        <f ca="1">IFERROR(__xludf.DUMMYFUNCTION("LOWER(REGEXREPLACE(B746&amp;"" ""&amp;C746,""[^а-яa-z0-9 ]"","" ""))"),"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эффектов"&amp;"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f>
        <v xml:space="preserve">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v>
      </c>
      <c r="G746" s="4" t="str">
        <f ca="1">IFERROR(__xludf.DUMMYFUNCTION("TEXTJOIN(""|"",TRUE,UNIQUE(FILTER(SPLIT(F746,"" ""),LEN(SPLIT(F746,"" ""))&gt;2)))"),"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amp;"вления|встроенный|luetooth|динамик|воспроизводит|звуки|природы|прибой|дождь|гроза|ночной|лес|спользуется|сенсорных|релаксационных|психологических|зонах")</f>
        <v>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v>
      </c>
      <c r="I746" s="1"/>
      <c r="J746" s="1"/>
    </row>
    <row r="747" spans="1:10" x14ac:dyDescent="0.2">
      <c r="A747" s="8" t="s">
        <v>1402</v>
      </c>
      <c r="B747" s="7" t="s">
        <v>1401</v>
      </c>
      <c r="C747" s="7" t="s">
        <v>1400</v>
      </c>
      <c r="D747" s="6">
        <v>9000</v>
      </c>
      <c r="E747" s="5">
        <v>45</v>
      </c>
      <c r="F747" s="4" t="str">
        <f ca="1">IFERROR(__xludf.DUMMYFUNCTION("LOWER(REGEXREPLACE(B747&amp;"" ""&amp;C747,""[^а-яa-z0-9 ]"","" ""))"),"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f>
        <v xml:space="preserve">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v>
      </c>
      <c r="G747" s="4" t="str">
        <f ca="1">IFERROR(__xludf.DUMMYFUNCTION("TEXTJOIN(""|"",TRUE,UNIQUE(FILTER(SPLIT(F747,"" ""),LEN(SPLIT(F747,"" ""))&gt;2)))"),"розрачные|контейнеры|розрачные|пластиковые|контейнеры|предназначены|для|хранения|систематизации|дидактических|материалов|игрушек|принадлежностей")</f>
        <v>розрачные|контейнеры|розрачные|пластиковые|контейнеры|предназначены|для|хранения|систематизации|дидактических|материалов|игрушек|принадлежностей</v>
      </c>
      <c r="I747" s="1"/>
      <c r="J747" s="1"/>
    </row>
    <row r="748" spans="1:10" x14ac:dyDescent="0.2">
      <c r="A748" s="8" t="s">
        <v>1399</v>
      </c>
      <c r="B748" s="7" t="s">
        <v>1398</v>
      </c>
      <c r="C748" s="7" t="s">
        <v>1397</v>
      </c>
      <c r="D748" s="6">
        <v>30600</v>
      </c>
      <c r="E748" s="5">
        <v>30</v>
      </c>
      <c r="F748" s="4" t="str">
        <f ca="1">IFERROR(__xludf.DUMMYFUNCTION("LOWER(REGEXREPLACE(B748&amp;"" ""&amp;C748,""[^а-яa-z0-9 ]"","" ""))"),"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"&amp;"винилискожа  экокожа    репление скрытое  края закругл нные   стойчивы к дезинфекции  гипоаллергенные  соответствуют требованиям использования в     ")</f>
        <v xml:space="preserve">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v>
      </c>
      <c r="G748" s="4" t="str">
        <f ca="1">IFERROR(__xludf.DUMMYFUNCTION("TEXTJOIN(""|"",TRUE,UNIQUE(FILTER(SPLIT(F748,"" ""),LEN(SPLIT(F748,"" ""))&gt;2)))"),"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amp;"рытое|края|закругл|нные|стойчивы|дезинфекции|гипоаллергенные|соответствуют|требованиям|использования")</f>
        <v>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v>
      </c>
      <c r="I748" s="1"/>
      <c r="J748" s="1"/>
    </row>
    <row r="749" spans="1:10" x14ac:dyDescent="0.2">
      <c r="A749" s="8" t="s">
        <v>1396</v>
      </c>
      <c r="B749" s="7" t="s">
        <v>1395</v>
      </c>
      <c r="C749" s="7" t="s">
        <v>1394</v>
      </c>
      <c r="D749" s="6">
        <v>13500</v>
      </c>
      <c r="E749" s="5">
        <v>2</v>
      </c>
      <c r="F749" s="4" t="str">
        <f ca="1">IFERROR(__xludf.DUMMYFUNCTION("LOWER(REGEXREPLACE(B749&amp;"" ""&amp;C749,""[^а-яa-z0-9 ]"","" ""))")," узырь для льда  спользуется для местного охлаждения при ушибах и других медицинских показаниях ")</f>
        <v xml:space="preserve"> узырь для льда  спользуется для местного охлаждения при ушибах и других медицинских показаниях </v>
      </c>
      <c r="G749" s="4" t="str">
        <f ca="1">IFERROR(__xludf.DUMMYFUNCTION("TEXTJOIN(""|"",TRUE,UNIQUE(FILTER(SPLIT(F749,"" ""),LEN(SPLIT(F749,"" ""))&gt;2)))"),"узырь|для|льда|спользуется|для|местного|охлаждения|при|ушибах|других|медицинских|показаниях")</f>
        <v>узырь|для|льда|спользуется|для|местного|охлаждения|при|ушибах|других|медицинских|показаниях</v>
      </c>
      <c r="I749" s="1"/>
      <c r="J749" s="1"/>
    </row>
    <row r="750" spans="1:10" x14ac:dyDescent="0.2">
      <c r="A750" s="8" t="s">
        <v>1393</v>
      </c>
      <c r="B750" s="7" t="s">
        <v>1392</v>
      </c>
      <c r="C750" s="7" t="s">
        <v>1391</v>
      </c>
      <c r="D750" s="6">
        <v>2000</v>
      </c>
      <c r="E750" s="5">
        <v>1</v>
      </c>
      <c r="F750" s="4" t="str">
        <f ca="1">IFERROR(__xludf.DUMMYFUNCTION("LOWER(REGEXREPLACE(B750&amp;"" ""&amp;C750,""[^а-яa-z0-9 ]"","" ""))"),"  шайман  едора  уковский   ")</f>
        <v xml:space="preserve">  шайман  едора  уковский   </v>
      </c>
      <c r="G750" s="4" t="str">
        <f ca="1">IFERROR(__xludf.DUMMYFUNCTION("TEXTJOIN(""|"",TRUE,UNIQUE(FILTER(SPLIT(F750,"" ""),LEN(SPLIT(F750,"" ""))&gt;2)))"),"шайман|едора|уковский")</f>
        <v>шайман|едора|уковский</v>
      </c>
      <c r="I750" s="1"/>
      <c r="J750" s="1"/>
    </row>
    <row r="751" spans="1:10" x14ac:dyDescent="0.2">
      <c r="A751" s="8" t="s">
        <v>1390</v>
      </c>
      <c r="B751" s="7" t="s">
        <v>1389</v>
      </c>
      <c r="C751" s="7" t="s">
        <v>1388</v>
      </c>
      <c r="D751" s="6">
        <v>8500</v>
      </c>
      <c r="E751" s="5">
        <v>5</v>
      </c>
      <c r="F751" s="4" t="str">
        <f ca="1">IFERROR(__xludf.DUMMYFUNCTION("LOWER(REGEXREPLACE(B751&amp;"" ""&amp;C751,""[^а-яa-z0-9 ]"","" ""))"),"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ос"&amp;"новы  7 5 23 см    комплекте 31 фишка ")</f>
        <v xml:space="preserve">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v>
      </c>
      <c r="G751" s="4" t="str">
        <f ca="1">IFERROR(__xludf.DUMMYFUNCTION("TEXTJOIN(""|"",TRUE,UNIQUE(FILTER(SPLIT(F751,"" ""),LEN(SPLIT(F751,"" ""))&gt;2)))"),"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f>
        <v>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v>
      </c>
      <c r="I751" s="1"/>
      <c r="J751" s="1"/>
    </row>
    <row r="752" spans="1:10" x14ac:dyDescent="0.2">
      <c r="A752" s="8" t="s">
        <v>1387</v>
      </c>
      <c r="B752" s="7" t="s">
        <v>1386</v>
      </c>
      <c r="C752" s="7" t="s">
        <v>1385</v>
      </c>
      <c r="D752" s="6">
        <v>1500</v>
      </c>
      <c r="E752" s="5">
        <v>7</v>
      </c>
      <c r="F752" s="4" t="str">
        <f ca="1">IFERROR(__xludf.DUMMYFUNCTION("LOWER(REGEXREPLACE(B752&amp;"" ""&amp;C752,""[^а-яa-z0-9 ]"","" ""))"),"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f>
        <v xml:space="preserve">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v>
      </c>
      <c r="G752" s="4" t="str">
        <f ca="1">IFERROR(__xludf.DUMMYFUNCTION("TEXTJOIN(""|"",TRUE,UNIQUE(FILTER(SPLIT(F752,"" ""),LEN(SPLIT(F752,"" ""))&gt;2)))"),"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f>
        <v>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v>
      </c>
      <c r="I752" s="1"/>
      <c r="J752" s="1"/>
    </row>
    <row r="753" spans="1:10" x14ac:dyDescent="0.2">
      <c r="A753" s="8" t="s">
        <v>1384</v>
      </c>
      <c r="B753" s="7" t="s">
        <v>1383</v>
      </c>
      <c r="C753" s="7" t="s">
        <v>1382</v>
      </c>
      <c r="D753" s="6">
        <v>6100</v>
      </c>
      <c r="E753" s="5">
        <v>7</v>
      </c>
      <c r="F753" s="4" t="str">
        <f ca="1">IFERROR(__xludf.DUMMYFUNCTION("LOWER(REGEXREPLACE(B753&amp;"" ""&amp;C753,""[^а-яa-z0-9 ]"","" ""))"),"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р"&amp;"азвивая внимание  память и координацию движений ")</f>
        <v xml:space="preserve">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v>
      </c>
      <c r="G753" s="4" t="str">
        <f ca="1">IFERROR(__xludf.DUMMYFUNCTION("TEXTJOIN(""|"",TRUE,UNIQUE(FILTER(SPLIT(F753,"" ""),LEN(SPLIT(F753,"" ""))&gt;2)))"),"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amp;"цию|движений")</f>
        <v>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v>
      </c>
      <c r="I753" s="1"/>
      <c r="J753" s="1"/>
    </row>
    <row r="754" spans="1:10" x14ac:dyDescent="0.2">
      <c r="A754" s="8" t="s">
        <v>1381</v>
      </c>
      <c r="B754" s="7" t="s">
        <v>1380</v>
      </c>
      <c r="C754" s="7" t="s">
        <v>1379</v>
      </c>
      <c r="D754" s="6">
        <v>3300</v>
      </c>
      <c r="E754" s="5">
        <v>5</v>
      </c>
      <c r="F754" s="4" t="str">
        <f ca="1">IFERROR(__xludf.DUMMYFUNCTION("LOWER(REGEXREPLACE(B754&amp;"" ""&amp;C754,""[^а-яa-z0-9 ]"","" ""))"),"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дея"&amp;"тельности     ")</f>
        <v xml:space="preserve">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v>
      </c>
      <c r="G754" s="4" t="str">
        <f ca="1">IFERROR(__xludf.DUMMYFUNCTION("TEXTJOIN(""|"",TRUE,UNIQUE(FILTER(SPLIT(F754,"" ""),LEN(SPLIT(F754,"" ""))&gt;2)))"),"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f>
        <v>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v>
      </c>
      <c r="I754" s="1"/>
      <c r="J754" s="1"/>
    </row>
    <row r="755" spans="1:10" x14ac:dyDescent="0.2">
      <c r="A755" s="8" t="s">
        <v>1378</v>
      </c>
      <c r="B755" s="7" t="s">
        <v>1377</v>
      </c>
      <c r="C755" s="7" t="s">
        <v>1376</v>
      </c>
      <c r="D755" s="6">
        <v>2900</v>
      </c>
      <c r="E755" s="5">
        <v>20</v>
      </c>
      <c r="F755" s="4" t="str">
        <f ca="1">IFERROR(__xludf.DUMMYFUNCTION("LOWER(REGEXREPLACE(B755&amp;"" ""&amp;C755,""[^а-яa-z0-9 ]"","" ""))"),"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творче"&amp;"ских работ ")</f>
        <v xml:space="preserve">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v>
      </c>
      <c r="G755" s="4" t="str">
        <f ca="1">IFERROR(__xludf.DUMMYFUNCTION("TEXTJOIN(""|"",TRUE,UNIQUE(FILTER(SPLIT(F755,"" ""),LEN(SPLIT(F755,"" ""))&gt;2)))"),"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f>
        <v>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v>
      </c>
      <c r="I755" s="1"/>
      <c r="J755" s="1"/>
    </row>
    <row r="756" spans="1:10" x14ac:dyDescent="0.2">
      <c r="A756" s="8" t="s">
        <v>1375</v>
      </c>
      <c r="B756" s="7" t="s">
        <v>1374</v>
      </c>
      <c r="C756" s="7" t="s">
        <v>1373</v>
      </c>
      <c r="D756" s="6">
        <v>17100</v>
      </c>
      <c r="E756" s="5">
        <v>1</v>
      </c>
      <c r="F756" s="4" t="str">
        <f ca="1">IFERROR(__xludf.DUMMYFUNCTION("LOWER(REGEXREPLACE(B756&amp;"" ""&amp;C756,""[^а-яa-z0-9 ]"","" ""))"),"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математических"&amp;" представлений ")</f>
        <v xml:space="preserve">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v>
      </c>
      <c r="G756" s="4" t="str">
        <f ca="1">IFERROR(__xludf.DUMMYFUNCTION("TEXTJOIN(""|"",TRUE,UNIQUE(FILTER(SPLIT(F756,"" ""),LEN(SPLIT(F756,"" ""))&gt;2)))"),"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f>
        <v>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v>
      </c>
      <c r="I756" s="1"/>
      <c r="J756" s="1"/>
    </row>
    <row r="757" spans="1:10" x14ac:dyDescent="0.2">
      <c r="A757" s="8" t="s">
        <v>1372</v>
      </c>
      <c r="B757" s="7" t="s">
        <v>1371</v>
      </c>
      <c r="C757" s="7" t="s">
        <v>1370</v>
      </c>
      <c r="D757" s="6">
        <v>12700</v>
      </c>
      <c r="E757" s="5">
        <v>10</v>
      </c>
      <c r="F757" s="4" t="str">
        <f ca="1">IFERROR(__xludf.DUMMYFUNCTION("LOWER(REGEXREPLACE(B757&amp;"" ""&amp;C757,""[^а-яa-z0-9 ]"","" ""))"),"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f>
        <v xml:space="preserve">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v>
      </c>
      <c r="G757" s="4" t="str">
        <f ca="1">IFERROR(__xludf.DUMMYFUNCTION("TEXTJOIN(""|"",TRUE,UNIQUE(FILTER(SPLIT(F757,"" ""),LEN(SPLIT(F757,"" ""))&gt;2)))"),"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f>
        <v>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v>
      </c>
      <c r="I757" s="1"/>
      <c r="J757" s="1"/>
    </row>
    <row r="758" spans="1:10" x14ac:dyDescent="0.2">
      <c r="A758" s="8" t="s">
        <v>1369</v>
      </c>
      <c r="B758" s="7" t="s">
        <v>1368</v>
      </c>
      <c r="C758" s="7" t="s">
        <v>1367</v>
      </c>
      <c r="D758" s="6">
        <v>12900</v>
      </c>
      <c r="E758" s="5">
        <v>1</v>
      </c>
      <c r="F758" s="4" t="str">
        <f ca="1">IFERROR(__xludf.DUMMYFUNCTION("LOWER(REGEXREPLACE(B758&amp;"" ""&amp;C758,""[^а-яa-z0-9 ]"","" ""))"),"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f>
        <v xml:space="preserve">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v>
      </c>
      <c r="G758" s="4" t="str">
        <f ca="1">IFERROR(__xludf.DUMMYFUNCTION("TEXTJOIN(""|"",TRUE,UNIQUE(FILTER(SPLIT(F758,"" ""),LEN(SPLIT(F758,"" ""))&gt;2)))"),"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f>
        <v>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v>
      </c>
      <c r="I758" s="1"/>
      <c r="J758" s="1"/>
    </row>
    <row r="759" spans="1:10" x14ac:dyDescent="0.2">
      <c r="A759" s="8" t="s">
        <v>1366</v>
      </c>
      <c r="B759" s="7" t="s">
        <v>1365</v>
      </c>
      <c r="C759" s="7" t="s">
        <v>1364</v>
      </c>
      <c r="D759" s="6">
        <v>79800</v>
      </c>
      <c r="E759" s="5">
        <v>10</v>
      </c>
      <c r="F759" s="4" t="str">
        <f ca="1">IFERROR(__xludf.DUMMYFUNCTION("LOWER(REGEXREPLACE(B759&amp;"" ""&amp;C759,""[^а-яa-z0-9 ]"","" ""))"),"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f>
        <v xml:space="preserve">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v>
      </c>
      <c r="G759" s="4" t="str">
        <f ca="1">IFERROR(__xludf.DUMMYFUNCTION("TEXTJOIN(""|"",TRUE,UNIQUE(FILTER(SPLIT(F759,"" ""),LEN(SPLIT(F759,"" ""))&gt;2)))"),"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f>
        <v>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v>
      </c>
      <c r="I759" s="1"/>
      <c r="J759" s="1"/>
    </row>
    <row r="760" spans="1:10" x14ac:dyDescent="0.2">
      <c r="A760" s="8" t="s">
        <v>1363</v>
      </c>
      <c r="B760" s="7" t="s">
        <v>1362</v>
      </c>
      <c r="C760" s="7" t="s">
        <v>1361</v>
      </c>
      <c r="D760" s="6">
        <v>17300</v>
      </c>
      <c r="E760" s="5">
        <v>5</v>
      </c>
      <c r="F760" s="4" t="str">
        <f ca="1">IFERROR(__xludf.DUMMYFUNCTION("LOWER(REGEXREPLACE(B760&amp;"" ""&amp;C760,""[^а-яa-z0-9 ]"","" ""))"),"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мо"&amp;"торики и элементарных представлений о свойствах веществ   атериалы безопасны для детей ")</f>
        <v xml:space="preserve">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v>
      </c>
      <c r="G760" s="4" t="str">
        <f ca="1">IFERROR(__xludf.DUMMYFUNCTION("TEXTJOIN(""|"",TRUE,UNIQUE(FILTER(SPLIT(F760,"" ""),LEN(SPLIT(F760,"" ""))&gt;2)))"),"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amp;"влений|свойствах|веществ|атериалы|безопасны|для|детей")</f>
        <v>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v>
      </c>
      <c r="I760" s="1"/>
      <c r="J760" s="1"/>
    </row>
    <row r="761" spans="1:10" x14ac:dyDescent="0.2">
      <c r="A761" s="8" t="s">
        <v>1360</v>
      </c>
      <c r="B761" s="7" t="s">
        <v>1359</v>
      </c>
      <c r="C761" s="7" t="s">
        <v>1358</v>
      </c>
      <c r="D761" s="6">
        <v>85500</v>
      </c>
      <c r="E761" s="5">
        <v>5</v>
      </c>
      <c r="F761" s="4" t="str">
        <f ca="1">IFERROR(__xludf.DUMMYFUNCTION("LOWER(REGEXREPLACE(B761&amp;"" ""&amp;C761,""[^а-яa-z0-9 ]"","" ""))"),"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"&amp;"подставкой  две малые пробирки с крышками  карточки с заданиями   спользуется для развития исследовательских навыков и познавательного интереса ")</f>
        <v xml:space="preserve">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v>
      </c>
      <c r="G761" s="4" t="str">
        <f ca="1">IFERROR(__xludf.DUMMYFUNCTION("TEXTJOIN(""|"",TRUE,UNIQUE(FILTER(SPLIT(F761,"" ""),LEN(SPLIT(F761,"" ""))&gt;2)))"),"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amp;"ышками|карточки|заданиями|спользуется|для|развития|исследовательских|навыков|познавательного|интереса")</f>
        <v>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v>
      </c>
      <c r="I761" s="1"/>
      <c r="J761" s="1"/>
    </row>
    <row r="762" spans="1:10" x14ac:dyDescent="0.2">
      <c r="A762" s="8" t="s">
        <v>1357</v>
      </c>
      <c r="B762" s="7" t="s">
        <v>1356</v>
      </c>
      <c r="C762" s="7" t="s">
        <v>1355</v>
      </c>
      <c r="D762" s="6">
        <v>66500</v>
      </c>
      <c r="E762" s="5">
        <v>10</v>
      </c>
      <c r="F762" s="4" t="str">
        <f ca="1">IFERROR(__xludf.DUMMYFUNCTION("LOWER(REGEXREPLACE(B762&amp;"" ""&amp;C762,""[^а-яa-z0-9 ]"","" ""))"),"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"&amp;"мышления и математических представлений ")</f>
        <v xml:space="preserve">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v>
      </c>
      <c r="G762" s="4" t="str">
        <f ca="1">IFERROR(__xludf.DUMMYFUNCTION("TEXTJOIN(""|"",TRUE,UNIQUE(FILTER(SPLIT(F762,"" ""),LEN(SPLIT(F762,"" ""))&gt;2)))"),"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amp;"тавлений")</f>
        <v>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v>
      </c>
      <c r="I762" s="1"/>
      <c r="J762" s="1"/>
    </row>
    <row r="763" spans="1:10" x14ac:dyDescent="0.2">
      <c r="A763" s="8" t="s">
        <v>1354</v>
      </c>
      <c r="B763" s="7" t="s">
        <v>1353</v>
      </c>
      <c r="C763" s="7" t="s">
        <v>1352</v>
      </c>
      <c r="D763" s="6">
        <v>5700</v>
      </c>
      <c r="E763" s="5">
        <v>14</v>
      </c>
      <c r="F763" s="4" t="str">
        <f ca="1">IFERROR(__xludf.DUMMYFUNCTION("LOWER(REGEXREPLACE(B763&amp;"" ""&amp;C763,""[^а-яa-z0-9 ]"","" ""))"),"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f>
        <v xml:space="preserve">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v>
      </c>
      <c r="G763" s="4" t="str">
        <f ca="1">IFERROR(__xludf.DUMMYFUNCTION("TEXTJOIN(""|"",TRUE,UNIQUE(FILTER(SPLIT(F763,"" ""),LEN(SPLIT(F763,"" ""))&gt;2)))"),"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f>
        <v>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v>
      </c>
      <c r="I763" s="1"/>
      <c r="J763" s="1"/>
    </row>
    <row r="764" spans="1:10" x14ac:dyDescent="0.2">
      <c r="A764" s="8" t="s">
        <v>1351</v>
      </c>
      <c r="B764" s="7" t="s">
        <v>1350</v>
      </c>
      <c r="C764" s="7" t="s">
        <v>1349</v>
      </c>
      <c r="D764" s="6">
        <v>10600</v>
      </c>
      <c r="E764" s="5">
        <v>7</v>
      </c>
      <c r="F764" s="4" t="str">
        <f ca="1">IFERROR(__xludf.DUMMYFUNCTION("LOWER(REGEXREPLACE(B764&amp;"" ""&amp;C764,""[^а-яa-z0-9 ]"","" ""))"),"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f>
        <v xml:space="preserve">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v>
      </c>
      <c r="G764" s="4" t="str">
        <f ca="1">IFERROR(__xludf.DUMMYFUNCTION("TEXTJOIN(""|"",TRUE,UNIQUE(FILTER(SPLIT(F764,"" ""),LEN(SPLIT(F764,"" ""))&gt;2)))"),"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f>
        <v>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v>
      </c>
      <c r="I764" s="1"/>
      <c r="J764" s="1"/>
    </row>
    <row r="765" spans="1:10" x14ac:dyDescent="0.2">
      <c r="A765" s="8" t="s">
        <v>1348</v>
      </c>
      <c r="B765" s="7" t="s">
        <v>1347</v>
      </c>
      <c r="C765" s="7" t="s">
        <v>1346</v>
      </c>
      <c r="D765" s="6">
        <v>16200</v>
      </c>
      <c r="E765" s="5">
        <v>2</v>
      </c>
      <c r="F765" s="4" t="str">
        <f ca="1">IFERROR(__xludf.DUMMYFUNCTION("LOWER(REGEXREPLACE(B765&amp;"" ""&amp;C765,""[^а-яa-z0-9 ]"","" ""))"),"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f>
        <v xml:space="preserve">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v>
      </c>
      <c r="G765" s="4" t="str">
        <f ca="1">IFERROR(__xludf.DUMMYFUNCTION("TEXTJOIN(""|"",TRUE,UNIQUE(FILTER(SPLIT(F765,"" ""),LEN(SPLIT(F765,"" ""))&gt;2)))"),"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f>
        <v>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v>
      </c>
      <c r="I765" s="1"/>
      <c r="J765" s="1"/>
    </row>
    <row r="766" spans="1:10" x14ac:dyDescent="0.2">
      <c r="A766" s="8" t="s">
        <v>1345</v>
      </c>
      <c r="B766" s="7" t="s">
        <v>1344</v>
      </c>
      <c r="C766" s="7" t="s">
        <v>1343</v>
      </c>
      <c r="D766" s="6">
        <v>3100</v>
      </c>
      <c r="E766" s="5">
        <v>2</v>
      </c>
      <c r="F766" s="4" t="str">
        <f ca="1">IFERROR(__xludf.DUMMYFUNCTION("LOWER(REGEXREPLACE(B766&amp;"" ""&amp;C766,""[^а-яa-z0-9 ]"","" ""))"),"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двигател"&amp;"ьной активности ")</f>
        <v xml:space="preserve">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v>
      </c>
      <c r="G766" s="4" t="str">
        <f ca="1">IFERROR(__xludf.DUMMYFUNCTION("TEXTJOIN(""|"",TRUE,UNIQUE(FILTER(SPLIT(F766,"" ""),LEN(SPLIT(F766,"" ""))&gt;2)))"),"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f>
        <v>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v>
      </c>
      <c r="I766" s="1"/>
      <c r="J766" s="1"/>
    </row>
    <row r="767" spans="1:10" x14ac:dyDescent="0.2">
      <c r="A767" s="8" t="s">
        <v>1342</v>
      </c>
      <c r="B767" s="7" t="s">
        <v>1341</v>
      </c>
      <c r="C767" s="7" t="s">
        <v>1340</v>
      </c>
      <c r="D767" s="6">
        <v>6700</v>
      </c>
      <c r="E767" s="5">
        <v>2</v>
      </c>
      <c r="F767" s="4" t="str">
        <f ca="1">IFERROR(__xludf.DUMMYFUNCTION("LOWER(REGEXREPLACE(B767&amp;"" ""&amp;C767,""[^а-яa-z0-9 ]"","" ""))"),"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f>
        <v xml:space="preserve">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v>
      </c>
      <c r="G767" s="4" t="str">
        <f ca="1">IFERROR(__xludf.DUMMYFUNCTION("TEXTJOIN(""|"",TRUE,UNIQUE(FILTER(SPLIT(F767,"" ""),LEN(SPLIT(F767,"" ""))&gt;2)))"),"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f>
        <v>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v>
      </c>
      <c r="I767" s="1"/>
      <c r="J767" s="1"/>
    </row>
    <row r="768" spans="1:10" x14ac:dyDescent="0.2">
      <c r="A768" s="8" t="s">
        <v>1339</v>
      </c>
      <c r="B768" s="7" t="s">
        <v>1338</v>
      </c>
      <c r="C768" s="7" t="s">
        <v>1337</v>
      </c>
      <c r="D768" s="6">
        <v>4300</v>
      </c>
      <c r="E768" s="5">
        <v>5</v>
      </c>
      <c r="F768" s="4" t="str">
        <f ca="1">IFERROR(__xludf.DUMMYFUNCTION("LOWER(REGEXREPLACE(B768&amp;"" ""&amp;C768,""[^а-яa-z0-9 ]"","" ""))"),"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f>
        <v xml:space="preserve">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v>
      </c>
      <c r="G768" s="4" t="str">
        <f ca="1">IFERROR(__xludf.DUMMYFUNCTION("TEXTJOIN(""|"",TRUE,UNIQUE(FILTER(SPLIT(F768,"" ""),LEN(SPLIT(F768,"" ""))&gt;2)))"),"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f>
        <v>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v>
      </c>
      <c r="I768" s="1"/>
      <c r="J768" s="1"/>
    </row>
    <row r="769" spans="1:10" x14ac:dyDescent="0.2">
      <c r="A769" s="8" t="s">
        <v>1336</v>
      </c>
      <c r="B769" s="7" t="s">
        <v>1335</v>
      </c>
      <c r="C769" s="7" t="s">
        <v>1334</v>
      </c>
      <c r="D769" s="6">
        <v>8600</v>
      </c>
      <c r="E769" s="5">
        <v>7</v>
      </c>
      <c r="F769" s="4" t="str">
        <f ca="1">IFERROR(__xludf.DUMMYFUNCTION("LOWER(REGEXREPLACE(B769&amp;"" ""&amp;C769,""[^а-яa-z0-9 ]"","" ""))"),"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f>
        <v xml:space="preserve">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v>
      </c>
      <c r="G769" s="4" t="str">
        <f ca="1">IFERROR(__xludf.DUMMYFUNCTION("TEXTJOIN(""|"",TRUE,UNIQUE(FILTER(SPLIT(F769,"" ""),LEN(SPLIT(F769,"" ""))&gt;2)))"),"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f>
        <v>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v>
      </c>
      <c r="I769" s="1"/>
      <c r="J769" s="1"/>
    </row>
    <row r="770" spans="1:10" x14ac:dyDescent="0.2">
      <c r="A770" s="8" t="s">
        <v>1333</v>
      </c>
      <c r="B770" s="7" t="s">
        <v>1332</v>
      </c>
      <c r="C770" s="7" t="s">
        <v>1331</v>
      </c>
      <c r="D770" s="6">
        <v>5700</v>
      </c>
      <c r="E770" s="5">
        <v>1</v>
      </c>
      <c r="F770" s="4" t="str">
        <f ca="1">IFERROR(__xludf.DUMMYFUNCTION("LOWER(REGEXREPLACE(B770&amp;"" ""&amp;C770,""[^а-яa-z0-9 ]"","" ""))"),"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f>
        <v xml:space="preserve">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v>
      </c>
      <c r="G770" s="4" t="str">
        <f ca="1">IFERROR(__xludf.DUMMYFUNCTION("TEXTJOIN(""|"",TRUE,UNIQUE(FILTER(SPLIT(F770,"" ""),LEN(SPLIT(F770,"" ""))&gt;2)))"),"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f>
        <v>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v>
      </c>
      <c r="I770" s="1"/>
      <c r="J770" s="1"/>
    </row>
    <row r="771" spans="1:10" x14ac:dyDescent="0.2">
      <c r="A771" s="8" t="s">
        <v>1330</v>
      </c>
      <c r="B771" s="7" t="s">
        <v>1329</v>
      </c>
      <c r="C771" s="7" t="s">
        <v>1328</v>
      </c>
      <c r="D771" s="6">
        <v>33400</v>
      </c>
      <c r="E771" s="5">
        <v>1</v>
      </c>
      <c r="F771" s="4" t="str">
        <f ca="1">IFERROR(__xludf.DUMMYFUNCTION("LOWER(REGEXREPLACE(B771&amp;"" ""&amp;C771,""[^а-яa-z0-9 ]"","" ""))"),"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f>
        <v xml:space="preserve">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v>
      </c>
      <c r="G771" s="4" t="str">
        <f ca="1">IFERROR(__xludf.DUMMYFUNCTION("TEXTJOIN(""|"",TRUE,UNIQUE(FILTER(SPLIT(F771,"" ""),LEN(SPLIT(F771,"" ""))&gt;2)))"),"азвивающие|карточки|азвивающие|карточки|предназначены|для|запуска|развития|речи|детей|дошкольного|возраста|спользуются|логопедической|коррекционной|работе")</f>
        <v>азвивающие|карточки|азвивающие|карточки|предназначены|для|запуска|развития|речи|детей|дошкольного|возраста|спользуются|логопедической|коррекционной|работе</v>
      </c>
      <c r="I771" s="1"/>
      <c r="J771" s="1"/>
    </row>
    <row r="772" spans="1:10" x14ac:dyDescent="0.2">
      <c r="A772" s="8" t="s">
        <v>1327</v>
      </c>
      <c r="B772" s="7" t="s">
        <v>1326</v>
      </c>
      <c r="C772" s="7" t="s">
        <v>1325</v>
      </c>
      <c r="D772" s="6">
        <v>10800</v>
      </c>
      <c r="E772" s="5">
        <v>1</v>
      </c>
      <c r="F772" s="4" t="str">
        <f ca="1">IFERROR(__xludf.DUMMYFUNCTION("LOWER(REGEXREPLACE(B772&amp;"" ""&amp;C772,""[^а-яa-z0-9 ]"","" ""))"),"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вх"&amp;"одит не менее 50 карточек и буклет с заданиями   атериал подходит для индивидуальной и подгрупповой работы   ассчитан на многократное использование ")</f>
        <v xml:space="preserve">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v>
      </c>
      <c r="G772" s="4" t="str">
        <f ca="1">IFERROR(__xludf.DUMMYFUNCTION("TEXTJOIN(""|"",TRUE,UNIQUE(FILTER(SPLIT(F772,"" ""),LEN(SPLIT(F772,"" ""))&gt;2)))"),"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amp;"т|заданиями|атериал|подходит|для|индивидуальной|подгрупповой|работы|ассчитан|многократное|использование")</f>
        <v>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v>
      </c>
      <c r="I772" s="1"/>
      <c r="J772" s="1"/>
    </row>
    <row r="773" spans="1:10" x14ac:dyDescent="0.2">
      <c r="A773" s="8" t="s">
        <v>1324</v>
      </c>
      <c r="B773" s="7" t="s">
        <v>1323</v>
      </c>
      <c r="C773" s="7" t="s">
        <v>1322</v>
      </c>
      <c r="D773" s="6">
        <v>28500</v>
      </c>
      <c r="E773" s="5">
        <v>1</v>
      </c>
      <c r="F773" s="4" t="str">
        <f ca="1">IFERROR(__xludf.DUMMYFUNCTION("LOWER(REGEXREPLACE(B773&amp;"" ""&amp;C773,""[^а-яa-z0-9 ]"","" ""))"),"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f>
        <v xml:space="preserve">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v>
      </c>
      <c r="G773" s="4" t="str">
        <f ca="1">IFERROR(__xludf.DUMMYFUNCTION("TEXTJOIN(""|"",TRUE,UNIQUE(FILTER(SPLIT(F773,"" ""),LEN(SPLIT(F773,"" ""))&gt;2)))"),"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f>
        <v>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v>
      </c>
      <c r="I773" s="1"/>
      <c r="J773" s="1"/>
    </row>
    <row r="774" spans="1:10" x14ac:dyDescent="0.2">
      <c r="A774" s="8" t="s">
        <v>1321</v>
      </c>
      <c r="B774" s="7" t="s">
        <v>1320</v>
      </c>
      <c r="C774" s="7" t="s">
        <v>1319</v>
      </c>
      <c r="D774" s="6">
        <v>19000</v>
      </c>
      <c r="E774" s="5">
        <v>2</v>
      </c>
      <c r="F774" s="4" t="str">
        <f ca="1">IFERROR(__xludf.DUMMYFUNCTION("LOWER(REGEXREPLACE(B774&amp;"" ""&amp;C774,""[^а-яa-z0-9 ]"","" ""))"),"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f>
        <v xml:space="preserve">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v>
      </c>
      <c r="G774" s="4" t="str">
        <f ca="1">IFERROR(__xludf.DUMMYFUNCTION("TEXTJOIN(""|"",TRUE,UNIQUE(FILTER(SPLIT(F774,"" ""),LEN(SPLIT(F774,"" ""))&gt;2)))"),"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f>
        <v>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v>
      </c>
      <c r="I774" s="1"/>
      <c r="J774" s="1"/>
    </row>
    <row r="775" spans="1:10" x14ac:dyDescent="0.2">
      <c r="A775" s="8" t="s">
        <v>1318</v>
      </c>
      <c r="B775" s="7" t="s">
        <v>1317</v>
      </c>
      <c r="C775" s="7" t="s">
        <v>1316</v>
      </c>
      <c r="D775" s="6">
        <v>22000</v>
      </c>
      <c r="E775" s="5">
        <v>14</v>
      </c>
      <c r="F775" s="4" t="str">
        <f ca="1">IFERROR(__xludf.DUMMYFUNCTION("LOWER(REGEXREPLACE(B775&amp;"" ""&amp;C775,""[^а-яa-z0-9 ]"","" ""))"),"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дет"&amp;"ям от 3 лет ")</f>
        <v xml:space="preserve">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v>
      </c>
      <c r="G775" s="4" t="str">
        <f ca="1">IFERROR(__xludf.DUMMYFUNCTION("TEXTJOIN(""|"",TRUE,UNIQUE(FILTER(SPLIT(F775,"" ""),LEN(SPLIT(F775,"" ""))&gt;2)))"),"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f>
        <v>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v>
      </c>
      <c r="I775" s="1"/>
      <c r="J775" s="1"/>
    </row>
    <row r="776" spans="1:10" x14ac:dyDescent="0.2">
      <c r="A776" s="8" t="s">
        <v>1315</v>
      </c>
      <c r="B776" s="7" t="s">
        <v>1314</v>
      </c>
      <c r="C776" s="7" t="s">
        <v>1313</v>
      </c>
      <c r="D776" s="6">
        <v>12200</v>
      </c>
      <c r="E776" s="5">
        <v>7</v>
      </c>
      <c r="F776" s="4" t="str">
        <f ca="1">IFERROR(__xludf.DUMMYFUNCTION("LOWER(REGEXREPLACE(B776&amp;"" ""&amp;C776,""[^а-яa-z0-9 ]"","" ""))"),"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трогател"&amp;"ьным дизайном   пособствует длительной самостоятельной игровой деятельности и развитию познавательных навыков ")</f>
        <v xml:space="preserve">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v>
      </c>
      <c r="G776" s="4" t="str">
        <f ca="1">IFERROR(__xludf.DUMMYFUNCTION("TEXTJOIN(""|"",TRUE,UNIQUE(FILTER(SPLIT(F776,"" ""),LEN(SPLIT(F776,"" ""))&gt;2)))"),"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amp;"вует|длительной|самостоятельной|игровой|деятельности|развитию|познавательных|навыков")</f>
        <v>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v>
      </c>
      <c r="I776" s="1"/>
      <c r="J776" s="1"/>
    </row>
    <row r="777" spans="1:10" x14ac:dyDescent="0.2">
      <c r="A777" s="8" t="s">
        <v>1312</v>
      </c>
      <c r="B777" s="7" t="s">
        <v>1311</v>
      </c>
      <c r="C777" s="7" t="s">
        <v>1310</v>
      </c>
      <c r="D777" s="6">
        <v>30400</v>
      </c>
      <c r="E777" s="5">
        <v>10</v>
      </c>
      <c r="F777" s="4" t="str">
        <f ca="1">IFERROR(__xludf.DUMMYFUNCTION("LOWER(REGEXREPLACE(B777&amp;"" ""&amp;C777,""[^а-яa-z0-9 ]"","" ""))"),"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мышления"&amp;" и логического анализа   лементы выполнены из прочных материалов ")</f>
        <v xml:space="preserve">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v>
      </c>
      <c r="G777" s="4" t="str">
        <f ca="1">IFERROR(__xludf.DUMMYFUNCTION("TEXTJOIN(""|"",TRUE,UNIQUE(FILTER(SPLIT(F777,"" ""),LEN(SPLIT(F777,"" ""))&gt;2)))"),"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amp;"за|лементы|выполнены|прочных|материалов")</f>
        <v>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v>
      </c>
      <c r="I777" s="1"/>
      <c r="J777" s="1"/>
    </row>
    <row r="778" spans="1:10" x14ac:dyDescent="0.2">
      <c r="A778" s="8" t="s">
        <v>1309</v>
      </c>
      <c r="B778" s="7" t="s">
        <v>1308</v>
      </c>
      <c r="C778" s="7" t="s">
        <v>1307</v>
      </c>
      <c r="D778" s="6">
        <v>5400</v>
      </c>
      <c r="E778" s="5">
        <v>4</v>
      </c>
      <c r="F778" s="4" t="str">
        <f ca="1">IFERROR(__xludf.DUMMYFUNCTION("LOWER(REGEXREPLACE(B778&amp;"" ""&amp;C778,""[^а-яa-z0-9 ]"","" ""))"),"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деяте"&amp;"льности дошкольного учреждения ")</f>
        <v xml:space="preserve">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v>
      </c>
      <c r="G778" s="4" t="str">
        <f ca="1">IFERROR(__xludf.DUMMYFUNCTION("TEXTJOIN(""|"",TRUE,UNIQUE(FILTER(SPLIT(F778,"" ""),LEN(SPLIT(F778,"" ""))&gt;2)))"),"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amp;"чреждения")</f>
        <v>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v>
      </c>
      <c r="I778" s="1"/>
      <c r="J778" s="1"/>
    </row>
    <row r="779" spans="1:10" x14ac:dyDescent="0.2">
      <c r="A779" s="8" t="s">
        <v>1306</v>
      </c>
      <c r="B779" s="7" t="s">
        <v>1305</v>
      </c>
      <c r="C779" s="7" t="s">
        <v>1304</v>
      </c>
      <c r="D779" s="6">
        <v>8900</v>
      </c>
      <c r="E779" s="5">
        <v>7</v>
      </c>
      <c r="F779" s="4" t="str">
        <f ca="1">IFERROR(__xludf.DUMMYFUNCTION("LOWER(REGEXREPLACE(B779&amp;"" ""&amp;C779,""[^а-яa-z0-9 ]"","" ""))"),"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ат"&amp;"ериалы рассчитаны на использование в образовательном процессе ")</f>
        <v xml:space="preserve">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v>
      </c>
      <c r="G779" s="4" t="str">
        <f ca="1">IFERROR(__xludf.DUMMYFUNCTION("TEXTJOIN(""|"",TRUE,UNIQUE(FILTER(SPLIT(F779,"" ""),LEN(SPLIT(F779,"" ""))&gt;2)))"),"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amp;"пользование|образовательном|процессе")</f>
        <v>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v>
      </c>
      <c r="I779" s="1"/>
      <c r="J779" s="1"/>
    </row>
    <row r="780" spans="1:10" x14ac:dyDescent="0.2">
      <c r="A780" s="8" t="s">
        <v>1303</v>
      </c>
      <c r="B780" s="7" t="s">
        <v>1302</v>
      </c>
      <c r="C780" s="7" t="s">
        <v>1301</v>
      </c>
      <c r="D780" s="6">
        <v>12600</v>
      </c>
      <c r="E780" s="5">
        <v>7</v>
      </c>
      <c r="F780" s="4" t="str">
        <f ca="1">IFERROR(__xludf.DUMMYFUNCTION("LOWER(REGEXREPLACE(B780&amp;"" ""&amp;C780,""[^а-яa-z0-9 ]"","" ""))"),"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комбиниров"&amp;"анию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транспор"&amp;"тным средством   акая деятельность способствует развитию воображения и представлений о транспорте   зделие выполнено из прочных материалов ")</f>
        <v xml:space="preserve">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v>
      </c>
      <c r="G780" s="4" t="str">
        <f ca="1">IFERROR(__xludf.DUMMYFUNCTION("TEXTJOIN(""|"",TRUE,UNIQUE(FILTER(SPLIT(F780,"" ""),LEN(SPLIT(F780,"" ""))&gt;2)))"),"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amp;"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amp;"ствует|развитию|воображения|представлений|транспорте|зделие|выполнено|прочных|материалов")</f>
        <v>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v>
      </c>
      <c r="I780" s="1"/>
      <c r="J780" s="1"/>
    </row>
    <row r="781" spans="1:10" x14ac:dyDescent="0.2">
      <c r="A781" s="8" t="s">
        <v>1300</v>
      </c>
      <c r="B781" s="7" t="s">
        <v>1299</v>
      </c>
      <c r="C781" s="7" t="s">
        <v>1298</v>
      </c>
      <c r="D781" s="6">
        <v>9700</v>
      </c>
      <c r="E781" s="5">
        <v>1</v>
      </c>
      <c r="F781" s="4" t="str">
        <f ca="1">IFERROR(__xludf.DUMMYFUNCTION("LOWER(REGEXREPLACE(B781&amp;"" ""&amp;C781,""[^а-яa-z0-9 ]"","" ""))"),"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предста"&amp;"влений о форме  цвете и композиции   рименяются в индивидуальной и групповой работе ")</f>
        <v xml:space="preserve">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v>
      </c>
      <c r="G781" s="4" t="str">
        <f ca="1">IFERROR(__xludf.DUMMYFUNCTION("TEXTJOIN(""|"",TRUE,UNIQUE(FILTER(SPLIT(F781,"" ""),LEN(SPLIT(F781,"" ""))&gt;2)))"),"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amp;"композиции|рименяются|индивидуальной|групповой|работе")</f>
        <v>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v>
      </c>
      <c r="I781" s="1"/>
      <c r="J781" s="1"/>
    </row>
    <row r="782" spans="1:10" x14ac:dyDescent="0.2">
      <c r="A782" s="8" t="s">
        <v>1297</v>
      </c>
      <c r="B782" s="7" t="s">
        <v>1296</v>
      </c>
      <c r="C782" s="7" t="s">
        <v>1295</v>
      </c>
      <c r="D782" s="6">
        <v>10900</v>
      </c>
      <c r="E782" s="5">
        <v>7</v>
      </c>
      <c r="F782" s="4" t="str">
        <f ca="1">IFERROR(__xludf.DUMMYFUNCTION("LOWER(REGEXREPLACE(B782&amp;"" ""&amp;C782,""[^а-яa-z0-9 ]"","" ""))"),"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закреплят"&amp;"ь содержание произведений и речевые упражнения   атериалы рассчитаны на использование в образовательной практике ")</f>
        <v xml:space="preserve">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v>
      </c>
      <c r="G782" s="4" t="str">
        <f ca="1">IFERROR(__xludf.DUMMYFUNCTION("TEXTJOIN(""|"",TRUE,UNIQUE(FILTER(SPLIT(F782,"" ""),LEN(SPLIT(F782,"" ""))&gt;2)))"),"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amp;"дений|речевые|упражнения|атериалы|рассчитаны|использование|образовательной|практике")</f>
        <v>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v>
      </c>
      <c r="I782" s="1"/>
      <c r="J782" s="1"/>
    </row>
    <row r="783" spans="1:10" x14ac:dyDescent="0.2">
      <c r="A783" s="8" t="s">
        <v>1294</v>
      </c>
      <c r="B783" s="7" t="s">
        <v>1293</v>
      </c>
      <c r="C783" s="7" t="s">
        <v>1292</v>
      </c>
      <c r="D783" s="6">
        <v>6200</v>
      </c>
      <c r="E783" s="5">
        <v>50</v>
      </c>
      <c r="F783" s="4" t="str">
        <f ca="1">IFERROR(__xludf.DUMMYFUNCTION("LOWER(REGEXREPLACE(B783&amp;"" ""&amp;C783,""[^а-яa-z0-9 ]"","" ""))"),"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f>
        <v xml:space="preserve">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v>
      </c>
      <c r="G783" s="4" t="str">
        <f ca="1">IFERROR(__xludf.DUMMYFUNCTION("TEXTJOIN(""|"",TRUE,UNIQUE(FILTER(SPLIT(F783,"" ""),LEN(SPLIT(F783,"" ""))&gt;2)))"),"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f>
        <v>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v>
      </c>
      <c r="I783" s="1"/>
      <c r="J783" s="1"/>
    </row>
    <row r="784" spans="1:10" x14ac:dyDescent="0.2">
      <c r="A784" s="8" t="s">
        <v>1291</v>
      </c>
      <c r="B784" s="7" t="s">
        <v>1290</v>
      </c>
      <c r="C784" s="7" t="s">
        <v>1289</v>
      </c>
      <c r="D784" s="6">
        <v>2800</v>
      </c>
      <c r="E784" s="5">
        <v>5</v>
      </c>
      <c r="F784" s="4" t="str">
        <f ca="1">IFERROR(__xludf.DUMMYFUNCTION("LOWER(REGEXREPLACE(B784&amp;"" ""&amp;C784,""[^а-яa-z0-9 ]"","" ""))"),"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развив"&amp;"ающих играх ")</f>
        <v xml:space="preserve">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v>
      </c>
      <c r="G784" s="4" t="str">
        <f ca="1">IFERROR(__xludf.DUMMYFUNCTION("TEXTJOIN(""|"",TRUE,UNIQUE(FILTER(SPLIT(F784,"" ""),LEN(SPLIT(F784,"" ""))&gt;2)))"),"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f>
        <v>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v>
      </c>
      <c r="I784" s="1"/>
      <c r="J784" s="1"/>
    </row>
    <row r="785" spans="1:10" x14ac:dyDescent="0.2">
      <c r="A785" s="8" t="s">
        <v>1288</v>
      </c>
      <c r="B785" s="7" t="s">
        <v>1287</v>
      </c>
      <c r="C785" s="7" t="s">
        <v>1286</v>
      </c>
      <c r="D785" s="6">
        <v>2700</v>
      </c>
      <c r="E785" s="5">
        <v>1</v>
      </c>
      <c r="F785" s="4" t="str">
        <f ca="1">IFERROR(__xludf.DUMMYFUNCTION("LOWER(REGEXREPLACE(B785&amp;"" ""&amp;C785,""[^а-яa-z0-9 ]"","" ""))"),"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способст"&amp;"вует развитию наглядно образного мышления и навыков соотнесения   абор включает не менее 11 элементов ")</f>
        <v xml:space="preserve">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v>
      </c>
      <c r="G785" s="4" t="str">
        <f ca="1">IFERROR(__xludf.DUMMYFUNCTION("TEXTJOIN(""|"",TRUE,UNIQUE(FILTER(SPLIT(F785,"" ""),LEN(SPLIT(F785,"" ""))&gt;2)))"),"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amp;"бразного|мышления|навыков|соотнесения|абор|включает|менее|элементов")</f>
        <v>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v>
      </c>
      <c r="I785" s="1"/>
      <c r="J785" s="1"/>
    </row>
    <row r="786" spans="1:10" x14ac:dyDescent="0.2">
      <c r="A786" s="8" t="s">
        <v>1285</v>
      </c>
      <c r="B786" s="7" t="s">
        <v>1284</v>
      </c>
      <c r="C786" s="7" t="s">
        <v>1283</v>
      </c>
      <c r="D786" s="6">
        <v>3500</v>
      </c>
      <c r="E786" s="5">
        <v>5</v>
      </c>
      <c r="F786" s="4" t="str">
        <f ca="1">IFERROR(__xludf.DUMMYFUNCTION("LOWER(REGEXREPLACE(B786&amp;"" ""&amp;C786,""[^а-яa-z0-9 ]"","" ""))"),"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f>
        <v xml:space="preserve">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v>
      </c>
      <c r="G786" s="4" t="str">
        <f ca="1">IFERROR(__xludf.DUMMYFUNCTION("TEXTJOIN(""|"",TRUE,UNIQUE(FILTER(SPLIT(F786,"" ""),LEN(SPLIT(F786,"" ""))&gt;2)))"),"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f>
        <v>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v>
      </c>
      <c r="I786" s="1"/>
      <c r="J786" s="1"/>
    </row>
    <row r="787" spans="1:10" x14ac:dyDescent="0.2">
      <c r="A787" s="8" t="s">
        <v>1282</v>
      </c>
      <c r="B787" s="7" t="s">
        <v>1281</v>
      </c>
      <c r="C787" s="7" t="s">
        <v>1280</v>
      </c>
      <c r="D787" s="6">
        <v>3200</v>
      </c>
      <c r="E787" s="5">
        <v>7</v>
      </c>
      <c r="F787" s="4" t="str">
        <f ca="1">IFERROR(__xludf.DUMMYFUNCTION("LOWER(REGEXREPLACE(B787&amp;"" ""&amp;C787,""[^а-яa-z0-9 ]"","" ""))"),"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f>
        <v xml:space="preserve">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v>
      </c>
      <c r="G787" s="4" t="str">
        <f ca="1">IFERROR(__xludf.DUMMYFUNCTION("TEXTJOIN(""|"",TRUE,UNIQUE(FILTER(SPLIT(F787,"" ""),LEN(SPLIT(F787,"" ""))&gt;2)))"),"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f>
        <v>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v>
      </c>
      <c r="I787" s="1"/>
      <c r="J787" s="1"/>
    </row>
    <row r="788" spans="1:10" x14ac:dyDescent="0.2">
      <c r="A788" s="8" t="s">
        <v>1279</v>
      </c>
      <c r="B788" s="7" t="s">
        <v>1278</v>
      </c>
      <c r="C788" s="9" t="s">
        <v>1277</v>
      </c>
      <c r="D788" s="6">
        <v>11607</v>
      </c>
      <c r="E788" s="5">
        <v>20</v>
      </c>
      <c r="F788" s="4" t="str">
        <f ca="1">IFERROR(__xludf.DUMMYFUNCTION("LOWER(REGEXREPLACE(B788&amp;"" ""&amp;C788,""[^а-яa-z0-9 ]"","" ""))")," игрометр  игрометр 0 25 градусов")</f>
        <v xml:space="preserve"> игрометр  игрометр 0 25 градусов</v>
      </c>
      <c r="G788" s="4" t="str">
        <f ca="1">IFERROR(__xludf.DUMMYFUNCTION("TEXTJOIN(""|"",TRUE,UNIQUE(FILTER(SPLIT(F788,"" ""),LEN(SPLIT(F788,"" ""))&gt;2)))"),"игрометр|игрометр|градусов")</f>
        <v>игрометр|игрометр|градусов</v>
      </c>
      <c r="I788" s="1"/>
      <c r="J788" s="1"/>
    </row>
    <row r="789" spans="1:10" x14ac:dyDescent="0.2">
      <c r="A789" s="8" t="s">
        <v>1276</v>
      </c>
      <c r="B789" s="7" t="s">
        <v>1275</v>
      </c>
      <c r="C789" s="7" t="s">
        <v>1274</v>
      </c>
      <c r="D789" s="6">
        <v>95000</v>
      </c>
      <c r="E789" s="5">
        <v>4</v>
      </c>
      <c r="F789" s="4" t="str">
        <f ca="1">IFERROR(__xludf.DUMMYFUNCTION("LOWER(REGEXREPLACE(B789&amp;"" ""&amp;C789,""[^а-яa-z0-9 ]"","" ""))"),"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f>
        <v xml:space="preserve">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v>
      </c>
      <c r="G789" s="4" t="str">
        <f ca="1">IFERROR(__xludf.DUMMYFUNCTION("TEXTJOIN(""|"",TRUE,UNIQUE(FILTER(SPLIT(F789,"" ""),LEN(SPLIT(F789,"" ""))&gt;2)))"),"астения|цветы|еприхотливые|уходе|безопасные|для|детей|растения|имеющие|острых|элементов|токсичных|свойств|ысота|растений|400|800|диаметр|горшка|180|250")</f>
        <v>астения|цветы|еприхотливые|уходе|безопасные|для|детей|растения|имеющие|острых|элементов|токсичных|свойств|ысота|растений|400|800|диаметр|горшка|180|250</v>
      </c>
      <c r="I789" s="1"/>
      <c r="J789" s="1"/>
    </row>
    <row r="790" spans="1:10" x14ac:dyDescent="0.2">
      <c r="A790" s="8" t="s">
        <v>1273</v>
      </c>
      <c r="B790" s="7" t="s">
        <v>1272</v>
      </c>
      <c r="C790" s="7" t="s">
        <v>1271</v>
      </c>
      <c r="D790" s="6">
        <v>22800</v>
      </c>
      <c r="E790" s="5">
        <v>5</v>
      </c>
      <c r="F790" s="4" t="str">
        <f ca="1">IFERROR(__xludf.DUMMYFUNCTION("LOWER(REGEXREPLACE(B790&amp;"" ""&amp;C790,""[^а-яa-z0-9 ]"","" ""))"),"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"&amp;"и ознакомлении с окружающим миром   одбираются нетоксичные  безопасные для детей виды  устойчивые к комнатным условиям ")</f>
        <v xml:space="preserve">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v>
      </c>
      <c r="G790" s="4" t="str">
        <f ca="1">IFERROR(__xludf.DUMMYFUNCTION("TEXTJOIN(""|"",TRUE,UNIQUE(FILTER(SPLIT(F790,"" ""),LEN(SPLIT(F790,"" ""))&gt;2)))"),"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amp;"ужающим|миром|одбираются|нетоксичные|безопасные|для|детей|виды|устойчивые|комнатным|условиям")</f>
        <v>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v>
      </c>
      <c r="I790" s="1"/>
      <c r="J790" s="1"/>
    </row>
    <row r="791" spans="1:10" x14ac:dyDescent="0.2">
      <c r="A791" s="8" t="s">
        <v>1270</v>
      </c>
      <c r="B791" s="7" t="s">
        <v>1269</v>
      </c>
      <c r="C791" s="7" t="s">
        <v>1268</v>
      </c>
      <c r="D791" s="6">
        <v>95000</v>
      </c>
      <c r="E791" s="5">
        <v>14</v>
      </c>
      <c r="F791" s="4" t="str">
        <f ca="1">IFERROR(__xludf.DUMMYFUNCTION("LOWER(REGEXREPLACE(B791&amp;"" ""&amp;C791,""[^а-яa-z0-9 ]"","" ""))"),"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f>
        <v xml:space="preserve">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v>
      </c>
      <c r="G791" s="4" t="str">
        <f ca="1">IFERROR(__xludf.DUMMYFUNCTION("TEXTJOIN(""|"",TRUE,UNIQUE(FILTER(SPLIT(F791,"" ""),LEN(SPLIT(F791,"" ""))&gt;2)))"),"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f>
        <v>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v>
      </c>
      <c r="I791" s="1"/>
      <c r="J791" s="1"/>
    </row>
    <row r="792" spans="1:10" x14ac:dyDescent="0.2">
      <c r="A792" s="8" t="s">
        <v>1267</v>
      </c>
      <c r="B792" s="7" t="s">
        <v>1266</v>
      </c>
      <c r="C792" s="7" t="s">
        <v>1265</v>
      </c>
      <c r="D792" s="6">
        <v>22800</v>
      </c>
      <c r="E792" s="5">
        <v>2</v>
      </c>
      <c r="F792" s="4" t="str">
        <f ca="1">IFERROR(__xludf.DUMMYFUNCTION("LOWER(REGEXREPLACE(B792&amp;"" ""&amp;C792,""[^а-яa-z0-9 ]"","" ""))"),"ренаж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инд"&amp;"ивидуальной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f>
        <v xml:space="preserve">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v>
      </c>
      <c r="G792" s="4" t="str">
        <f ca="1">IFERROR(__xludf.DUMMYFUNCTION("TEXTJOIN(""|"",TRUE,UNIQUE(FILTER(SPLIT(F792,"" ""),LEN(SPLIT(F792,"" ""))&gt;2)))"),"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amp;"оте|ерекидные|карточки|соединены|пружиной|что|предотвращает|потерю|ветовая|маркировка|рдых|мягких|согласных|облегчает|восприятие|материала")</f>
        <v>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v>
      </c>
      <c r="I792" s="1"/>
      <c r="J792" s="1"/>
    </row>
    <row r="793" spans="1:10" x14ac:dyDescent="0.2">
      <c r="A793" s="8" t="s">
        <v>1264</v>
      </c>
      <c r="B793" s="7" t="s">
        <v>1263</v>
      </c>
      <c r="C793" s="7" t="s">
        <v>1262</v>
      </c>
      <c r="D793" s="6">
        <v>97500</v>
      </c>
      <c r="E793" s="5">
        <v>1</v>
      </c>
      <c r="F793" s="4" t="str">
        <f ca="1">IFERROR(__xludf.DUMMYFUNCTION("LOWER(REGEXREPLACE(B793&amp;"" ""&amp;C793,""[^а-яa-z0-9 ]"","" ""))")," остомер механический напольный      коном   спользуется для измерения роста детей   стойчивый  простой в эксплуатации  соответствует требованиям     ")</f>
        <v xml:space="preserve"> остомер механический напольный      коном   спользуется для измерения роста детей   стойчивый  простой в эксплуатации  соответствует требованиям     </v>
      </c>
      <c r="G793" s="4" t="str">
        <f ca="1">IFERROR(__xludf.DUMMYFUNCTION("TEXTJOIN(""|"",TRUE,UNIQUE(FILTER(SPLIT(F793,"" ""),LEN(SPLIT(F793,"" ""))&gt;2)))"),"остомер|механический|напольный|коном|спользуется|для|измерения|роста|детей|стойчивый|простой|эксплуатации|соответствует|требованиям")</f>
        <v>остомер|механический|напольный|коном|спользуется|для|измерения|роста|детей|стойчивый|простой|эксплуатации|соответствует|требованиям</v>
      </c>
      <c r="I793" s="1"/>
      <c r="J793" s="1"/>
    </row>
    <row r="794" spans="1:10" x14ac:dyDescent="0.2">
      <c r="A794" s="8" t="s">
        <v>1261</v>
      </c>
      <c r="B794" s="7" t="s">
        <v>1260</v>
      </c>
      <c r="C794" s="7" t="s">
        <v>1259</v>
      </c>
      <c r="D794" s="6">
        <v>8000</v>
      </c>
      <c r="E794" s="5">
        <v>91</v>
      </c>
      <c r="F794" s="4" t="str">
        <f ca="1">IFERROR(__xludf.DUMMYFUNCTION("LOWER(REGEXREPLACE(B794&amp;"" ""&amp;C794,""[^а-яa-z0-9 ]"","" ""))"),"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f>
        <v xml:space="preserve">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v>
      </c>
      <c r="G794" s="4" t="str">
        <f ca="1">IFERROR(__xludf.DUMMYFUNCTION("TEXTJOIN(""|"",TRUE,UNIQUE(FILTER(SPLIT(F794,"" ""),LEN(SPLIT(F794,"" ""))&gt;2)))"),"остомер|настенный|остомер|используется|для|измерения|роста|зготовлен|виде|наклеек|размещаемых|стене|ысота|шкалы|составляет|около|135|атериал|нка")</f>
        <v>остомер|настенный|остомер|используется|для|измерения|роста|зготовлен|виде|наклеек|размещаемых|стене|ысота|шкалы|составляет|около|135|атериал|нка</v>
      </c>
      <c r="I794" s="1"/>
      <c r="J794" s="1"/>
    </row>
    <row r="795" spans="1:10" x14ac:dyDescent="0.2">
      <c r="A795" s="8" t="s">
        <v>1258</v>
      </c>
      <c r="B795" s="7" t="s">
        <v>1257</v>
      </c>
      <c r="C795" s="7" t="s">
        <v>1256</v>
      </c>
      <c r="D795" s="6">
        <v>200600</v>
      </c>
      <c r="E795" s="5">
        <v>6</v>
      </c>
      <c r="F795" s="4" t="str">
        <f ca="1">IFERROR(__xludf.DUMMYFUNCTION("LOWER(REGEXREPLACE(B795&amp;"" ""&amp;C795,""[^а-яa-z0-9 ]"","" ""))")," укомойник с коленным управлением ce dke50x40  ержавеющая сталь 430   араметры  500 400 310 mm")</f>
        <v xml:space="preserve"> укомойник с коленным управлением ce dke50x40  ержавеющая сталь 430   араметры  500 400 310 mm</v>
      </c>
      <c r="G795" s="4" t="str">
        <f ca="1">IFERROR(__xludf.DUMMYFUNCTION("TEXTJOIN(""|"",TRUE,UNIQUE(FILTER(SPLIT(F795,"" ""),LEN(SPLIT(F795,"" ""))&gt;2)))"),"укомойник|коленным|управлением|dke50x40|ержавеющая|сталь|430|араметры|500|400|310")</f>
        <v>укомойник|коленным|управлением|dke50x40|ержавеющая|сталь|430|араметры|500|400|310</v>
      </c>
      <c r="I795" s="1"/>
      <c r="J795" s="1"/>
    </row>
    <row r="796" spans="1:10" x14ac:dyDescent="0.2">
      <c r="A796" s="8" t="s">
        <v>1255</v>
      </c>
      <c r="B796" s="7" t="s">
        <v>1254</v>
      </c>
      <c r="C796" s="7" t="s">
        <v>1253</v>
      </c>
      <c r="D796" s="6">
        <v>15200</v>
      </c>
      <c r="E796" s="5">
        <v>1</v>
      </c>
      <c r="F796" s="4" t="str">
        <f ca="1">IFERROR(__xludf.DUMMYFUNCTION("LOWER(REGEXREPLACE(B796&amp;"" ""&amp;C796,""[^а-яa-z0-9 ]"","" ""))"),"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f>
        <v xml:space="preserve">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v>
      </c>
      <c r="G796" s="4" t="str">
        <f ca="1">IFERROR(__xludf.DUMMYFUNCTION("TEXTJOIN(""|"",TRUE,UNIQUE(FILTER(SPLIT(F796,"" ""),LEN(SPLIT(F796,"" ""))&gt;2)))"),"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f>
        <v>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v>
      </c>
      <c r="I796" s="1"/>
      <c r="J796" s="1"/>
    </row>
    <row r="797" spans="1:10" x14ac:dyDescent="0.2">
      <c r="A797" s="8" t="s">
        <v>1252</v>
      </c>
      <c r="B797" s="7" t="s">
        <v>1251</v>
      </c>
      <c r="C797" s="7" t="s">
        <v>1250</v>
      </c>
      <c r="D797" s="6">
        <v>3600</v>
      </c>
      <c r="E797" s="5">
        <v>10</v>
      </c>
      <c r="F797" s="4" t="str">
        <f ca="1">IFERROR(__xludf.DUMMYFUNCTION("LOWER(REGEXREPLACE(B797&amp;"" ""&amp;C797,""[^а-яa-z0-9 ]"","" ""))"),"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f>
        <v xml:space="preserve">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v>
      </c>
      <c r="G797" s="4" t="str">
        <f ca="1">IFERROR(__xludf.DUMMYFUNCTION("TEXTJOIN(""|"",TRUE,UNIQUE(FILTER(SPLIT(F797,"" ""),LEN(SPLIT(F797,"" ""))&gt;2)))"),"алфетки|алфетки|влажные|сухие|предназначены|для|санитарно|гигиенических|нужд|ухода|поверхностями|соблюдения|чистоты|помещениях|дошкольного|учреждения")</f>
        <v>алфетки|алфетки|влажные|сухие|предназначены|для|санитарно|гигиенических|нужд|ухода|поверхностями|соблюдения|чистоты|помещениях|дошкольного|учреждения</v>
      </c>
      <c r="I797" s="1"/>
      <c r="J797" s="1"/>
    </row>
    <row r="798" spans="1:10" x14ac:dyDescent="0.2">
      <c r="A798" s="8" t="s">
        <v>1249</v>
      </c>
      <c r="B798" s="7" t="s">
        <v>1248</v>
      </c>
      <c r="C798" s="7" t="s">
        <v>1247</v>
      </c>
      <c r="D798" s="6">
        <v>123500</v>
      </c>
      <c r="E798" s="5">
        <v>5</v>
      </c>
      <c r="F798" s="4" t="str">
        <f ca="1">IFERROR(__xludf.DUMMYFUNCTION("LOWER(REGEXREPLACE(B798&amp;"" ""&amp;C798,""[^а-яa-z0-9 ]"","" ""))"),"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с"&amp;"оставляют не менее 205 205 50 мм   онструкция рассчитана на эксплуатацию в помещениях ")</f>
        <v xml:space="preserve">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v>
      </c>
      <c r="G798" s="4" t="str">
        <f ca="1">IFERROR(__xludf.DUMMYFUNCTION("TEXTJOIN(""|"",TRUE,UNIQUE(FILTER(SPLIT(F798,"" ""),LEN(SPLIT(F798,"" ""))&gt;2)))"),"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amp;"т|менее|205|205|онструкция|рассчитана|эксплуатацию|помещениях")</f>
        <v>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v>
      </c>
      <c r="I798" s="1"/>
      <c r="J798" s="1"/>
    </row>
    <row r="799" spans="1:10" x14ac:dyDescent="0.2">
      <c r="A799" s="8" t="s">
        <v>1246</v>
      </c>
      <c r="B799" s="7" t="s">
        <v>1245</v>
      </c>
      <c r="C799" s="7" t="s">
        <v>1244</v>
      </c>
      <c r="D799" s="6">
        <v>24900</v>
      </c>
      <c r="E799" s="5">
        <v>1</v>
      </c>
      <c r="F799" s="4" t="str">
        <f ca="1">IFERROR(__xludf.DUMMYFUNCTION("LOWER(REGEXREPLACE(B799&amp;"" ""&amp;C799,""[^а-яa-z0-9 ]"","" ""))")," ан сауалды  жауабы   нциклопедиясы под ред      ренсис      ьюстон  перевод  арипова    ")</f>
        <v xml:space="preserve"> ан сауалды  жауабы   нциклопедиясы под ред      ренсис      ьюстон  перевод  арипова    </v>
      </c>
      <c r="G799" s="4" t="str">
        <f ca="1">IFERROR(__xludf.DUMMYFUNCTION("TEXTJOIN(""|"",TRUE,UNIQUE(FILTER(SPLIT(F799,"" ""),LEN(SPLIT(F799,"" ""))&gt;2)))"),"сауалды|жауабы|нциклопедиясы|под|ред|ренсис|ьюстон|перевод|арипова")</f>
        <v>сауалды|жауабы|нциклопедиясы|под|ред|ренсис|ьюстон|перевод|арипова</v>
      </c>
      <c r="I799" s="1"/>
      <c r="J799" s="1"/>
    </row>
    <row r="800" spans="1:10" x14ac:dyDescent="0.2">
      <c r="A800" s="8" t="s">
        <v>1243</v>
      </c>
      <c r="B800" s="7" t="s">
        <v>1242</v>
      </c>
      <c r="C800" s="7" t="s">
        <v>1239</v>
      </c>
      <c r="D800" s="6">
        <v>20000</v>
      </c>
      <c r="E800" s="5">
        <v>1</v>
      </c>
      <c r="F800" s="4" t="str">
        <f ca="1">IFERROR(__xludf.DUMMYFUNCTION("LOWER(REGEXREPLACE(B800&amp;"" ""&amp;C800,""[^а-яa-z0-9 ]"","" ""))")," аят   азахская традиционная охота   рус   англ    инаят   ")</f>
        <v xml:space="preserve"> аят   азахская традиционная охота   рус   англ    инаят   </v>
      </c>
      <c r="G800" s="4" t="str">
        <f ca="1">IFERROR(__xludf.DUMMYFUNCTION("TEXTJOIN(""|"",TRUE,UNIQUE(FILTER(SPLIT(F800,"" ""),LEN(SPLIT(F800,"" ""))&gt;2)))"),"аят|азахская|традиционная|охота|рус|англ|инаят")</f>
        <v>аят|азахская|традиционная|охота|рус|англ|инаят</v>
      </c>
      <c r="I800" s="1"/>
      <c r="J800" s="1"/>
    </row>
    <row r="801" spans="1:10" x14ac:dyDescent="0.2">
      <c r="A801" s="8" t="s">
        <v>1241</v>
      </c>
      <c r="B801" s="7" t="s">
        <v>1240</v>
      </c>
      <c r="C801" s="7" t="s">
        <v>1239</v>
      </c>
      <c r="D801" s="6">
        <v>20000</v>
      </c>
      <c r="E801" s="5">
        <v>1</v>
      </c>
      <c r="F801" s="4" t="str">
        <f ca="1">IFERROR(__xludf.DUMMYFUNCTION("LOWER(REGEXREPLACE(B801&amp;"" ""&amp;C801,""[^а-яa-z0-9 ]"","" ""))")," аятшылы    аза ты  д стурл  аншылы ы  каз   англ    инаят   ")</f>
        <v xml:space="preserve"> аятшылы    аза ты  д стурл  аншылы ы  каз   англ    инаят   </v>
      </c>
      <c r="G801" s="4" t="str">
        <f ca="1">IFERROR(__xludf.DUMMYFUNCTION("TEXTJOIN(""|"",TRUE,UNIQUE(FILTER(SPLIT(F801,"" ""),LEN(SPLIT(F801,"" ""))&gt;2)))"),"аятшылы|аза|стурл|аншылы|каз|англ|инаят")</f>
        <v>аятшылы|аза|стурл|аншылы|каз|англ|инаят</v>
      </c>
      <c r="I801" s="1"/>
      <c r="J801" s="1"/>
    </row>
    <row r="802" spans="1:10" x14ac:dyDescent="0.2">
      <c r="A802" s="8" t="s">
        <v>1238</v>
      </c>
      <c r="B802" s="7" t="s">
        <v>1237</v>
      </c>
      <c r="C802" s="7" t="s">
        <v>1236</v>
      </c>
      <c r="D802" s="6">
        <v>34700</v>
      </c>
      <c r="E802" s="5">
        <v>5</v>
      </c>
      <c r="F802" s="4" t="str">
        <f ca="1">IFERROR(__xludf.DUMMYFUNCTION("LOWER(REGEXREPLACE(B802&amp;"" ""&amp;C802,""[^а-яa-z0-9 ]"","" ""))"),"  улетш    гра    улетш   включает в себя 200 шт палочки  инструкцию")</f>
        <v xml:space="preserve">  улетш    гра    улетш   включает в себя 200 шт палочки  инструкцию</v>
      </c>
      <c r="G802" s="4" t="str">
        <f ca="1">IFERROR(__xludf.DUMMYFUNCTION("TEXTJOIN(""|"",TRUE,UNIQUE(FILTER(SPLIT(F802,"" ""),LEN(SPLIT(F802,"" ""))&gt;2)))"),"улетш|гра|улетш|включает|себя|200|палочки|инструкцию")</f>
        <v>улетш|гра|улетш|включает|себя|200|палочки|инструкцию</v>
      </c>
      <c r="I802" s="1"/>
      <c r="J802" s="1"/>
    </row>
    <row r="803" spans="1:10" x14ac:dyDescent="0.2">
      <c r="A803" s="8" t="s">
        <v>1235</v>
      </c>
      <c r="B803" s="7" t="s">
        <v>1234</v>
      </c>
      <c r="C803" s="7" t="s">
        <v>1233</v>
      </c>
      <c r="D803" s="6">
        <v>5200</v>
      </c>
      <c r="E803" s="5">
        <v>1</v>
      </c>
      <c r="F803" s="4" t="str">
        <f ca="1">IFERROR(__xludf.DUMMYFUNCTION("LOWER(REGEXREPLACE(B803&amp;"" ""&amp;C803,""[^а-яa-z0-9 ]"","" ""))")," борник стихов к 110 летию поэта   ажибаев      ухани жа  ыру   ажибаев   ")</f>
        <v xml:space="preserve"> борник стихов к 110 летию поэта   ажибаев      ухани жа  ыру   ажибаев   </v>
      </c>
      <c r="G803" s="4" t="str">
        <f ca="1">IFERROR(__xludf.DUMMYFUNCTION("TEXTJOIN(""|"",TRUE,UNIQUE(FILTER(SPLIT(F803,"" ""),LEN(SPLIT(F803,"" ""))&gt;2)))"),"борник|стихов|110|летию|поэта|ажибаев|ухани|ыру|ажибаев")</f>
        <v>борник|стихов|110|летию|поэта|ажибаев|ухани|ыру|ажибаев</v>
      </c>
      <c r="I803" s="1"/>
      <c r="J803" s="1"/>
    </row>
    <row r="804" spans="1:10" x14ac:dyDescent="0.2">
      <c r="A804" s="8" t="s">
        <v>1232</v>
      </c>
      <c r="B804" s="7" t="s">
        <v>1231</v>
      </c>
      <c r="C804" s="7" t="s">
        <v>757</v>
      </c>
      <c r="D804" s="6">
        <v>8000</v>
      </c>
      <c r="E804" s="5">
        <v>1</v>
      </c>
      <c r="F804" s="4" t="str">
        <f ca="1">IFERROR(__xludf.DUMMYFUNCTION("LOWER(REGEXREPLACE(B804&amp;"" ""&amp;C804,""[^а-яa-z0-9 ]"","" ""))")," ветлые дни  о    омышулы   хметова   ")</f>
        <v xml:space="preserve"> ветлые дни  о    омышулы   хметова   </v>
      </c>
      <c r="G804" s="4" t="str">
        <f ca="1">IFERROR(__xludf.DUMMYFUNCTION("TEXTJOIN(""|"",TRUE,UNIQUE(FILTER(SPLIT(F804,"" ""),LEN(SPLIT(F804,"" ""))&gt;2)))"),"ветлые|дни|омышулы|хметова")</f>
        <v>ветлые|дни|омышулы|хметова</v>
      </c>
      <c r="I804" s="1"/>
      <c r="J804" s="1"/>
    </row>
    <row r="805" spans="1:10" x14ac:dyDescent="0.2">
      <c r="A805" s="8" t="s">
        <v>1230</v>
      </c>
      <c r="B805" s="7" t="s">
        <v>1229</v>
      </c>
      <c r="C805" s="7" t="s">
        <v>1226</v>
      </c>
      <c r="D805" s="6">
        <v>2900</v>
      </c>
      <c r="E805" s="5">
        <v>60</v>
      </c>
      <c r="F805" s="4" t="str">
        <f ca="1">IFERROR(__xludf.DUMMYFUNCTION("LOWER(REGEXREPLACE(B805&amp;"" ""&amp;C805,""[^а-яa-z0-9 ]"","" ""))"),"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G805" s="4" t="str">
        <f ca="1">IFERROR(__xludf.DUMMYFUNCTION("TEXTJOIN(""|"",TRUE,UNIQUE(FILTER(SPLIT(F805,"" ""),LEN(SPLIT(F805,"" ""))&gt;2)))"),"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I805" s="1"/>
      <c r="J805" s="1"/>
    </row>
    <row r="806" spans="1:10" x14ac:dyDescent="0.2">
      <c r="A806" s="8" t="s">
        <v>1228</v>
      </c>
      <c r="B806" s="7" t="s">
        <v>1227</v>
      </c>
      <c r="C806" s="7" t="s">
        <v>1226</v>
      </c>
      <c r="D806" s="6">
        <v>2900</v>
      </c>
      <c r="E806" s="5">
        <v>65</v>
      </c>
      <c r="F806" s="4" t="str">
        <f ca="1">IFERROR(__xludf.DUMMYFUNCTION("LOWER(REGEXREPLACE(B806&amp;"" ""&amp;C806,""[^а-яa-z0-9 ]"","" ""))"),"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G806" s="4" t="str">
        <f ca="1">IFERROR(__xludf.DUMMYFUNCTION("TEXTJOIN(""|"",TRUE,UNIQUE(FILTER(SPLIT(F806,"" ""),LEN(SPLIT(F806,"" ""))&gt;2)))"),"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I806" s="1"/>
      <c r="J806" s="1"/>
    </row>
    <row r="807" spans="1:10" x14ac:dyDescent="0.2">
      <c r="A807" s="8" t="s">
        <v>1225</v>
      </c>
      <c r="B807" s="7" t="s">
        <v>1224</v>
      </c>
      <c r="C807" s="7" t="s">
        <v>1223</v>
      </c>
      <c r="D807" s="6">
        <v>1600</v>
      </c>
      <c r="E807" s="5">
        <v>4</v>
      </c>
      <c r="F807" s="4" t="str">
        <f ca="1">IFERROR(__xludf.DUMMYFUNCTION("LOWER(REGEXREPLACE(B807&amp;"" ""&amp;C807,""[^а-яa-z0-9 ]"","" ""))"),"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f>
        <v xml:space="preserve">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v>
      </c>
      <c r="G807" s="4" t="str">
        <f ca="1">IFERROR(__xludf.DUMMYFUNCTION("TEXTJOIN(""|"",TRUE,UNIQUE(FILTER(SPLIT(F807,"" ""),LEN(SPLIT(F807,"" ""))&gt;2)))"),"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f>
        <v>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v>
      </c>
      <c r="I807" s="1"/>
      <c r="J807" s="1"/>
    </row>
    <row r="808" spans="1:10" x14ac:dyDescent="0.2">
      <c r="A808" s="8" t="s">
        <v>1222</v>
      </c>
      <c r="B808" s="7" t="s">
        <v>1221</v>
      </c>
      <c r="C808" s="7" t="s">
        <v>1220</v>
      </c>
      <c r="D808" s="6">
        <v>67200</v>
      </c>
      <c r="E808" s="5">
        <v>1</v>
      </c>
      <c r="F808" s="4" t="str">
        <f ca="1">IFERROR(__xludf.DUMMYFUNCTION("LOWER(REGEXREPLACE(B808&amp;"" ""&amp;C808,""[^а-яa-z0-9 ]"","" ""))"),"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1"&amp;"00 кг ")</f>
        <v xml:space="preserve">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v>
      </c>
      <c r="G808" s="4" t="str">
        <f ca="1">IFERROR(__xludf.DUMMYFUNCTION("TEXTJOIN(""|"",TRUE,UNIQUE(FILTER(SPLIT(F808,"" ""),LEN(SPLIT(F808,"" ""))&gt;2)))"),"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f>
        <v>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v>
      </c>
      <c r="I808" s="1"/>
      <c r="J808" s="1"/>
    </row>
    <row r="809" spans="1:10" x14ac:dyDescent="0.2">
      <c r="A809" s="8" t="s">
        <v>1219</v>
      </c>
      <c r="B809" s="7" t="s">
        <v>1218</v>
      </c>
      <c r="C809" s="7" t="s">
        <v>1217</v>
      </c>
      <c r="D809" s="6">
        <v>540000</v>
      </c>
      <c r="E809" s="5">
        <v>1</v>
      </c>
      <c r="F809" s="4" t="str">
        <f ca="1">IFERROR(__xludf.DUMMYFUNCTION("LOWER(REGEXREPLACE(B809&amp;"" ""&amp;C809,""[^а-яa-z0-9 ]"","" ""))"),"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f>
        <v xml:space="preserve">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v>
      </c>
      <c r="G809" s="4" t="str">
        <f ca="1">IFERROR(__xludf.DUMMYFUNCTION("TEXTJOIN(""|"",TRUE,UNIQUE(FILTER(SPLIT(F809,"" ""),LEN(SPLIT(F809,"" ""))&gt;2)))"),"ейф|несгораемый|есгораемый|сейф|предназначен|для|хранения|важных|документов|ценностей|беспечивает|защиту|содержимого|огня|механических|воздействий")</f>
        <v>ейф|несгораемый|есгораемый|сейф|предназначен|для|хранения|важных|документов|ценностей|беспечивает|защиту|содержимого|огня|механических|воздействий</v>
      </c>
      <c r="I809" s="1"/>
      <c r="J809" s="1"/>
    </row>
    <row r="810" spans="1:10" x14ac:dyDescent="0.2">
      <c r="A810" s="8" t="s">
        <v>1216</v>
      </c>
      <c r="B810" s="7" t="s">
        <v>1215</v>
      </c>
      <c r="C810" s="7" t="s">
        <v>1214</v>
      </c>
      <c r="D810" s="6">
        <v>10500</v>
      </c>
      <c r="E810" s="5">
        <v>1</v>
      </c>
      <c r="F810" s="4" t="str">
        <f ca="1">IFERROR(__xludf.DUMMYFUNCTION("LOWER(REGEXREPLACE(B810&amp;"" ""&amp;C810,""[^а-яa-z0-9 ]"","" ""))"),"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f>
        <v xml:space="preserve">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v>
      </c>
      <c r="G810" s="4" t="str">
        <f ca="1">IFERROR(__xludf.DUMMYFUNCTION("TEXTJOIN(""|"",TRUE,UNIQUE(FILTER(SPLIT(F810,"" ""),LEN(SPLIT(F810,"" ""))&gt;2)))"),"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f>
        <v>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v>
      </c>
      <c r="I810" s="1"/>
      <c r="J810" s="1"/>
    </row>
    <row r="811" spans="1:10" x14ac:dyDescent="0.2">
      <c r="A811" s="8" t="s">
        <v>1213</v>
      </c>
      <c r="B811" s="7" t="s">
        <v>1212</v>
      </c>
      <c r="C811" s="7" t="s">
        <v>1211</v>
      </c>
      <c r="D811" s="6">
        <v>28400</v>
      </c>
      <c r="E811" s="5">
        <v>7</v>
      </c>
      <c r="F811" s="4" t="str">
        <f ca="1">IFERROR(__xludf.DUMMYFUNCTION("LOWER(REGEXREPLACE(B811&amp;"" ""&amp;C811,""[^а-яa-z0-9 ]"","" ""))"),"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сортир"&amp;"овке и выкладыванию   онструкция выполнена из дерева и рассчитана на совместную деятельность ")</f>
        <v xml:space="preserve">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v>
      </c>
      <c r="G811" s="4" t="str">
        <f ca="1">IFERROR(__xludf.DUMMYFUNCTION("TEXTJOIN(""|"",TRUE,UNIQUE(FILTER(SPLIT(F811,"" ""),LEN(SPLIT(F811,"" ""))&gt;2)))"),"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amp;"ю|онструкция|выполнена|дерева|рассчитана|совместную|деятельность")</f>
        <v>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v>
      </c>
      <c r="I811" s="1"/>
      <c r="J811" s="1"/>
    </row>
    <row r="812" spans="1:10" x14ac:dyDescent="0.2">
      <c r="A812" s="8" t="s">
        <v>1210</v>
      </c>
      <c r="B812" s="7" t="s">
        <v>1209</v>
      </c>
      <c r="C812" s="7" t="s">
        <v>1208</v>
      </c>
      <c r="D812" s="6">
        <v>256900</v>
      </c>
      <c r="E812" s="5">
        <v>1</v>
      </c>
      <c r="F812" s="4" t="str">
        <f ca="1">IFERROR(__xludf.DUMMYFUNCTION("LOWER(REGEXREPLACE(B812&amp;"" ""&amp;C812,""[^а-яa-z0-9 ]"","" ""))"),"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f>
        <v xml:space="preserve">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v>
      </c>
      <c r="G812" s="4" t="str">
        <f ca="1">IFERROR(__xludf.DUMMYFUNCTION("TEXTJOIN(""|"",TRUE,UNIQUE(FILTER(SPLIT(F812,"" ""),LEN(SPLIT(F812,"" ""))&gt;2)))"),"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f>
        <v>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v>
      </c>
      <c r="I812" s="1"/>
      <c r="J812" s="1"/>
    </row>
    <row r="813" spans="1:10" x14ac:dyDescent="0.2">
      <c r="A813" s="8" t="s">
        <v>1207</v>
      </c>
      <c r="B813" s="7" t="s">
        <v>1206</v>
      </c>
      <c r="C813" s="7" t="s">
        <v>1205</v>
      </c>
      <c r="D813" s="6">
        <v>12400</v>
      </c>
      <c r="E813" s="5">
        <v>1</v>
      </c>
      <c r="F813" s="4" t="str">
        <f ca="1">IFERROR(__xludf.DUMMYFUNCTION("LOWER(REGEXREPLACE(B813&amp;"" ""&amp;C813,""[^а-яa-z0-9 ]"","" ""))"),"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f>
        <v xml:space="preserve">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v>
      </c>
      <c r="G813" s="4" t="str">
        <f ca="1">IFERROR(__xludf.DUMMYFUNCTION("TEXTJOIN(""|"",TRUE,UNIQUE(FILTER(SPLIT(F813,"" ""),LEN(SPLIT(F813,"" ""))&gt;2)))"),"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f>
        <v>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v>
      </c>
      <c r="I813" s="1"/>
      <c r="J813" s="1"/>
    </row>
    <row r="814" spans="1:10" x14ac:dyDescent="0.2">
      <c r="A814" s="8" t="s">
        <v>1204</v>
      </c>
      <c r="B814" s="7" t="s">
        <v>1203</v>
      </c>
      <c r="C814" s="7"/>
      <c r="D814" s="6">
        <v>16300</v>
      </c>
      <c r="E814" s="5">
        <v>1</v>
      </c>
      <c r="F814" s="4" t="str">
        <f ca="1">IFERROR(__xludf.DUMMYFUNCTION("LOWER(REGEXREPLACE(B814&amp;"" ""&amp;C814,""[^а-яa-z0-9 ]"","" ""))")," ерия   ектеп кiтапханасы      кольная библиотека  ")</f>
        <v xml:space="preserve"> ерия   ектеп кiтапханасы      кольная библиотека  </v>
      </c>
      <c r="G814" s="4" t="str">
        <f ca="1">IFERROR(__xludf.DUMMYFUNCTION("TEXTJOIN(""|"",TRUE,UNIQUE(FILTER(SPLIT(F814,"" ""),LEN(SPLIT(F814,"" ""))&gt;2)))"),"ерия|ектеп|кiтапханасы|кольная|библиотека")</f>
        <v>ерия|ектеп|кiтапханасы|кольная|библиотека</v>
      </c>
      <c r="I814" s="1"/>
      <c r="J814" s="1"/>
    </row>
    <row r="815" spans="1:10" x14ac:dyDescent="0.2">
      <c r="A815" s="8" t="s">
        <v>1202</v>
      </c>
      <c r="B815" s="7" t="s">
        <v>1201</v>
      </c>
      <c r="C815" s="7" t="s">
        <v>1200</v>
      </c>
      <c r="D815" s="6">
        <v>8000</v>
      </c>
      <c r="E815" s="5">
        <v>1</v>
      </c>
      <c r="F815" s="4" t="str">
        <f ca="1">IFERROR(__xludf.DUMMYFUNCTION("LOWER(REGEXREPLACE(B815&amp;"" ""&amp;C815,""[^а-яa-z0-9 ]"","" ""))")," и ырлы математика   атематика  м рд   барлы  саласында  олл  ж ")</f>
        <v xml:space="preserve"> и ырлы математика   атематика  м рд   барлы  саласында  олл  ж </v>
      </c>
      <c r="G815" s="4" t="str">
        <f ca="1">IFERROR(__xludf.DUMMYFUNCTION("TEXTJOIN(""|"",TRUE,UNIQUE(FILTER(SPLIT(F815,"" ""),LEN(SPLIT(F815,"" ""))&gt;2)))"),"ырлы|математика|атематика|барлы|саласында|олл")</f>
        <v>ырлы|математика|атематика|барлы|саласында|олл</v>
      </c>
      <c r="I815" s="1"/>
      <c r="J815" s="1"/>
    </row>
    <row r="816" spans="1:10" x14ac:dyDescent="0.2">
      <c r="A816" s="8" t="s">
        <v>1199</v>
      </c>
      <c r="B816" s="7" t="s">
        <v>1198</v>
      </c>
      <c r="C816" s="7" t="s">
        <v>1197</v>
      </c>
      <c r="D816" s="6">
        <v>4000</v>
      </c>
      <c r="E816" s="5">
        <v>20</v>
      </c>
      <c r="F816" s="4" t="str">
        <f ca="1">IFERROR(__xludf.DUMMYFUNCTION("LOWER(REGEXREPLACE(B816&amp;"" ""&amp;C816,""[^а-яa-z0-9 ]"","" ""))"),"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f>
        <v xml:space="preserve">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v>
      </c>
      <c r="G816" s="4" t="str">
        <f ca="1">IFERROR(__xludf.DUMMYFUNCTION("TEXTJOIN(""|"",TRUE,UNIQUE(FILTER(SPLIT(F816,"" ""),LEN(SPLIT(F816,"" ""))&gt;2)))"),"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f>
        <v>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v>
      </c>
      <c r="I816" s="1"/>
      <c r="J816" s="1"/>
    </row>
    <row r="817" spans="1:10" x14ac:dyDescent="0.2">
      <c r="A817" s="8" t="s">
        <v>1196</v>
      </c>
      <c r="B817" s="7" t="s">
        <v>1195</v>
      </c>
      <c r="C817" s="7" t="s">
        <v>1194</v>
      </c>
      <c r="D817" s="6">
        <v>3000</v>
      </c>
      <c r="E817" s="5">
        <v>25</v>
      </c>
      <c r="F817" s="4" t="str">
        <f ca="1">IFERROR(__xludf.DUMMYFUNCTION("LOWER(REGEXREPLACE(B817&amp;"" ""&amp;C817,""[^а-яa-z0-9 ]"","" ""))"),"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f>
        <v xml:space="preserve">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v>
      </c>
      <c r="G817" s="4" t="str">
        <f ca="1">IFERROR(__xludf.DUMMYFUNCTION("TEXTJOIN(""|"",TRUE,UNIQUE(FILTER(SPLIT(F817,"" ""),LEN(SPLIT(F817,"" ""))&gt;2)))"),"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f>
        <v>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v>
      </c>
      <c r="I817" s="1"/>
      <c r="J817" s="1"/>
    </row>
    <row r="818" spans="1:10" x14ac:dyDescent="0.2">
      <c r="A818" s="8" t="s">
        <v>1193</v>
      </c>
      <c r="B818" s="7" t="s">
        <v>1192</v>
      </c>
      <c r="C818" s="7" t="s">
        <v>1191</v>
      </c>
      <c r="D818" s="6">
        <v>4400</v>
      </c>
      <c r="E818" s="5">
        <v>10</v>
      </c>
      <c r="F818" s="4" t="str">
        <f ca="1">IFERROR(__xludf.DUMMYFUNCTION("LOWER(REGEXREPLACE(B818&amp;"" ""&amp;C818,""[^а-яa-z0-9 ]"","" ""))"),"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f>
        <v xml:space="preserve">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v>
      </c>
      <c r="G818" s="4" t="str">
        <f ca="1">IFERROR(__xludf.DUMMYFUNCTION("TEXTJOIN(""|"",TRUE,UNIQUE(FILTER(SPLIT(F818,"" ""),LEN(SPLIT(F818,"" ""))&gt;2)))"),"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f>
        <v>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v>
      </c>
      <c r="I818" s="1"/>
      <c r="J818" s="1"/>
    </row>
    <row r="819" spans="1:10" x14ac:dyDescent="0.2">
      <c r="A819" s="8" t="s">
        <v>1190</v>
      </c>
      <c r="B819" s="7" t="s">
        <v>1189</v>
      </c>
      <c r="C819" s="7" t="s">
        <v>1188</v>
      </c>
      <c r="D819" s="6">
        <v>13600</v>
      </c>
      <c r="E819" s="5">
        <v>5</v>
      </c>
      <c r="F819" s="4" t="str">
        <f ca="1">IFERROR(__xludf.DUMMYFUNCTION("LOWER(REGEXREPLACE(B819&amp;"" ""&amp;C819,""[^а-яa-z0-9 ]"","" ""))")," катерть на стол  катерть предназначена для защиты поверхности стола и оформления пространства   зготовлена из износостойкого материала  легко очищается ")</f>
        <v xml:space="preserve"> катерть на стол  катерть предназначена для защиты поверхности стола и оформления пространства   зготовлена из износостойкого материала  легко очищается </v>
      </c>
      <c r="G819" s="4" t="str">
        <f ca="1">IFERROR(__xludf.DUMMYFUNCTION("TEXTJOIN(""|"",TRUE,UNIQUE(FILTER(SPLIT(F819,"" ""),LEN(SPLIT(F819,"" ""))&gt;2)))"),"катерть|стол|катерть|предназначена|для|защиты|поверхности|стола|оформления|пространства|зготовлена|износостойкого|материала|легко|очищается")</f>
        <v>катерть|стол|катерть|предназначена|для|защиты|поверхности|стола|оформления|пространства|зготовлена|износостойкого|материала|легко|очищается</v>
      </c>
      <c r="I819" s="1"/>
      <c r="J819" s="1"/>
    </row>
    <row r="820" spans="1:10" x14ac:dyDescent="0.2">
      <c r="A820" s="8" t="s">
        <v>1187</v>
      </c>
      <c r="B820" s="7" t="s">
        <v>1186</v>
      </c>
      <c r="C820" s="7" t="s">
        <v>1185</v>
      </c>
      <c r="D820" s="6">
        <v>15400</v>
      </c>
      <c r="E820" s="5">
        <v>2</v>
      </c>
      <c r="F820" s="4" t="str">
        <f ca="1">IFERROR(__xludf.DUMMYFUNCTION("LOWER(REGEXREPLACE(B820&amp;"" ""&amp;C820,""[^а-яa-z0-9 ]"","" ""))"),"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f>
        <v xml:space="preserve">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v>
      </c>
      <c r="G820" s="4" t="str">
        <f ca="1">IFERROR(__xludf.DUMMYFUNCTION("TEXTJOIN(""|"",TRUE,UNIQUE(FILTER(SPLIT(F820,"" ""),LEN(SPLIT(F820,"" ""))&gt;2)))"),"кейтборд|пенниборд|кейтборд|предназначен|для|активного|отдыха|развития|координации|движений|спользуется|под|контролем|взрослых|специально|отвед|нных|зонах")</f>
        <v>кейтборд|пенниборд|кейтборд|предназначен|для|активного|отдыха|развития|координации|движений|спользуется|под|контролем|взрослых|специально|отвед|нных|зонах</v>
      </c>
      <c r="I820" s="1"/>
      <c r="J820" s="1"/>
    </row>
    <row r="821" spans="1:10" x14ac:dyDescent="0.2">
      <c r="A821" s="8" t="s">
        <v>1184</v>
      </c>
      <c r="B821" s="7" t="s">
        <v>1183</v>
      </c>
      <c r="C821" s="7" t="s">
        <v>971</v>
      </c>
      <c r="D821" s="6">
        <v>2000</v>
      </c>
      <c r="E821" s="5">
        <v>1</v>
      </c>
      <c r="F821" s="4" t="str">
        <f ca="1">IFERROR(__xludf.DUMMYFUNCTION("LOWER(REGEXREPLACE(B821&amp;"" ""&amp;C821,""[^а-яa-z0-9 ]"","" ""))")," коро в школу  лубаев   ")</f>
        <v xml:space="preserve"> коро в школу  лубаев   </v>
      </c>
      <c r="G821" s="4" t="str">
        <f ca="1">IFERROR(__xludf.DUMMYFUNCTION("TEXTJOIN(""|"",TRUE,UNIQUE(FILTER(SPLIT(F821,"" ""),LEN(SPLIT(F821,"" ""))&gt;2)))"),"коро|школу|лубаев")</f>
        <v>коро|школу|лубаев</v>
      </c>
      <c r="I821" s="1"/>
      <c r="J821" s="1"/>
    </row>
    <row r="822" spans="1:10" x14ac:dyDescent="0.2">
      <c r="A822" s="8" t="s">
        <v>1182</v>
      </c>
      <c r="B822" s="7" t="s">
        <v>1181</v>
      </c>
      <c r="C822" s="7" t="s">
        <v>1180</v>
      </c>
      <c r="D822" s="6">
        <v>15000</v>
      </c>
      <c r="E822" s="5">
        <v>7</v>
      </c>
      <c r="F822" s="4" t="str">
        <f ca="1">IFERROR(__xludf.DUMMYFUNCTION("LOWER(REGEXREPLACE(B822&amp;"" ""&amp;C822,""[^а-яa-z0-9 ]"","" ""))"),"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f>
        <v xml:space="preserve">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v>
      </c>
      <c r="G822" s="4" t="str">
        <f ca="1">IFERROR(__xludf.DUMMYFUNCTION("TEXTJOIN(""|"",TRUE,UNIQUE(FILTER(SPLIT(F822,"" ""),LEN(SPLIT(F822,"" ""))&gt;2)))"),"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f>
        <v>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v>
      </c>
      <c r="I822" s="1"/>
      <c r="J822" s="1"/>
    </row>
    <row r="823" spans="1:10" x14ac:dyDescent="0.2">
      <c r="A823" s="8" t="s">
        <v>1179</v>
      </c>
      <c r="B823" s="7" t="s">
        <v>1178</v>
      </c>
      <c r="C823" s="7" t="s">
        <v>1177</v>
      </c>
      <c r="D823" s="6">
        <v>65600</v>
      </c>
      <c r="E823" s="5">
        <v>10</v>
      </c>
      <c r="F823" s="4" t="str">
        <f ca="1">IFERROR(__xludf.DUMMYFUNCTION("LOWER(REGEXREPLACE(B823&amp;"" ""&amp;C823,""[^а-яa-z0-9 ]"","" ""))"),"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моделиро"&amp;"ванию и развитию мелкой моторики ")</f>
        <v xml:space="preserve">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v>
      </c>
      <c r="G823" s="4" t="str">
        <f ca="1">IFERROR(__xludf.DUMMYFUNCTION("TEXTJOIN(""|"",TRUE,UNIQUE(FILTER(SPLIT(F823,"" ""),LEN(SPLIT(F823,"" ""))&gt;2)))"),"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f>
        <v>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v>
      </c>
      <c r="I823" s="1"/>
      <c r="J823" s="1"/>
    </row>
    <row r="824" spans="1:10" x14ac:dyDescent="0.2">
      <c r="A824" s="8" t="s">
        <v>1176</v>
      </c>
      <c r="B824" s="7" t="s">
        <v>1175</v>
      </c>
      <c r="C824" s="7" t="s">
        <v>1172</v>
      </c>
      <c r="D824" s="6">
        <v>200</v>
      </c>
      <c r="E824" s="5">
        <v>2000</v>
      </c>
      <c r="F824" s="4" t="str">
        <f ca="1">IFERROR(__xludf.DUMMYFUNCTION("LOWER(REGEXREPLACE(B824&amp;"" ""&amp;C824,""[^а-яa-z0-9 ]"","" ""))"),"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G824" s="4" t="str">
        <f ca="1">IFERROR(__xludf.DUMMYFUNCTION("TEXTJOIN(""|"",TRUE,UNIQUE(FILTER(SPLIT(F824,"" ""),LEN(SPLIT(F824,"" ""))&gt;2)))"),"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v>
      </c>
      <c r="I824" s="1"/>
      <c r="J824" s="1"/>
    </row>
    <row r="825" spans="1:10" x14ac:dyDescent="0.2">
      <c r="A825" s="8" t="s">
        <v>1174</v>
      </c>
      <c r="B825" s="7" t="s">
        <v>1173</v>
      </c>
      <c r="C825" s="7" t="s">
        <v>1172</v>
      </c>
      <c r="D825" s="6">
        <v>200</v>
      </c>
      <c r="E825" s="5">
        <v>2000</v>
      </c>
      <c r="F825" s="4" t="str">
        <f ca="1">IFERROR(__xludf.DUMMYFUNCTION("LOWER(REGEXREPLACE(B825&amp;"" ""&amp;C825,""[^а-яa-z0-9 ]"","" ""))"),"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G825" s="4" t="str">
        <f ca="1">IFERROR(__xludf.DUMMYFUNCTION("TEXTJOIN(""|"",TRUE,UNIQUE(FILTER(SPLIT(F825,"" ""),LEN(SPLIT(F825,"" ""))&gt;2)))"),"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v>
      </c>
      <c r="I825" s="1"/>
      <c r="J825" s="1"/>
    </row>
    <row r="826" spans="1:10" x14ac:dyDescent="0.2">
      <c r="A826" s="8" t="s">
        <v>1171</v>
      </c>
      <c r="B826" s="7" t="s">
        <v>1170</v>
      </c>
      <c r="C826" s="7" t="s">
        <v>1169</v>
      </c>
      <c r="D826" s="6">
        <v>15300</v>
      </c>
      <c r="E826" s="5">
        <v>50</v>
      </c>
      <c r="F826" s="4" t="str">
        <f ca="1">IFERROR(__xludf.DUMMYFUNCTION("LOWER(REGEXREPLACE(B826&amp;"" ""&amp;C826,""[^а-яa-z0-9 ]"","" ""))"),"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зелены"&amp;"е   6 шт    желтые   6 шт    синие   6 шт    розовые   6 шт    красные   6 шт    инструкция   1 шт ствии с инструкцией  ")</f>
        <v xml:space="preserve">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v>
      </c>
      <c r="G826" s="4" t="str">
        <f ca="1">IFERROR(__xludf.DUMMYFUNCTION("TEXTJOIN(""|"",TRUE,UNIQUE(FILTER(SPLIT(F826,"" ""),LEN(SPLIT(F826,"" ""))&gt;2)))"),"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amp;"нструкцией")</f>
        <v>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v>
      </c>
      <c r="I826" s="1"/>
      <c r="J826" s="1"/>
    </row>
    <row r="827" spans="1:10" x14ac:dyDescent="0.2">
      <c r="A827" s="8" t="s">
        <v>1168</v>
      </c>
      <c r="B827" s="7" t="s">
        <v>1167</v>
      </c>
      <c r="C827" s="7" t="s">
        <v>1166</v>
      </c>
      <c r="D827" s="6">
        <v>32800</v>
      </c>
      <c r="E827" s="5">
        <v>7</v>
      </c>
      <c r="F827" s="4" t="str">
        <f ca="1">IFERROR(__xludf.DUMMYFUNCTION("LOWER(REGEXREPLACE(B827&amp;"" ""&amp;C827,""[^а-яa-z0-9 ]"","" ""))"),"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наст"&amp;"ольного размещения ")</f>
        <v xml:space="preserve">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v>
      </c>
      <c r="G827" s="4" t="str">
        <f ca="1">IFERROR(__xludf.DUMMYFUNCTION("TEXTJOIN(""|"",TRUE,UNIQUE(FILTER(SPLIT(F827,"" ""),LEN(SPLIT(F827,"" ""))&gt;2)))"),"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f>
        <v>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v>
      </c>
      <c r="I827" s="1"/>
      <c r="J827" s="1"/>
    </row>
    <row r="828" spans="1:10" x14ac:dyDescent="0.2">
      <c r="A828" s="8" t="s">
        <v>1165</v>
      </c>
      <c r="B828" s="7" t="s">
        <v>1164</v>
      </c>
      <c r="C828" s="7" t="s">
        <v>1163</v>
      </c>
      <c r="D828" s="6">
        <v>28500</v>
      </c>
      <c r="E828" s="5">
        <v>1</v>
      </c>
      <c r="F828" s="4" t="str">
        <f ca="1">IFERROR(__xludf.DUMMYFUNCTION("LOWER(REGEXREPLACE(B828&amp;"" ""&amp;C828,""[^а-яa-z0-9 ]"","" ""))")," ортер   номики   еревянный сортер предназначен для развития логического мышления  мелкой моторики и навыков сортировки по цвету и форме ")</f>
        <v xml:space="preserve"> ортер   номики   еревянный сортер предназначен для развития логического мышления  мелкой моторики и навыков сортировки по цвету и форме </v>
      </c>
      <c r="G828" s="4" t="str">
        <f ca="1">IFERROR(__xludf.DUMMYFUNCTION("TEXTJOIN(""|"",TRUE,UNIQUE(FILTER(SPLIT(F828,"" ""),LEN(SPLIT(F828,"" ""))&gt;2)))"),"ортер|номики|еревянный|сортер|предназначен|для|развития|логического|мышления|мелкой|моторики|навыков|сортировки|цвету|форме")</f>
        <v>ортер|номики|еревянный|сортер|предназначен|для|развития|логического|мышления|мелкой|моторики|навыков|сортировки|цвету|форме</v>
      </c>
      <c r="I828" s="1"/>
      <c r="J828" s="1"/>
    </row>
    <row r="829" spans="1:10" x14ac:dyDescent="0.2">
      <c r="A829" s="8" t="s">
        <v>1162</v>
      </c>
      <c r="B829" s="7" t="s">
        <v>1161</v>
      </c>
      <c r="C829" s="7" t="s">
        <v>1160</v>
      </c>
      <c r="D829" s="6">
        <v>9500</v>
      </c>
      <c r="E829" s="5">
        <v>7</v>
      </c>
      <c r="F829" s="4" t="str">
        <f ca="1">IFERROR(__xludf.DUMMYFUNCTION("LOWER(REGEXREPLACE(B829&amp;"" ""&amp;C829,""[^а-яa-z0-9 ]"","" ""))")," ортер   есное дерево   азвивающая игра в форме дерева с фигурками животных и птиц   спользуется для развития логики  моторики и познавательных навыков ")</f>
        <v xml:space="preserve"> ортер   есное дерево   азвивающая игра в форме дерева с фигурками животных и птиц   спользуется для развития логики  моторики и познавательных навыков </v>
      </c>
      <c r="G829" s="4" t="str">
        <f ca="1">IFERROR(__xludf.DUMMYFUNCTION("TEXTJOIN(""|"",TRUE,UNIQUE(FILTER(SPLIT(F829,"" ""),LEN(SPLIT(F829,"" ""))&gt;2)))"),"ортер|есное|дерево|азвивающая|игра|форме|дерева|фигурками|животных|птиц|спользуется|для|развития|логики|моторики|познавательных|навыков")</f>
        <v>ортер|есное|дерево|азвивающая|игра|форме|дерева|фигурками|животных|птиц|спользуется|для|развития|логики|моторики|познавательных|навыков</v>
      </c>
      <c r="I829" s="1"/>
      <c r="J829" s="1"/>
    </row>
    <row r="830" spans="1:10" x14ac:dyDescent="0.2">
      <c r="A830" s="8" t="s">
        <v>1159</v>
      </c>
      <c r="B830" s="7" t="s">
        <v>1158</v>
      </c>
      <c r="C830" s="7" t="s">
        <v>1157</v>
      </c>
      <c r="D830" s="6">
        <v>8600</v>
      </c>
      <c r="E830" s="5">
        <v>1</v>
      </c>
      <c r="F830" s="4" t="str">
        <f ca="1">IFERROR(__xludf.DUMMYFUNCTION("LOWER(REGEXREPLACE(B830&amp;"" ""&amp;C830,""[^а-яa-z0-9 ]"","" ""))")," ортер   ыбалка   агнитный сортер предназначен для развития координации рук  внимания и точности движений ")</f>
        <v xml:space="preserve"> ортер   ыбалка   агнитный сортер предназначен для развития координации рук  внимания и точности движений </v>
      </c>
      <c r="G830" s="4" t="str">
        <f ca="1">IFERROR(__xludf.DUMMYFUNCTION("TEXTJOIN(""|"",TRUE,UNIQUE(FILTER(SPLIT(F830,"" ""),LEN(SPLIT(F830,"" ""))&gt;2)))"),"ортер|ыбалка|агнитный|сортер|предназначен|для|развития|координации|рук|внимания|точности|движений")</f>
        <v>ортер|ыбалка|агнитный|сортер|предназначен|для|развития|координации|рук|внимания|точности|движений</v>
      </c>
      <c r="I830" s="1"/>
      <c r="J830" s="1"/>
    </row>
    <row r="831" spans="1:10" x14ac:dyDescent="0.2">
      <c r="A831" s="8" t="s">
        <v>1156</v>
      </c>
      <c r="B831" s="7" t="s">
        <v>1155</v>
      </c>
      <c r="C831" s="7" t="s">
        <v>1154</v>
      </c>
      <c r="D831" s="6">
        <v>3400</v>
      </c>
      <c r="E831" s="5">
        <v>14</v>
      </c>
      <c r="F831" s="4" t="str">
        <f ca="1">IFERROR(__xludf.DUMMYFUNCTION("LOWER(REGEXREPLACE(B831&amp;"" ""&amp;C831,""[^а-яa-z0-9 ]"","" ""))"),"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f>
        <v xml:space="preserve">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v>
      </c>
      <c r="G831" s="4" t="str">
        <f ca="1">IFERROR(__xludf.DUMMYFUNCTION("TEXTJOIN(""|"",TRUE,UNIQUE(FILTER(SPLIT(F831,"" ""),LEN(SPLIT(F831,"" ""))&gt;2)))"),"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f>
        <v>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v>
      </c>
      <c r="I831" s="1"/>
      <c r="J831" s="1"/>
    </row>
    <row r="832" spans="1:10" x14ac:dyDescent="0.2">
      <c r="A832" s="8" t="s">
        <v>1153</v>
      </c>
      <c r="B832" s="7" t="s">
        <v>1152</v>
      </c>
      <c r="C832" s="7" t="s">
        <v>1151</v>
      </c>
      <c r="D832" s="6">
        <v>10500</v>
      </c>
      <c r="E832" s="5">
        <v>7</v>
      </c>
      <c r="F832" s="4" t="str">
        <f ca="1">IFERROR(__xludf.DUMMYFUNCTION("LOWER(REGEXREPLACE(B832&amp;"" ""&amp;C832,""[^а-яa-z0-9 ]"","" ""))")," ортер для шариков  еревянный сортер предназначен для развития координации движений  внимания и навыков сортировки ")</f>
        <v xml:space="preserve"> ортер для шариков  еревянный сортер предназначен для развития координации движений  внимания и навыков сортировки </v>
      </c>
      <c r="G832" s="4" t="str">
        <f ca="1">IFERROR(__xludf.DUMMYFUNCTION("TEXTJOIN(""|"",TRUE,UNIQUE(FILTER(SPLIT(F832,"" ""),LEN(SPLIT(F832,"" ""))&gt;2)))"),"ортер|для|шариков|еревянный|сортер|предназначен|для|развития|координации|движений|внимания|навыков|сортировки")</f>
        <v>ортер|для|шариков|еревянный|сортер|предназначен|для|развития|координации|движений|внимания|навыков|сортировки</v>
      </c>
      <c r="I832" s="1"/>
      <c r="J832" s="1"/>
    </row>
    <row r="833" spans="1:10" x14ac:dyDescent="0.2">
      <c r="A833" s="8" t="s">
        <v>1150</v>
      </c>
      <c r="B833" s="7" t="s">
        <v>1149</v>
      </c>
      <c r="C833" s="7" t="s">
        <v>1148</v>
      </c>
      <c r="D833" s="6">
        <v>7600</v>
      </c>
      <c r="E833" s="5">
        <v>1</v>
      </c>
      <c r="F833" s="4" t="str">
        <f ca="1">IFERROR(__xludf.DUMMYFUNCTION("LOWER(REGEXREPLACE(B833&amp;"" ""&amp;C833,""[^а-яa-z0-9 ]"","" ""))")," ортер разноцветные фигурки  ортер предназначен для обучения сортировке по цвету и форме   азвивает внимание и мелкую моторику ")</f>
        <v xml:space="preserve"> ортер разноцветные фигурки  ортер предназначен для обучения сортировке по цвету и форме   азвивает внимание и мелкую моторику </v>
      </c>
      <c r="G833" s="4" t="str">
        <f ca="1">IFERROR(__xludf.DUMMYFUNCTION("TEXTJOIN(""|"",TRUE,UNIQUE(FILTER(SPLIT(F833,"" ""),LEN(SPLIT(F833,"" ""))&gt;2)))"),"ортер|разноцветные|фигурки|ортер|предназначен|для|обучения|сортировке|цвету|форме|азвивает|внимание|мелкую|моторику")</f>
        <v>ортер|разноцветные|фигурки|ортер|предназначен|для|обучения|сортировке|цвету|форме|азвивает|внимание|мелкую|моторику</v>
      </c>
      <c r="I833" s="1"/>
      <c r="J833" s="1"/>
    </row>
    <row r="834" spans="1:10" x14ac:dyDescent="0.2">
      <c r="A834" s="8" t="s">
        <v>1147</v>
      </c>
      <c r="B834" s="7" t="s">
        <v>1146</v>
      </c>
      <c r="C834" s="7" t="s">
        <v>1145</v>
      </c>
      <c r="D834" s="6">
        <v>8600</v>
      </c>
      <c r="E834" s="5">
        <v>1</v>
      </c>
      <c r="F834" s="4" t="str">
        <f ca="1">IFERROR(__xludf.DUMMYFUNCTION("LOWER(REGEXREPLACE(B834&amp;"" ""&amp;C834,""[^а-яa-z0-9 ]"","" ""))")," ортер фигур  еревянный сортер с платформой и геометрическими фигурками   спользуется для развития логического мышления и моторики ")</f>
        <v xml:space="preserve"> ортер фигур  еревянный сортер с платформой и геометрическими фигурками   спользуется для развития логического мышления и моторики </v>
      </c>
      <c r="G834" s="4" t="str">
        <f ca="1">IFERROR(__xludf.DUMMYFUNCTION("TEXTJOIN(""|"",TRUE,UNIQUE(FILTER(SPLIT(F834,"" ""),LEN(SPLIT(F834,"" ""))&gt;2)))"),"ортер|фигур|еревянный|сортер|платформой|геометрическими|фигурками|спользуется|для|развития|логического|мышления|моторики")</f>
        <v>ортер|фигур|еревянный|сортер|платформой|геометрическими|фигурками|спользуется|для|развития|логического|мышления|моторики</v>
      </c>
      <c r="I834" s="1"/>
      <c r="J834" s="1"/>
    </row>
    <row r="835" spans="1:10" x14ac:dyDescent="0.2">
      <c r="A835" s="8" t="s">
        <v>1144</v>
      </c>
      <c r="B835" s="7" t="s">
        <v>1143</v>
      </c>
      <c r="C835" s="7" t="s">
        <v>1142</v>
      </c>
      <c r="D835" s="6">
        <v>11400</v>
      </c>
      <c r="E835" s="5">
        <v>1</v>
      </c>
      <c r="F835" s="4" t="str">
        <f ca="1">IFERROR(__xludf.DUMMYFUNCTION("LOWER(REGEXREPLACE(B835&amp;"" ""&amp;C835,""[^а-яa-z0-9 ]"","" ""))")," ортировочный набор  абор предназначен для обучения сортировке и захвату предметов   ключает деревянные стаканчики  шары  ложку и пинцет ")</f>
        <v xml:space="preserve"> ортировочный набор  абор предназначен для обучения сортировке и захвату предметов   ключает деревянные стаканчики  шары  ложку и пинцет </v>
      </c>
      <c r="G835" s="4" t="str">
        <f ca="1">IFERROR(__xludf.DUMMYFUNCTION("TEXTJOIN(""|"",TRUE,UNIQUE(FILTER(SPLIT(F835,"" ""),LEN(SPLIT(F835,"" ""))&gt;2)))"),"ортировочный|набор|абор|предназначен|для|обучения|сортировке|захвату|предметов|ключает|деревянные|стаканчики|шары|ложку|пинцет")</f>
        <v>ортировочный|набор|абор|предназначен|для|обучения|сортировке|захвату|предметов|ключает|деревянные|стаканчики|шары|ложку|пинцет</v>
      </c>
      <c r="I835" s="1"/>
      <c r="J835" s="1"/>
    </row>
    <row r="836" spans="1:10" x14ac:dyDescent="0.2">
      <c r="A836" s="8" t="s">
        <v>1141</v>
      </c>
      <c r="B836" s="7" t="s">
        <v>1140</v>
      </c>
      <c r="C836" s="7" t="s">
        <v>1139</v>
      </c>
      <c r="D836" s="6">
        <v>27400</v>
      </c>
      <c r="E836" s="5">
        <v>5</v>
      </c>
      <c r="F836" s="4" t="str">
        <f ca="1">IFERROR(__xludf.DUMMYFUNCTION("LOWER(REGEXREPLACE(B836&amp;"" ""&amp;C836,""[^а-яa-z0-9 ]"","" ""))"),"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f>
        <v xml:space="preserve">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v>
      </c>
      <c r="G836" s="4" t="str">
        <f ca="1">IFERROR(__xludf.DUMMYFUNCTION("TEXTJOIN(""|"",TRUE,UNIQUE(FILTER(SPLIT(F836,"" ""),LEN(SPLIT(F836,"" ""))&gt;2)))"),"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f>
        <v>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v>
      </c>
      <c r="I836" s="1"/>
      <c r="J836" s="1"/>
    </row>
    <row r="837" spans="1:10" x14ac:dyDescent="0.2">
      <c r="A837" s="8" t="s">
        <v>1138</v>
      </c>
      <c r="B837" s="7" t="s">
        <v>1137</v>
      </c>
      <c r="C837" s="7" t="s">
        <v>1136</v>
      </c>
      <c r="D837" s="6">
        <v>1200</v>
      </c>
      <c r="E837" s="5">
        <v>10</v>
      </c>
      <c r="F837" s="4" t="str">
        <f ca="1">IFERROR(__xludf.DUMMYFUNCTION("LOWER(REGEXREPLACE(B837&amp;"" ""&amp;C837,""[^а-яa-z0-9 ]"","" ""))"),"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f>
        <v xml:space="preserve">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v>
      </c>
      <c r="G837" s="4" t="str">
        <f ca="1">IFERROR(__xludf.DUMMYFUNCTION("TEXTJOIN(""|"",TRUE,UNIQUE(FILTER(SPLIT(F837,"" ""),LEN(SPLIT(F837,"" ""))&gt;2)))"),"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f>
        <v>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v>
      </c>
      <c r="I837" s="1"/>
      <c r="J837" s="1"/>
    </row>
    <row r="838" spans="1:10" x14ac:dyDescent="0.2">
      <c r="A838" s="8" t="s">
        <v>1135</v>
      </c>
      <c r="B838" s="7" t="s">
        <v>1134</v>
      </c>
      <c r="C838" s="7" t="s">
        <v>1133</v>
      </c>
      <c r="D838" s="6">
        <v>24700</v>
      </c>
      <c r="E838" s="5">
        <v>7</v>
      </c>
      <c r="F838" s="4" t="str">
        <f ca="1">IFERROR(__xludf.DUMMYFUNCTION("LOWER(REGEXREPLACE(B838&amp;"" ""&amp;C838,""[^а-яa-z0-9 ]"","" ""))"),"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"&amp;"выполнены из дерева ")</f>
        <v xml:space="preserve">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v>
      </c>
      <c r="G838" s="4" t="str">
        <f ca="1">IFERROR(__xludf.DUMMYFUNCTION("TEXTJOIN(""|"",TRUE,UNIQUE(FILTER(SPLIT(F838,"" ""),LEN(SPLIT(F838,"" ""))&gt;2)))"),"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f>
        <v>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v>
      </c>
      <c r="I838" s="1"/>
      <c r="J838" s="1"/>
    </row>
    <row r="839" spans="1:10" x14ac:dyDescent="0.2">
      <c r="A839" s="8" t="s">
        <v>1132</v>
      </c>
      <c r="B839" s="7" t="s">
        <v>1131</v>
      </c>
      <c r="C839" s="7" t="s">
        <v>1130</v>
      </c>
      <c r="D839" s="6">
        <v>133000</v>
      </c>
      <c r="E839" s="5">
        <v>10</v>
      </c>
      <c r="F839" s="4" t="str">
        <f ca="1">IFERROR(__xludf.DUMMYFUNCTION("LOWER(REGEXREPLACE(B839&amp;"" ""&amp;C839,""[^а-яa-z0-9 ]"","" ""))"),"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f>
        <v xml:space="preserve">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v>
      </c>
      <c r="G839" s="4" t="str">
        <f ca="1">IFERROR(__xludf.DUMMYFUNCTION("TEXTJOIN(""|"",TRUE,UNIQUE(FILTER(SPLIT(F839,"" ""),LEN(SPLIT(F839,"" ""))&gt;2)))"),"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f>
        <v>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v>
      </c>
      <c r="I839" s="1"/>
      <c r="J839" s="1"/>
    </row>
    <row r="840" spans="1:10" x14ac:dyDescent="0.2">
      <c r="A840" s="8" t="s">
        <v>1129</v>
      </c>
      <c r="B840" s="7" t="s">
        <v>1128</v>
      </c>
      <c r="C840" s="7" t="s">
        <v>1125</v>
      </c>
      <c r="D840" s="6">
        <v>9000</v>
      </c>
      <c r="E840" s="5">
        <v>4</v>
      </c>
      <c r="F840" s="4" t="str">
        <f ca="1">IFERROR(__xludf.DUMMYFUNCTION("LOWER(REGEXREPLACE(B840&amp;"" ""&amp;C840,""[^а-яa-z0-9 ]"","" ""))"),"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G840" s="4" t="str">
        <f ca="1">IFERROR(__xludf.DUMMYFUNCTION("TEXTJOIN(""|"",TRUE,UNIQUE(FILTER(SPLIT(F840,"" ""),LEN(SPLIT(F840,"" ""))&gt;2)))"),"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v>
      </c>
      <c r="I840" s="1"/>
      <c r="J840" s="1"/>
    </row>
    <row r="841" spans="1:10" x14ac:dyDescent="0.2">
      <c r="A841" s="8" t="s">
        <v>1127</v>
      </c>
      <c r="B841" s="7" t="s">
        <v>1126</v>
      </c>
      <c r="C841" s="7" t="s">
        <v>1125</v>
      </c>
      <c r="D841" s="6">
        <v>17600</v>
      </c>
      <c r="E841" s="5">
        <v>48</v>
      </c>
      <c r="F841" s="4" t="str">
        <f ca="1">IFERROR(__xludf.DUMMYFUNCTION("LOWER(REGEXREPLACE(B841&amp;"" ""&amp;C841,""[^а-яa-z0-9 ]"","" ""))"),"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G841" s="4" t="str">
        <f ca="1">IFERROR(__xludf.DUMMYFUNCTION("TEXTJOIN(""|"",TRUE,UNIQUE(FILTER(SPLIT(F841,"" ""),LEN(SPLIT(F841,"" ""))&gt;2)))"),"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v>
      </c>
      <c r="I841" s="1"/>
      <c r="J841" s="1"/>
    </row>
    <row r="842" spans="1:10" x14ac:dyDescent="0.2">
      <c r="A842" s="8" t="s">
        <v>1124</v>
      </c>
      <c r="B842" s="7" t="s">
        <v>1123</v>
      </c>
      <c r="C842" s="7" t="s">
        <v>1122</v>
      </c>
      <c r="D842" s="6">
        <v>34800</v>
      </c>
      <c r="E842" s="5">
        <v>2</v>
      </c>
      <c r="F842" s="4" t="str">
        <f ca="1">IFERROR(__xludf.DUMMYFUNCTION("LOWER(REGEXREPLACE(B842&amp;"" ""&amp;C842,""[^а-яa-z0-9 ]"","" ""))"),"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f>
        <v xml:space="preserve">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v>
      </c>
      <c r="G842" s="4" t="str">
        <f ca="1">IFERROR(__xludf.DUMMYFUNCTION("TEXTJOIN(""|"",TRUE,UNIQUE(FILTER(SPLIT(F842,"" ""),LEN(SPLIT(F842,"" ""))&gt;2)))"),"теп|платформа|детская|етская|степ|платформа|размером|спользуется|для|физических|упражнений|развития|координации|выносливости|двигательной|активности")</f>
        <v>теп|платформа|детская|етская|степ|платформа|размером|спользуется|для|физических|упражнений|развития|координации|выносливости|двигательной|активности</v>
      </c>
      <c r="I842" s="1"/>
      <c r="J842" s="1"/>
    </row>
    <row r="843" spans="1:10" x14ac:dyDescent="0.2">
      <c r="A843" s="8" t="s">
        <v>1121</v>
      </c>
      <c r="B843" s="7" t="s">
        <v>1120</v>
      </c>
      <c r="C843" s="7" t="s">
        <v>1119</v>
      </c>
      <c r="D843" s="6">
        <v>10500</v>
      </c>
      <c r="E843" s="5">
        <v>2</v>
      </c>
      <c r="F843" s="4" t="str">
        <f ca="1">IFERROR(__xludf.DUMMYFUNCTION("LOWER(REGEXREPLACE(B843&amp;"" ""&amp;C843,""[^а-яa-z0-9 ]"","" ""))")," тетоскоп  едицинский инструмент для прослушивания дыхания и сердечных тонов ")</f>
        <v xml:space="preserve"> тетоскоп  едицинский инструмент для прослушивания дыхания и сердечных тонов </v>
      </c>
      <c r="G843" s="4" t="str">
        <f ca="1">IFERROR(__xludf.DUMMYFUNCTION("TEXTJOIN(""|"",TRUE,UNIQUE(FILTER(SPLIT(F843,"" ""),LEN(SPLIT(F843,"" ""))&gt;2)))"),"тетоскоп|едицинский|инструмент|для|прослушивания|дыхания|сердечных|тонов")</f>
        <v>тетоскоп|едицинский|инструмент|для|прослушивания|дыхания|сердечных|тонов</v>
      </c>
      <c r="I843" s="1"/>
      <c r="J843" s="1"/>
    </row>
    <row r="844" spans="1:10" x14ac:dyDescent="0.2">
      <c r="A844" s="8" t="s">
        <v>1118</v>
      </c>
      <c r="B844" s="7" t="s">
        <v>1117</v>
      </c>
      <c r="C844" s="7" t="s">
        <v>1116</v>
      </c>
      <c r="D844" s="6">
        <v>35800</v>
      </c>
      <c r="E844" s="5">
        <v>5</v>
      </c>
      <c r="F844" s="4" t="str">
        <f ca="1">IFERROR(__xludf.DUMMYFUNCTION("LOWER(REGEXREPLACE(B844&amp;"" ""&amp;C844,""[^а-яa-z0-9 ]"","" ""))"),"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"&amp;"игр ")</f>
        <v xml:space="preserve">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v>
      </c>
      <c r="G844" s="4" t="str">
        <f ca="1">IFERROR(__xludf.DUMMYFUNCTION("TEXTJOIN(""|"",TRUE,UNIQUE(FILTER(SPLIT(F844,"" ""),LEN(SPLIT(F844,"" ""))&gt;2)))"),"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f>
        <v>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v>
      </c>
      <c r="I844" s="1"/>
      <c r="J844" s="1"/>
    </row>
    <row r="845" spans="1:10" x14ac:dyDescent="0.2">
      <c r="A845" s="8" t="s">
        <v>1115</v>
      </c>
      <c r="B845" s="7" t="s">
        <v>1114</v>
      </c>
      <c r="C845" s="7" t="s">
        <v>1113</v>
      </c>
      <c r="D845" s="6">
        <v>11500</v>
      </c>
      <c r="E845" s="5">
        <v>5</v>
      </c>
      <c r="F845" s="4" t="str">
        <f ca="1">IFERROR(__xludf.DUMMYFUNCTION("LOWER(REGEXREPLACE(B845&amp;"" ""&amp;C845,""[^а-яa-z0-9 ]"","" ""))"),"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f>
        <v xml:space="preserve">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v>
      </c>
      <c r="G845" s="4" t="str">
        <f ca="1">IFERROR(__xludf.DUMMYFUNCTION("TEXTJOIN(""|"",TRUE,UNIQUE(FILTER(SPLIT(F845,"" ""),LEN(SPLIT(F845,"" ""))&gt;2)))"),"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f>
        <v>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v>
      </c>
      <c r="I845" s="1"/>
      <c r="J845" s="1"/>
    </row>
    <row r="846" spans="1:10" x14ac:dyDescent="0.2">
      <c r="A846" s="8" t="s">
        <v>1112</v>
      </c>
      <c r="B846" s="7" t="s">
        <v>1111</v>
      </c>
      <c r="C846" s="7" t="s">
        <v>1110</v>
      </c>
      <c r="D846" s="6">
        <v>6300</v>
      </c>
      <c r="E846" s="5">
        <v>5</v>
      </c>
      <c r="F846" s="4" t="str">
        <f ca="1">IFERROR(__xludf.DUMMYFUNCTION("LOWER(REGEXREPLACE(B846&amp;"" ""&amp;C846,""[^а-яa-z0-9 ]"","" ""))"),"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раз"&amp;"витие пространственного мышления и координации движений    комплект входит не менее 49 элементов различной формы и цвета   атериал изготовления   пластик ")</f>
        <v xml:space="preserve">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v>
      </c>
      <c r="G846" s="4" t="str">
        <f ca="1">IFERROR(__xludf.DUMMYFUNCTION("TEXTJOIN(""|"",TRUE,UNIQUE(FILTER(SPLIT(F846,"" ""),LEN(SPLIT(F846,"" ""))&gt;2)))"),"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amp;"го|мышления|координации|движений|комплект|входит|менее|элементов|различной|формы|цвета|атериал|изготовления|пластик")</f>
        <v>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v>
      </c>
      <c r="I846" s="1"/>
      <c r="J846" s="1"/>
    </row>
    <row r="847" spans="1:10" x14ac:dyDescent="0.2">
      <c r="A847" s="8" t="s">
        <v>1109</v>
      </c>
      <c r="B847" s="7" t="s">
        <v>1108</v>
      </c>
      <c r="C847" s="7" t="s">
        <v>1107</v>
      </c>
      <c r="D847" s="6">
        <v>7500</v>
      </c>
      <c r="E847" s="5">
        <v>5</v>
      </c>
      <c r="F847" s="4" t="str">
        <f ca="1">IFERROR(__xludf.DUMMYFUNCTION("LOWER(REGEXREPLACE(B847&amp;"" ""&amp;C847,""[^а-яa-z0-9 ]"","" ""))"),"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f>
        <v xml:space="preserve">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v>
      </c>
      <c r="G847" s="4" t="str">
        <f ca="1">IFERROR(__xludf.DUMMYFUNCTION("TEXTJOIN(""|"",TRUE,UNIQUE(FILTER(SPLIT(F847,"" ""),LEN(SPLIT(F847,"" ""))&gt;2)))"),"умка|для|девочек|етская|сумка|предназначена|для|сюжетно|ролевых|игр|повседневного|использования|детском|саду|атериал|экокожа|вет|розовый|серебристый|азмер")</f>
        <v>умка|для|девочек|етская|сумка|предназначена|для|сюжетно|ролевых|игр|повседневного|использования|детском|саду|атериал|экокожа|вет|розовый|серебристый|азмер</v>
      </c>
      <c r="I847" s="1"/>
      <c r="J847" s="1"/>
    </row>
    <row r="848" spans="1:10" x14ac:dyDescent="0.2">
      <c r="A848" s="8" t="s">
        <v>1106</v>
      </c>
      <c r="B848" s="7" t="s">
        <v>1105</v>
      </c>
      <c r="C848" s="7" t="s">
        <v>1104</v>
      </c>
      <c r="D848" s="6">
        <v>49400</v>
      </c>
      <c r="E848" s="5">
        <v>70</v>
      </c>
      <c r="F848" s="4" t="str">
        <f ca="1">IFERROR(__xludf.DUMMYFUNCTION("LOWER(REGEXREPLACE(B848&amp;"" ""&amp;C848,""[^а-яa-z0-9 ]"","" ""))"),"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f>
        <v xml:space="preserve">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v>
      </c>
      <c r="G848" s="4" t="str">
        <f ca="1">IFERROR(__xludf.DUMMYFUNCTION("TEXTJOIN(""|"",TRUE,UNIQUE(FILTER(SPLIT(F848,"" ""),LEN(SPLIT(F848,"" ""))&gt;2)))"),"умка|ручками|етская|сумка|ручками|предназначена|для|использования|детском|саду|переноска|личных|вещей|сменной|одежды|пособий|атериал|азмер")</f>
        <v>умка|ручками|етская|сумка|ручками|предназначена|для|использования|детском|саду|переноска|личных|вещей|сменной|одежды|пособий|атериал|азмер</v>
      </c>
      <c r="I848" s="1"/>
      <c r="J848" s="1"/>
    </row>
    <row r="849" spans="1:10" x14ac:dyDescent="0.2">
      <c r="A849" s="8" t="s">
        <v>1103</v>
      </c>
      <c r="B849" s="7" t="s">
        <v>1102</v>
      </c>
      <c r="C849" s="7" t="s">
        <v>1101</v>
      </c>
      <c r="D849" s="6">
        <v>29700</v>
      </c>
      <c r="E849" s="5">
        <v>6</v>
      </c>
      <c r="F849" s="4" t="str">
        <f ca="1">IFERROR(__xludf.DUMMYFUNCTION("LOWER(REGEXREPLACE(B849&amp;"" ""&amp;C849,""[^а-яa-z0-9 ]"","" ""))"),"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абота"&amp;" с кругом способствует развитию координации движений и творческого мышления   онструкция рассчитана на безопасное использование ")</f>
        <v xml:space="preserve">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v>
      </c>
      <c r="G849" s="4" t="str">
        <f ca="1">IFERROR(__xludf.DUMMYFUNCTION("TEXTJOIN(""|"",TRUE,UNIQUE(FILTER(SPLIT(F849,"" ""),LEN(SPLIT(F849,"" ""))&gt;2)))"),"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amp;"ует|развитию|координации|движений|творческого|мышления|онструкция|рассчитана|безопасное|использование")</f>
        <v>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v>
      </c>
      <c r="I849" s="1"/>
      <c r="J849" s="1"/>
    </row>
    <row r="850" spans="1:10" x14ac:dyDescent="0.2">
      <c r="A850" s="8" t="s">
        <v>1100</v>
      </c>
      <c r="B850" s="7" t="s">
        <v>1099</v>
      </c>
      <c r="C850" s="7" t="s">
        <v>1098</v>
      </c>
      <c r="D850" s="6">
        <v>17100</v>
      </c>
      <c r="E850" s="5">
        <v>14</v>
      </c>
      <c r="F850" s="4" t="str">
        <f ca="1">IFERROR(__xludf.DUMMYFUNCTION("LOWER(REGEXREPLACE(B850&amp;"" ""&amp;C850,""[^а-яa-z0-9 ]"","" ""))"),"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f>
        <v xml:space="preserve">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v>
      </c>
      <c r="G850" s="4" t="str">
        <f ca="1">IFERROR(__xludf.DUMMYFUNCTION("TEXTJOIN(""|"",TRUE,UNIQUE(FILTER(SPLIT(F850,"" ""),LEN(SPLIT(F850,"" ""))&gt;2)))"),"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f>
        <v>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v>
      </c>
      <c r="I850" s="1"/>
      <c r="J850" s="1"/>
    </row>
    <row r="851" spans="1:10" x14ac:dyDescent="0.2">
      <c r="A851" s="8" t="s">
        <v>1097</v>
      </c>
      <c r="B851" s="7" t="s">
        <v>1096</v>
      </c>
      <c r="C851" s="7" t="s">
        <v>1095</v>
      </c>
      <c r="D851" s="6">
        <v>66500</v>
      </c>
      <c r="E851" s="5">
        <v>1</v>
      </c>
      <c r="F851" s="4" t="str">
        <f ca="1">IFERROR(__xludf.DUMMYFUNCTION("LOWER(REGEXREPLACE(B851&amp;"" ""&amp;C851,""[^а-яa-z0-9 ]"","" ""))")," ундук  санды    екоративный сундук для хранения книг  настольных игр и текстильных элементов   спользуется также как интерьерный элемент   атериал   дерево или      ")</f>
        <v xml:space="preserve"> ундук  санды    екоративный сундук для хранения книг  настольных игр и текстильных элементов   спользуется также как интерьерный элемент   атериал   дерево или      </v>
      </c>
      <c r="G851" s="4" t="str">
        <f ca="1">IFERROR(__xludf.DUMMYFUNCTION("TEXTJOIN(""|"",TRUE,UNIQUE(FILTER(SPLIT(F851,"" ""),LEN(SPLIT(F851,"" ""))&gt;2)))"),"ундук|санды|екоративный|сундук|для|хранения|книг|настольных|игр|текстильных|элементов|спользуется|также|как|интерьерный|элемент|атериал|дерево|или")</f>
        <v>ундук|санды|екоративный|сундук|для|хранения|книг|настольных|игр|текстильных|элементов|спользуется|также|как|интерьерный|элемент|атериал|дерево|или</v>
      </c>
      <c r="I851" s="1"/>
      <c r="J851" s="1"/>
    </row>
    <row r="852" spans="1:10" x14ac:dyDescent="0.2">
      <c r="A852" s="8" t="s">
        <v>1094</v>
      </c>
      <c r="B852" s="7" t="s">
        <v>1093</v>
      </c>
      <c r="C852" s="7" t="s">
        <v>1092</v>
      </c>
      <c r="D852" s="6">
        <v>2118500</v>
      </c>
      <c r="E852" s="5">
        <v>1</v>
      </c>
      <c r="F852" s="4" t="str">
        <f ca="1">IFERROR(__xludf.DUMMYFUNCTION("LOWER(REGEXREPLACE(B852&amp;"" ""&amp;C852,""[^а-яa-z0-9 ]"","" ""))"),"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вст"&amp;"роенный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f>
        <v xml:space="preserve">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v>
      </c>
      <c r="G852" s="4" t="str">
        <f ca="1">IFERROR(__xludf.DUMMYFUNCTION("TEXTJOIN(""|"",TRUE,UNIQUE(FILTER(SPLIT(F852,"" ""),LEN(SPLIT(F852,"" ""))&gt;2)))"),"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amp;"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f>
        <v>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v>
      </c>
      <c r="I852" s="1"/>
      <c r="J852" s="1"/>
    </row>
    <row r="853" spans="1:10" x14ac:dyDescent="0.2">
      <c r="A853" s="8" t="s">
        <v>1091</v>
      </c>
      <c r="B853" s="7" t="s">
        <v>1090</v>
      </c>
      <c r="C853" s="7" t="s">
        <v>1089</v>
      </c>
      <c r="D853" s="6">
        <v>564300</v>
      </c>
      <c r="E853" s="5">
        <v>1</v>
      </c>
      <c r="F853" s="4" t="str">
        <f ca="1">IFERROR(__xludf.DUMMYFUNCTION("LOWER(REGEXREPLACE(B853&amp;"" ""&amp;C853,""[^а-яa-z0-9 ]"","" ""))"),"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f>
        <v xml:space="preserve">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v>
      </c>
      <c r="G853" s="4" t="str">
        <f ca="1">IFERROR(__xludf.DUMMYFUNCTION("TEXTJOIN(""|"",TRUE,UNIQUE(FILTER(SPLIT(F853,"" ""),LEN(SPLIT(F853,"" ""))&gt;2)))"),"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f>
        <v>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v>
      </c>
      <c r="I853" s="1"/>
      <c r="J853" s="1"/>
    </row>
    <row r="854" spans="1:10" x14ac:dyDescent="0.2">
      <c r="A854" s="8" t="s">
        <v>1088</v>
      </c>
      <c r="B854" s="7" t="s">
        <v>1087</v>
      </c>
      <c r="C854" s="7" t="s">
        <v>1086</v>
      </c>
      <c r="D854" s="6">
        <v>279300</v>
      </c>
      <c r="E854" s="5">
        <v>1</v>
      </c>
      <c r="F854" s="4" t="str">
        <f ca="1">IFERROR(__xludf.DUMMYFUNCTION("LOWER(REGEXREPLACE(B854&amp;"" ""&amp;C854,""[^а-яa-z0-9 ]"","" ""))"),"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f>
        <v xml:space="preserve">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v>
      </c>
      <c r="G854" s="4" t="str">
        <f ca="1">IFERROR(__xludf.DUMMYFUNCTION("TEXTJOIN(""|"",TRUE,UNIQUE(FILTER(SPLIT(F854,"" ""),LEN(SPLIT(F854,"" ""))&gt;2)))"),"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f>
        <v>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v>
      </c>
      <c r="I854" s="1"/>
      <c r="J854" s="1"/>
    </row>
    <row r="855" spans="1:10" x14ac:dyDescent="0.2">
      <c r="A855" s="8" t="s">
        <v>1085</v>
      </c>
      <c r="B855" s="7" t="s">
        <v>1084</v>
      </c>
      <c r="C855" s="7" t="s">
        <v>1083</v>
      </c>
      <c r="D855" s="6">
        <v>3000</v>
      </c>
      <c r="E855" s="5">
        <v>1</v>
      </c>
      <c r="F855" s="4" t="str">
        <f ca="1">IFERROR(__xludf.DUMMYFUNCTION("LOWER(REGEXREPLACE(B855&amp;"" ""&amp;C855,""[^а-яa-z0-9 ]"","" ""))"),"  р к жек   ртег   ояма    растар ан  ужикова   ")</f>
        <v xml:space="preserve">  р к жек   ртег   ояма    растар ан  ужикова   </v>
      </c>
      <c r="G855" s="4" t="str">
        <f ca="1">IFERROR(__xludf.DUMMYFUNCTION("TEXTJOIN(""|"",TRUE,UNIQUE(FILTER(SPLIT(F855,"" ""),LEN(SPLIT(F855,"" ""))&gt;2)))"),"жек|ртег|ояма|растар|ужикова")</f>
        <v>жек|ртег|ояма|растар|ужикова</v>
      </c>
      <c r="I855" s="1"/>
      <c r="J855" s="1"/>
    </row>
    <row r="856" spans="1:10" x14ac:dyDescent="0.2">
      <c r="A856" s="8" t="s">
        <v>1082</v>
      </c>
      <c r="B856" s="7" t="s">
        <v>1081</v>
      </c>
      <c r="C856" s="7" t="s">
        <v>1080</v>
      </c>
      <c r="D856" s="6">
        <v>3500</v>
      </c>
      <c r="E856" s="5">
        <v>75</v>
      </c>
      <c r="F856" s="4" t="str">
        <f ca="1">IFERROR(__xludf.DUMMYFUNCTION("LOWER(REGEXREPLACE(B856&amp;"" ""&amp;C856,""[^а-яa-z0-9 ]"","" ""))"),"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f>
        <v xml:space="preserve">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v>
      </c>
      <c r="G856" s="4" t="str">
        <f ca="1">IFERROR(__xludf.DUMMYFUNCTION("TEXTJOIN(""|"",TRUE,UNIQUE(FILTER(SPLIT(F856,"" ""),LEN(SPLIT(F856,"" ""))&gt;2)))"),"тные|палочки|тные|палочки|количестве|спользуются|для|обучения|развитию|математических|представлений|логического|мышления|атериал|безопасный|пластик")</f>
        <v>тные|палочки|тные|палочки|количестве|спользуются|для|обучения|развитию|математических|представлений|логического|мышления|атериал|безопасный|пластик</v>
      </c>
      <c r="I856" s="1"/>
      <c r="J856" s="1"/>
    </row>
    <row r="857" spans="1:10" x14ac:dyDescent="0.2">
      <c r="A857" s="8" t="s">
        <v>1079</v>
      </c>
      <c r="B857" s="7" t="s">
        <v>1078</v>
      </c>
      <c r="C857" s="7" t="s">
        <v>1077</v>
      </c>
      <c r="D857" s="6">
        <v>2600</v>
      </c>
      <c r="E857" s="5">
        <v>175</v>
      </c>
      <c r="F857" s="4" t="str">
        <f ca="1">IFERROR(__xludf.DUMMYFUNCTION("LOWER(REGEXREPLACE(B857&amp;"" ""&amp;C857,""[^а-яa-z0-9 ]"","" ""))")," ч тный материал  асса цифр и сч тных материалов предназначена для обучения детей основам сч та   атериал   пластик  элементы безопасны для использования в     ")</f>
        <v xml:space="preserve"> ч тный материал  асса цифр и сч тных материалов предназначена для обучения детей основам сч та   атериал   пластик  элементы безопасны для использования в     </v>
      </c>
      <c r="G857" s="4" t="str">
        <f ca="1">IFERROR(__xludf.DUMMYFUNCTION("TEXTJOIN(""|"",TRUE,UNIQUE(FILTER(SPLIT(F857,"" ""),LEN(SPLIT(F857,"" ""))&gt;2)))"),"тный|материал|асса|цифр|тных|материалов|предназначена|для|обучения|детей|основам|атериал|пластик|элементы|безопасны|для|использования")</f>
        <v>тный|материал|асса|цифр|тных|материалов|предназначена|для|обучения|детей|основам|атериал|пластик|элементы|безопасны|для|использования</v>
      </c>
      <c r="I857" s="1"/>
      <c r="J857" s="1"/>
    </row>
    <row r="858" spans="1:10" x14ac:dyDescent="0.2">
      <c r="A858" s="8" t="s">
        <v>1076</v>
      </c>
      <c r="B858" s="7" t="s">
        <v>1075</v>
      </c>
      <c r="C858" s="7" t="s">
        <v>1074</v>
      </c>
      <c r="D858" s="6">
        <v>9700</v>
      </c>
      <c r="E858" s="5">
        <v>5</v>
      </c>
      <c r="F858" s="4" t="str">
        <f ca="1">IFERROR(__xludf.DUMMYFUNCTION("LOWER(REGEXREPLACE(B858&amp;"" ""&amp;C858,""[^а-яa-z0-9 ]"","" ""))"),"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рименяет"&amp;"ся в учебно игровой деятельности ")</f>
        <v xml:space="preserve">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v>
      </c>
      <c r="G858" s="4" t="str">
        <f ca="1">IFERROR(__xludf.DUMMYFUNCTION("TEXTJOIN(""|"",TRUE,UNIQUE(FILTER(SPLIT(F858,"" ""),LEN(SPLIT(F858,"" ""))&gt;2)))"),"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f>
        <v>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v>
      </c>
      <c r="I858" s="1"/>
      <c r="J858" s="1"/>
    </row>
    <row r="859" spans="1:10" x14ac:dyDescent="0.2">
      <c r="A859" s="8" t="s">
        <v>1073</v>
      </c>
      <c r="B859" s="7" t="s">
        <v>1072</v>
      </c>
      <c r="C859" s="7" t="s">
        <v>1071</v>
      </c>
      <c r="D859" s="6">
        <v>45600</v>
      </c>
      <c r="E859" s="5">
        <v>5</v>
      </c>
      <c r="F859" s="4" t="str">
        <f ca="1">IFERROR(__xludf.DUMMYFUNCTION("LOWER(REGEXREPLACE(B859&amp;"" ""&amp;C859,""[^а-яa-z0-9 ]"","" ""))"),"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воспри"&amp;"ятия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f>
        <v xml:space="preserve">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v>
      </c>
      <c r="G859" s="4" t="str">
        <f ca="1">IFERROR(__xludf.DUMMYFUNCTION("TEXTJOIN(""|"",TRUE,UNIQUE(FILTER(SPLIT(F859,"" ""),LEN(SPLIT(F859,"" ""))&gt;2)))"),"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amp;"х|растений|азмещаются|помещениях|декоративных|мкостях|требуют|сложного|ухода|подходят|для|эксплуатации|закрытых|пространствах")</f>
        <v>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v>
      </c>
      <c r="I859" s="1"/>
      <c r="J859" s="1"/>
    </row>
    <row r="860" spans="1:10" x14ac:dyDescent="0.2">
      <c r="A860" s="8" t="s">
        <v>1070</v>
      </c>
      <c r="B860" s="7" t="s">
        <v>1069</v>
      </c>
      <c r="C860" s="7" t="s">
        <v>1068</v>
      </c>
      <c r="D860" s="6">
        <v>13000</v>
      </c>
      <c r="E860" s="5">
        <v>10</v>
      </c>
      <c r="F860" s="4" t="str">
        <f ca="1">IFERROR(__xludf.DUMMYFUNCTION("LOWER(REGEXREPLACE(B860&amp;"" ""&amp;C860,""[^а-яa-z0-9 ]"","" ""))"),"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деятельност"&amp;"ь способствует освоению операций сч та и развитию внимания   онструкция рассчитана на многократное использование ")</f>
        <v xml:space="preserve">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v>
      </c>
      <c r="G860" s="4" t="str">
        <f ca="1">IFERROR(__xludf.DUMMYFUNCTION("TEXTJOIN(""|"",TRUE,UNIQUE(FILTER(SPLIT(F860,"" ""),LEN(SPLIT(F860,"" ""))&gt;2)))"),"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amp;"тию|внимания|онструкция|рассчитана|многократное|использование")</f>
        <v>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v>
      </c>
      <c r="I860" s="1"/>
      <c r="J860" s="1"/>
    </row>
    <row r="861" spans="1:10" x14ac:dyDescent="0.2">
      <c r="A861" s="8" t="s">
        <v>1067</v>
      </c>
      <c r="B861" s="7" t="s">
        <v>1066</v>
      </c>
      <c r="C861" s="7" t="s">
        <v>1065</v>
      </c>
      <c r="D861" s="6">
        <v>7300</v>
      </c>
      <c r="E861" s="5">
        <v>21</v>
      </c>
      <c r="F861" s="4" t="str">
        <f ca="1">IFERROR(__xludf.DUMMYFUNCTION("LOWER(REGEXREPLACE(B861&amp;"" ""&amp;C861,""[^а-яa-z0-9 ]"","" ""))")," южетные картинки  абор сюжетных картинок используется для развития речи  мышления и воображения детей   рименяется в индивидуальной и групповой работе ")</f>
        <v xml:space="preserve"> южетные картинки  абор сюжетных картинок используется для развития речи  мышления и воображения детей   рименяется в индивидуальной и групповой работе </v>
      </c>
      <c r="G861" s="4" t="str">
        <f ca="1">IFERROR(__xludf.DUMMYFUNCTION("TEXTJOIN(""|"",TRUE,UNIQUE(FILTER(SPLIT(F861,"" ""),LEN(SPLIT(F861,"" ""))&gt;2)))"),"южетные|картинки|абор|сюжетных|картинок|используется|для|развития|речи|мышления|воображения|детей|рименяется|индивидуальной|групповой|работе")</f>
        <v>южетные|картинки|абор|сюжетных|картинок|используется|для|развития|речи|мышления|воображения|детей|рименяется|индивидуальной|групповой|работе</v>
      </c>
      <c r="I861" s="1"/>
      <c r="J861" s="1"/>
    </row>
    <row r="862" spans="1:10" x14ac:dyDescent="0.2">
      <c r="A862" s="8" t="s">
        <v>1064</v>
      </c>
      <c r="B862" s="7" t="s">
        <v>1063</v>
      </c>
      <c r="C862" s="7" t="s">
        <v>1062</v>
      </c>
      <c r="D862" s="6">
        <v>9500</v>
      </c>
      <c r="E862" s="5">
        <v>1</v>
      </c>
      <c r="F862" s="4" t="str">
        <f ca="1">IFERROR(__xludf.DUMMYFUNCTION("LOWER(REGEXREPLACE(B862&amp;"" ""&amp;C862,""[^а-яa-z0-9 ]"","" ""))")," южетные картинки   комплекты  абор сюжетных картинок по теме   кружающий мир    атериал   бумага  картон   спользуется в образовательной деятельности     ")</f>
        <v xml:space="preserve"> южетные картинки   комплекты  абор сюжетных картинок по теме   кружающий мир    атериал   бумага  картон   спользуется в образовательной деятельности     </v>
      </c>
      <c r="G862" s="4" t="str">
        <f ca="1">IFERROR(__xludf.DUMMYFUNCTION("TEXTJOIN(""|"",TRUE,UNIQUE(FILTER(SPLIT(F862,"" ""),LEN(SPLIT(F862,"" ""))&gt;2)))"),"южетные|картинки|комплекты|абор|сюжетных|картинок|теме|кружающий|мир|атериал|бумага|картон|спользуется|образовательной|деятельности")</f>
        <v>южетные|картинки|комплекты|абор|сюжетных|картинок|теме|кружающий|мир|атериал|бумага|картон|спользуется|образовательной|деятельности</v>
      </c>
      <c r="I862" s="1"/>
      <c r="J862" s="1"/>
    </row>
    <row r="863" spans="1:10" x14ac:dyDescent="0.2">
      <c r="A863" s="8" t="s">
        <v>1061</v>
      </c>
      <c r="B863" s="7" t="s">
        <v>1060</v>
      </c>
      <c r="C863" s="7" t="s">
        <v>1059</v>
      </c>
      <c r="D863" s="6">
        <v>5700</v>
      </c>
      <c r="E863" s="5">
        <v>7</v>
      </c>
      <c r="F863" s="4" t="str">
        <f ca="1">IFERROR(__xludf.DUMMYFUNCTION("LOWER(REGEXREPLACE(B863&amp;"" ""&amp;C863,""[^а-яa-z0-9 ]"","" ""))"),"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f>
        <v xml:space="preserve">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v>
      </c>
      <c r="G863" s="4" t="str">
        <f ca="1">IFERROR(__xludf.DUMMYFUNCTION("TEXTJOIN(""|"",TRUE,UNIQUE(FILTER(SPLIT(F863,"" ""),LEN(SPLIT(F863,"" ""))&gt;2)))"),"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f>
        <v>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v>
      </c>
      <c r="I863" s="1"/>
      <c r="J863" s="1"/>
    </row>
    <row r="864" spans="1:10" x14ac:dyDescent="0.2">
      <c r="A864" s="8" t="s">
        <v>1058</v>
      </c>
      <c r="B864" s="7" t="s">
        <v>1057</v>
      </c>
      <c r="C864" s="7"/>
      <c r="D864" s="6">
        <v>6400</v>
      </c>
      <c r="E864" s="5">
        <v>1</v>
      </c>
      <c r="F864" s="4" t="str">
        <f ca="1">IFERROR(__xludf.DUMMYFUNCTION("LOWER(REGEXREPLACE(B864&amp;"" ""&amp;C864,""[^а-яa-z0-9 ]"","" ""))")," аза м нс з асыл с з           асырларда ы жырауларды   ")</f>
        <v xml:space="preserve"> аза м нс з асыл с з           асырларда ы жырауларды   </v>
      </c>
      <c r="G864" s="4" t="str">
        <f ca="1">IFERROR(__xludf.DUMMYFUNCTION("TEXTJOIN(""|"",TRUE,UNIQUE(FILTER(SPLIT(F864,"" ""),LEN(SPLIT(F864,"" ""))&gt;2)))"),"аза|асыл|асырларда|жырауларды")</f>
        <v>аза|асыл|асырларда|жырауларды</v>
      </c>
      <c r="I864" s="1"/>
      <c r="J864" s="1"/>
    </row>
    <row r="865" spans="1:10" x14ac:dyDescent="0.2">
      <c r="A865" s="8" t="s">
        <v>1056</v>
      </c>
      <c r="B865" s="7" t="s">
        <v>1055</v>
      </c>
      <c r="C865" s="7" t="s">
        <v>1054</v>
      </c>
      <c r="D865" s="6">
        <v>375400</v>
      </c>
      <c r="E865" s="5">
        <v>1</v>
      </c>
      <c r="F865" s="4" t="str">
        <f ca="1">IFERROR(__xludf.DUMMYFUNCTION("LOWER(REGEXREPLACE(B865&amp;"" ""&amp;C865,""[^а-яa-z0-9 ]"","" ""))"),"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кисточк"&amp;"и  колесики  шершавые поверхности ")</f>
        <v xml:space="preserve">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v>
      </c>
      <c r="G865" s="4" t="str">
        <f ca="1">IFERROR(__xludf.DUMMYFUNCTION("TEXTJOIN(""|"",TRUE,UNIQUE(FILTER(SPLIT(F865,"" ""),LEN(SPLIT(F865,"" ""))&gt;2)))"),"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amp;"и")</f>
        <v>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v>
      </c>
      <c r="I865" s="1"/>
      <c r="J865" s="1"/>
    </row>
    <row r="866" spans="1:10" x14ac:dyDescent="0.2">
      <c r="A866" s="8" t="s">
        <v>1053</v>
      </c>
      <c r="B866" s="7" t="s">
        <v>1052</v>
      </c>
      <c r="C866" s="7" t="s">
        <v>1051</v>
      </c>
      <c r="D866" s="6">
        <v>10500</v>
      </c>
      <c r="E866" s="5">
        <v>2</v>
      </c>
      <c r="F866" s="4" t="str">
        <f ca="1">IFERROR(__xludf.DUMMYFUNCTION("LOWER(REGEXREPLACE(B866&amp;"" ""&amp;C866,""[^а-яa-z0-9 ]"","" ""))")," актильные   ячики пищалки   гравой набор сенсорной  тактильных мячиков 6 штук   атериал резина")</f>
        <v xml:space="preserve"> актильные   ячики пищалки   гравой набор сенсорной  тактильных мячиков 6 штук   атериал резина</v>
      </c>
      <c r="G866" s="4" t="str">
        <f ca="1">IFERROR(__xludf.DUMMYFUNCTION("TEXTJOIN(""|"",TRUE,UNIQUE(FILTER(SPLIT(F866,"" ""),LEN(SPLIT(F866,"" ""))&gt;2)))"),"актильные|ячики|пищалки|гравой|набор|сенсорной|тактильных|мячиков|штук|атериал|резина")</f>
        <v>актильные|ячики|пищалки|гравой|набор|сенсорной|тактильных|мячиков|штук|атериал|резина</v>
      </c>
      <c r="I866" s="1"/>
      <c r="J866" s="1"/>
    </row>
    <row r="867" spans="1:10" x14ac:dyDescent="0.2">
      <c r="A867" s="8" t="s">
        <v>1050</v>
      </c>
      <c r="B867" s="7" t="s">
        <v>1049</v>
      </c>
      <c r="C867" s="7" t="s">
        <v>1048</v>
      </c>
      <c r="D867" s="6">
        <v>292800</v>
      </c>
      <c r="E867" s="5">
        <v>2</v>
      </c>
      <c r="F867" s="4" t="str">
        <f ca="1">IFERROR(__xludf.DUMMYFUNCTION("LOWER(REGEXREPLACE(B867&amp;"" ""&amp;C867,""[^а-яa-z0-9 ]"","" ""))"),"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f>
        <v xml:space="preserve">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v>
      </c>
      <c r="G867" s="4" t="str">
        <f ca="1">IFERROR(__xludf.DUMMYFUNCTION("TEXTJOIN(""|"",TRUE,UNIQUE(FILTER(SPLIT(F867,"" ""),LEN(SPLIT(F867,"" ""))&gt;2)))"),"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f>
        <v>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v>
      </c>
      <c r="I867" s="1"/>
      <c r="J867" s="1"/>
    </row>
    <row r="868" spans="1:10" x14ac:dyDescent="0.2">
      <c r="A868" s="8" t="s">
        <v>1047</v>
      </c>
      <c r="B868" s="7" t="s">
        <v>1046</v>
      </c>
      <c r="C868" s="7" t="s">
        <v>1045</v>
      </c>
      <c r="D868" s="6">
        <v>5300</v>
      </c>
      <c r="E868" s="5">
        <v>1</v>
      </c>
      <c r="F868" s="4" t="str">
        <f ca="1">IFERROR(__xludf.DUMMYFUNCTION("LOWER(REGEXREPLACE(B868&amp;"" ""&amp;C868,""[^а-яa-z0-9 ]"","" ""))")," актильные карточки  актильные карточки используются для развития сенсорного восприятия  речи и мелкой моторики у детей дошкольного возраста ")</f>
        <v xml:space="preserve"> актильные карточки  актильные карточки используются для развития сенсорного восприятия  речи и мелкой моторики у детей дошкольного возраста </v>
      </c>
      <c r="G868" s="4" t="str">
        <f ca="1">IFERROR(__xludf.DUMMYFUNCTION("TEXTJOIN(""|"",TRUE,UNIQUE(FILTER(SPLIT(F868,"" ""),LEN(SPLIT(F868,"" ""))&gt;2)))"),"актильные|карточки|актильные|карточки|используются|для|развития|сенсорного|восприятия|речи|мелкой|моторики|детей|дошкольного|возраста")</f>
        <v>актильные|карточки|актильные|карточки|используются|для|развития|сенсорного|восприятия|речи|мелкой|моторики|детей|дошкольного|возраста</v>
      </c>
      <c r="I868" s="1"/>
      <c r="J868" s="1"/>
    </row>
    <row r="869" spans="1:10" x14ac:dyDescent="0.2">
      <c r="A869" s="8" t="s">
        <v>1044</v>
      </c>
      <c r="B869" s="7" t="s">
        <v>1043</v>
      </c>
      <c r="C869" s="7" t="s">
        <v>1042</v>
      </c>
      <c r="D869" s="6">
        <v>20400</v>
      </c>
      <c r="E869" s="5">
        <v>5</v>
      </c>
      <c r="F869" s="4" t="str">
        <f ca="1">IFERROR(__xludf.DUMMYFUNCTION("LOWER(REGEXREPLACE(B869&amp;"" ""&amp;C869,""[^а-яa-z0-9 ]"","" ""))"),"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формировани"&amp;"ю мелкой моторики  воображения  координации движений и навыков взаимодействия между детьми ")</f>
        <v xml:space="preserve">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v>
      </c>
      <c r="G869" s="4" t="str">
        <f ca="1">IFERROR(__xludf.DUMMYFUNCTION("TEXTJOIN(""|"",TRUE,UNIQUE(FILTER(SPLIT(F869,"" ""),LEN(SPLIT(F869,"" ""))&gt;2)))"),"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amp;"и|движений|навыков|взаимодействия|между|детьми")</f>
        <v>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v>
      </c>
      <c r="I869" s="1"/>
      <c r="J869" s="1"/>
    </row>
    <row r="870" spans="1:10" x14ac:dyDescent="0.2">
      <c r="A870" s="8" t="s">
        <v>1041</v>
      </c>
      <c r="B870" s="7" t="s">
        <v>1040</v>
      </c>
      <c r="C870" s="7" t="s">
        <v>1039</v>
      </c>
      <c r="D870" s="6">
        <v>11400</v>
      </c>
      <c r="E870" s="5">
        <v>10</v>
      </c>
      <c r="F870" s="4" t="str">
        <f ca="1">IFERROR(__xludf.DUMMYFUNCTION("LOWER(REGEXREPLACE(B870&amp;"" ""&amp;C870,""[^а-яa-z0-9 ]"","" ""))"),"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диам"&amp;"етром 6 см   2 шт   атериалы безопасные и прочные ")</f>
        <v xml:space="preserve">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v>
      </c>
      <c r="G870" s="4" t="str">
        <f ca="1">IFERROR(__xludf.DUMMYFUNCTION("TEXTJOIN(""|"",TRUE,UNIQUE(FILTER(SPLIT(F870,"" ""),LEN(SPLIT(F870,"" ""))&gt;2)))"),"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f>
        <v>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v>
      </c>
      <c r="I870" s="1"/>
      <c r="J870" s="1"/>
    </row>
    <row r="871" spans="1:10" x14ac:dyDescent="0.2">
      <c r="A871" s="8" t="s">
        <v>1038</v>
      </c>
      <c r="B871" s="7" t="s">
        <v>1037</v>
      </c>
      <c r="C871" s="7" t="s">
        <v>1036</v>
      </c>
      <c r="D871" s="6">
        <v>21900</v>
      </c>
      <c r="E871" s="5">
        <v>1</v>
      </c>
      <c r="F871" s="4" t="str">
        <f ca="1">IFERROR(__xludf.DUMMYFUNCTION("LOWER(REGEXREPLACE(B871&amp;"" ""&amp;C871,""[^а-яa-z0-9 ]"","" ""))")," арихи тул алар    огысбаев     ужикова")</f>
        <v xml:space="preserve"> арихи тул алар    огысбаев     ужикова</v>
      </c>
      <c r="G871" s="4" t="str">
        <f ca="1">IFERROR(__xludf.DUMMYFUNCTION("TEXTJOIN(""|"",TRUE,UNIQUE(FILTER(SPLIT(F871,"" ""),LEN(SPLIT(F871,"" ""))&gt;2)))"),"арихи|тул|алар|огысбаев|ужикова")</f>
        <v>арихи|тул|алар|огысбаев|ужикова</v>
      </c>
      <c r="I871" s="1"/>
      <c r="J871" s="1"/>
    </row>
    <row r="872" spans="1:10" x14ac:dyDescent="0.2">
      <c r="A872" s="8" t="s">
        <v>1035</v>
      </c>
      <c r="B872" s="7" t="s">
        <v>1034</v>
      </c>
      <c r="C872" s="7" t="s">
        <v>1033</v>
      </c>
      <c r="D872" s="6">
        <v>11400</v>
      </c>
      <c r="E872" s="5">
        <v>1</v>
      </c>
      <c r="F872" s="4" t="str">
        <f ca="1">IFERROR(__xludf.DUMMYFUNCTION("LOWER(REGEXREPLACE(B872&amp;"" ""&amp;C872,""[^а-яa-z0-9 ]"","" ""))")," ая шалар  нтеллектум  ")</f>
        <v xml:space="preserve"> ая шалар  нтеллектум  </v>
      </c>
      <c r="G872" s="4" t="str">
        <f ca="1">IFERROR(__xludf.DUMMYFUNCTION("TEXTJOIN(""|"",TRUE,UNIQUE(FILTER(SPLIT(F872,"" ""),LEN(SPLIT(F872,"" ""))&gt;2)))"),"шалар|нтеллектум")</f>
        <v>шалар|нтеллектум</v>
      </c>
      <c r="I872" s="1"/>
      <c r="J872" s="1"/>
    </row>
    <row r="873" spans="1:10" x14ac:dyDescent="0.2">
      <c r="A873" s="8" t="s">
        <v>1032</v>
      </c>
      <c r="B873" s="7" t="s">
        <v>1031</v>
      </c>
      <c r="C873" s="7" t="s">
        <v>1025</v>
      </c>
      <c r="D873" s="6">
        <v>11400</v>
      </c>
      <c r="E873" s="5">
        <v>75</v>
      </c>
      <c r="F873" s="4" t="str">
        <f ca="1">IFERROR(__xludf.DUMMYFUNCTION("LOWER(REGEXREPLACE(B873&amp;"" ""&amp;C873,""[^а-яa-z0-9 ]"","" ""))")," ая шалар   нтеллектум")</f>
        <v xml:space="preserve"> ая шалар   нтеллектум</v>
      </c>
      <c r="G873" s="4" t="str">
        <f ca="1">IFERROR(__xludf.DUMMYFUNCTION("TEXTJOIN(""|"",TRUE,UNIQUE(FILTER(SPLIT(F873,"" ""),LEN(SPLIT(F873,"" ""))&gt;2)))"),"шалар|нтеллектум")</f>
        <v>шалар|нтеллектум</v>
      </c>
      <c r="I873" s="1"/>
      <c r="J873" s="1"/>
    </row>
    <row r="874" spans="1:10" x14ac:dyDescent="0.2">
      <c r="A874" s="8" t="s">
        <v>1030</v>
      </c>
      <c r="B874" s="7" t="s">
        <v>1029</v>
      </c>
      <c r="C874" s="7" t="s">
        <v>1028</v>
      </c>
      <c r="D874" s="6">
        <v>34400</v>
      </c>
      <c r="E874" s="5">
        <v>5</v>
      </c>
      <c r="F874" s="4" t="str">
        <f ca="1">IFERROR(__xludf.DUMMYFUNCTION("LOWER(REGEXREPLACE(B874&amp;"" ""&amp;C874,""[^а-яa-z0-9 ]"","" ""))"),"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выразител"&amp;"ьности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f>
        <v xml:space="preserve">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v>
      </c>
      <c r="G874" s="4" t="str">
        <f ca="1">IFERROR(__xludf.DUMMYFUNCTION("TEXTJOIN(""|"",TRUE,UNIQUE(FILTER(SPLIT(F874,"" ""),LEN(SPLIT(F874,"" ""))&gt;2)))"),"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amp;"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f>
        <v>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v>
      </c>
      <c r="I874" s="1"/>
      <c r="J874" s="1"/>
    </row>
    <row r="875" spans="1:10" x14ac:dyDescent="0.2">
      <c r="A875" s="8" t="s">
        <v>1027</v>
      </c>
      <c r="B875" s="7" t="s">
        <v>1026</v>
      </c>
      <c r="C875" s="7" t="s">
        <v>1025</v>
      </c>
      <c r="D875" s="6">
        <v>10800</v>
      </c>
      <c r="E875" s="5">
        <v>75</v>
      </c>
      <c r="F875" s="4" t="str">
        <f ca="1">IFERROR(__xludf.DUMMYFUNCTION("LOWER(REGEXREPLACE(B875&amp;"" ""&amp;C875,""[^а-яa-z0-9 ]"","" ""))"),"тез тап   нтеллектум")</f>
        <v>тез тап   нтеллектум</v>
      </c>
      <c r="G875" s="4" t="str">
        <f ca="1">IFERROR(__xludf.DUMMYFUNCTION("TEXTJOIN(""|"",TRUE,UNIQUE(FILTER(SPLIT(F875,"" ""),LEN(SPLIT(F875,"" ""))&gt;2)))"),"тез|тап|нтеллектум")</f>
        <v>тез|тап|нтеллектум</v>
      </c>
      <c r="I875" s="1"/>
      <c r="J875" s="1"/>
    </row>
    <row r="876" spans="1:10" x14ac:dyDescent="0.2">
      <c r="A876" s="8" t="s">
        <v>1024</v>
      </c>
      <c r="B876" s="7" t="s">
        <v>1023</v>
      </c>
      <c r="C876" s="7" t="s">
        <v>1022</v>
      </c>
      <c r="D876" s="6">
        <v>123500</v>
      </c>
      <c r="E876" s="5">
        <v>1</v>
      </c>
      <c r="F876" s="4" t="str">
        <f ca="1">IFERROR(__xludf.DUMMYFUNCTION("LOWER(REGEXREPLACE(B876&amp;"" ""&amp;C876,""[^а-яa-z0-9 ]"","" ""))"),"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"&amp;"безопасные для эксплуатации в детских учреждениях ")</f>
        <v xml:space="preserve">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v>
      </c>
      <c r="G876" s="4" t="str">
        <f ca="1">IFERROR(__xludf.DUMMYFUNCTION("TEXTJOIN(""|"",TRUE,UNIQUE(FILTER(SPLIT(F876,"" ""),LEN(SPLIT(F876,"" ""))&gt;2)))"),"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amp;"сплуатации|детских|учреждениях")</f>
        <v>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v>
      </c>
      <c r="I876" s="1"/>
      <c r="J876" s="1"/>
    </row>
    <row r="877" spans="1:10" x14ac:dyDescent="0.2">
      <c r="A877" s="8" t="s">
        <v>1021</v>
      </c>
      <c r="B877" s="7" t="s">
        <v>1020</v>
      </c>
      <c r="C877" s="7" t="s">
        <v>1019</v>
      </c>
      <c r="D877" s="6">
        <v>96400</v>
      </c>
      <c r="E877" s="5">
        <v>2</v>
      </c>
      <c r="F877" s="4" t="str">
        <f ca="1">IFERROR(__xludf.DUMMYFUNCTION("LOWER(REGEXREPLACE(B877&amp;"" ""&amp;C877,""[^а-яa-z0-9 ]"","" ""))")," ележка для белья tekne 2700k  нешние размеры  640x1040x790h мм   нутренние размеры  590x930x515h мм   рузоподъемность  250 кг")</f>
        <v xml:space="preserve"> ележка для белья tekne 2700k  нешние размеры  640x1040x790h мм   нутренние размеры  590x930x515h мм   рузоподъемность  250 кг</v>
      </c>
      <c r="G877" s="4" t="str">
        <f ca="1">IFERROR(__xludf.DUMMYFUNCTION("TEXTJOIN(""|"",TRUE,UNIQUE(FILTER(SPLIT(F877,"" ""),LEN(SPLIT(F877,"" ""))&gt;2)))"),"ележка|для|белья|tekne|2700k|нешние|размеры|640x1040x790h|нутренние|размеры|590x930x515h|рузоподъемность|250")</f>
        <v>ележка|для|белья|tekne|2700k|нешние|размеры|640x1040x790h|нутренние|размеры|590x930x515h|рузоподъемность|250</v>
      </c>
      <c r="I877" s="1"/>
      <c r="J877" s="1"/>
    </row>
    <row r="878" spans="1:10" x14ac:dyDescent="0.2">
      <c r="A878" s="8" t="s">
        <v>1018</v>
      </c>
      <c r="B878" s="7" t="s">
        <v>1017</v>
      </c>
      <c r="C878" s="7" t="s">
        <v>1016</v>
      </c>
      <c r="D878" s="6">
        <v>281500</v>
      </c>
      <c r="E878" s="5">
        <v>1</v>
      </c>
      <c r="F878" s="4" t="str">
        <f ca="1">IFERROR(__xludf.DUMMYFUNCTION("LOWER(REGEXREPLACE(B878&amp;"" ""&amp;C878,""[^а-яa-z0-9 ]"","" ""))")," ележка для гастроемкостей 1 1 ce agn1 1x16  ержавеющая сталь      430   местимость тележки  16   азмеры подноса     1 1   араметры  383x530x1650 mm")</f>
        <v xml:space="preserve"> ележка для гастроемкостей 1 1 ce agn1 1x16  ержавеющая сталь      430   местимость тележки  16   азмеры подноса     1 1   араметры  383x530x1650 mm</v>
      </c>
      <c r="G878" s="4" t="str">
        <f ca="1">IFERROR(__xludf.DUMMYFUNCTION("TEXTJOIN(""|"",TRUE,UNIQUE(FILTER(SPLIT(F878,"" ""),LEN(SPLIT(F878,"" ""))&gt;2)))"),"ележка|для|гастроемкостей|agn1|1x16|ержавеющая|сталь|430|местимость|тележки|азмеры|подноса|араметры|383x530x1650")</f>
        <v>ележка|для|гастроемкостей|agn1|1x16|ержавеющая|сталь|430|местимость|тележки|азмеры|подноса|араметры|383x530x1650</v>
      </c>
      <c r="I878" s="1"/>
      <c r="J878" s="1"/>
    </row>
    <row r="879" spans="1:10" x14ac:dyDescent="0.2">
      <c r="A879" s="8" t="s">
        <v>1015</v>
      </c>
      <c r="B879" s="7" t="s">
        <v>1014</v>
      </c>
      <c r="C879" s="7" t="s">
        <v>1013</v>
      </c>
      <c r="D879" s="6">
        <v>208600</v>
      </c>
      <c r="E879" s="5">
        <v>1</v>
      </c>
      <c r="F879" s="4" t="str">
        <f ca="1">IFERROR(__xludf.DUMMYFUNCTION("LOWER(REGEXREPLACE(B879&amp;"" ""&amp;C879,""[^а-яa-z0-9 ]"","" ""))"),"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изно"&amp;"состойкие и безопасные ")</f>
        <v xml:space="preserve">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v>
      </c>
      <c r="G879" s="4" t="str">
        <f ca="1">IFERROR(__xludf.DUMMYFUNCTION("TEXTJOIN(""|"",TRUE,UNIQUE(FILTER(SPLIT(F879,"" ""),LEN(SPLIT(F879,"" ""))&gt;2)))"),"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amp;"ые")</f>
        <v>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v>
      </c>
      <c r="I879" s="1"/>
      <c r="J879" s="1"/>
    </row>
    <row r="880" spans="1:10" x14ac:dyDescent="0.2">
      <c r="A880" s="8" t="s">
        <v>1012</v>
      </c>
      <c r="B880" s="7" t="s">
        <v>1011</v>
      </c>
      <c r="C880" s="7" t="s">
        <v>1010</v>
      </c>
      <c r="D880" s="6">
        <v>11900</v>
      </c>
      <c r="E880" s="5">
        <v>25</v>
      </c>
      <c r="F880" s="4" t="str">
        <f ca="1">IFERROR(__xludf.DUMMYFUNCTION("LOWER(REGEXREPLACE(B880&amp;"" ""&amp;C880,""[^а-яa-z0-9 ]"","" ""))"),"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изобраз"&amp;"ительной деятельности и творческих работ ")</f>
        <v xml:space="preserve">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v>
      </c>
      <c r="G880" s="4" t="str">
        <f ca="1">IFERROR(__xludf.DUMMYFUNCTION("TEXTJOIN(""|"",TRUE,UNIQUE(FILTER(SPLIT(F880,"" ""),LEN(SPLIT(F880,"" ""))&gt;2)))"),"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amp;"ти|творческих|работ")</f>
        <v>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v>
      </c>
      <c r="I880" s="1"/>
      <c r="J880" s="1"/>
    </row>
    <row r="881" spans="1:10" x14ac:dyDescent="0.2">
      <c r="A881" s="8" t="s">
        <v>1009</v>
      </c>
      <c r="B881" s="7" t="s">
        <v>1008</v>
      </c>
      <c r="C881" s="7" t="s">
        <v>1007</v>
      </c>
      <c r="D881" s="6">
        <v>254900</v>
      </c>
      <c r="E881" s="5">
        <v>2</v>
      </c>
      <c r="F881" s="4" t="str">
        <f ca="1">IFERROR(__xludf.DUMMYFUNCTION("LOWER(REGEXREPLACE(B881&amp;"" ""&amp;C881,""[^а-яa-z0-9 ]"","" ""))")," ележка сервисная 2 ур  ce asi55x86x2  ержавеющая сталь      430    2 полками  и 4 колесами   араметры  550x860x900 mm")</f>
        <v xml:space="preserve"> ележка сервисная 2 ур  ce asi55x86x2  ержавеющая сталь      430    2 полками  и 4 колесами   араметры  550x860x900 mm</v>
      </c>
      <c r="G881" s="4" t="str">
        <f ca="1">IFERROR(__xludf.DUMMYFUNCTION("TEXTJOIN(""|"",TRUE,UNIQUE(FILTER(SPLIT(F881,"" ""),LEN(SPLIT(F881,"" ""))&gt;2)))"),"ележка|сервисная|asi55x86x2|ержавеющая|сталь|430|полками|колесами|араметры|550x860x900")</f>
        <v>ележка|сервисная|asi55x86x2|ержавеющая|сталь|430|полками|колесами|араметры|550x860x900</v>
      </c>
      <c r="I881" s="1"/>
      <c r="J881" s="1"/>
    </row>
    <row r="882" spans="1:10" x14ac:dyDescent="0.2">
      <c r="A882" s="8" t="s">
        <v>1006</v>
      </c>
      <c r="B882" s="7" t="s">
        <v>1005</v>
      </c>
      <c r="C882" s="7" t="s">
        <v>1004</v>
      </c>
      <c r="D882" s="6">
        <v>5700</v>
      </c>
      <c r="E882" s="5">
        <v>1</v>
      </c>
      <c r="F882" s="4" t="str">
        <f ca="1">IFERROR(__xludf.DUMMYFUNCTION("LOWER(REGEXREPLACE(B882&amp;"" ""&amp;C882,""[^а-яa-z0-9 ]"","" ""))"),"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атер"&amp;"иал   безопасный пластик ")</f>
        <v xml:space="preserve">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v>
      </c>
      <c r="G882" s="4" t="str">
        <f ca="1">IFERROR(__xludf.DUMMYFUNCTION("TEXTJOIN(""|"",TRUE,UNIQUE(FILTER(SPLIT(F882,"" ""),LEN(SPLIT(F882,"" ""))&gt;2)))"),"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amp;"|пластик")</f>
        <v>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v>
      </c>
      <c r="I882" s="1"/>
      <c r="J882" s="1"/>
    </row>
    <row r="883" spans="1:10" x14ac:dyDescent="0.2">
      <c r="A883" s="8" t="s">
        <v>1003</v>
      </c>
      <c r="B883" s="7" t="s">
        <v>1002</v>
      </c>
      <c r="C883" s="7" t="s">
        <v>1001</v>
      </c>
      <c r="D883" s="6">
        <v>11400</v>
      </c>
      <c r="E883" s="5">
        <v>25</v>
      </c>
      <c r="F883" s="4" t="str">
        <f ca="1">IFERROR(__xludf.DUMMYFUNCTION("LOWER(REGEXREPLACE(B883&amp;"" ""&amp;C883,""[^а-яa-z0-9 ]"","" ""))"),"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за"&amp;"нятий творчеством и хозяйственных нужд ")</f>
        <v xml:space="preserve">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v>
      </c>
      <c r="G883" s="4" t="str">
        <f ca="1">IFERROR(__xludf.DUMMYFUNCTION("TEXTJOIN(""|"",TRUE,UNIQUE(FILTER(SPLIT(F883,"" ""),LEN(SPLIT(F883,"" ""))&gt;2)))"),"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amp;"нужд")</f>
        <v>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v>
      </c>
      <c r="I883" s="1"/>
      <c r="J883" s="1"/>
    </row>
    <row r="884" spans="1:10" x14ac:dyDescent="0.2">
      <c r="A884" s="8" t="s">
        <v>1000</v>
      </c>
      <c r="B884" s="7" t="s">
        <v>999</v>
      </c>
      <c r="C884" s="7" t="s">
        <v>998</v>
      </c>
      <c r="D884" s="6">
        <v>107900</v>
      </c>
      <c r="E884" s="5">
        <v>1</v>
      </c>
      <c r="F884" s="4" t="str">
        <f ca="1">IFERROR(__xludf.DUMMYFUNCTION("LOWER(REGEXREPLACE(B884&amp;"" ""&amp;C884,""[^а-яa-z0-9 ]"","" ""))")," ермоконтейнер  онтейнер для временного хранения и транспортировки медикаментов с поддержанием температурного режима ")</f>
        <v xml:space="preserve"> ермоконтейнер  онтейнер для временного хранения и транспортировки медикаментов с поддержанием температурного режима </v>
      </c>
      <c r="G884" s="4" t="str">
        <f ca="1">IFERROR(__xludf.DUMMYFUNCTION("TEXTJOIN(""|"",TRUE,UNIQUE(FILTER(SPLIT(F884,"" ""),LEN(SPLIT(F884,"" ""))&gt;2)))"),"ермоконтейнер|онтейнер|для|временного|хранения|транспортировки|медикаментов|поддержанием|температурного|режима")</f>
        <v>ермоконтейнер|онтейнер|для|временного|хранения|транспортировки|медикаментов|поддержанием|температурного|режима</v>
      </c>
      <c r="I884" s="1"/>
      <c r="J884" s="1"/>
    </row>
    <row r="885" spans="1:10" x14ac:dyDescent="0.2">
      <c r="A885" s="8" t="s">
        <v>997</v>
      </c>
      <c r="B885" s="7" t="s">
        <v>996</v>
      </c>
      <c r="C885" s="7" t="s">
        <v>995</v>
      </c>
      <c r="D885" s="6">
        <v>3000</v>
      </c>
      <c r="E885" s="5">
        <v>5</v>
      </c>
      <c r="F885" s="4" t="str">
        <f ca="1">IFERROR(__xludf.DUMMYFUNCTION("LOWER(REGEXREPLACE(B885&amp;"" ""&amp;C885,""[^а-яa-z0-9 ]"","" ""))")," ермометр  рибор для измерения температуры тела   спользуется в медицинском кабинете     ")</f>
        <v xml:space="preserve"> ермометр  рибор для измерения температуры тела   спользуется в медицинском кабинете     </v>
      </c>
      <c r="G885" s="4" t="str">
        <f ca="1">IFERROR(__xludf.DUMMYFUNCTION("TEXTJOIN(""|"",TRUE,UNIQUE(FILTER(SPLIT(F885,"" ""),LEN(SPLIT(F885,"" ""))&gt;2)))"),"ермометр|рибор|для|измерения|температуры|тела|спользуется|медицинском|кабинете")</f>
        <v>ермометр|рибор|для|измерения|температуры|тела|спользуется|медицинском|кабинете</v>
      </c>
      <c r="I885" s="1"/>
      <c r="J885" s="1"/>
    </row>
    <row r="886" spans="1:10" x14ac:dyDescent="0.2">
      <c r="A886" s="8" t="s">
        <v>994</v>
      </c>
      <c r="B886" s="7" t="s">
        <v>993</v>
      </c>
      <c r="C886" s="7" t="s">
        <v>992</v>
      </c>
      <c r="D886" s="6">
        <v>329600</v>
      </c>
      <c r="E886" s="5">
        <v>1</v>
      </c>
      <c r="F886" s="4" t="str">
        <f ca="1">IFERROR(__xludf.DUMMYFUNCTION("LOWER(REGEXREPLACE(B886&amp;"" ""&amp;C886,""[^а-яa-z0-9 ]"","" ""))")," ехническая раковина ce me50x58  ержавеющая сталь      430   ойка 40x40x25 см   араметры  500x580x800 мм")</f>
        <v xml:space="preserve"> ехническая раковина ce me50x58  ержавеющая сталь      430   ойка 40x40x25 см   араметры  500x580x800 мм</v>
      </c>
      <c r="G886" s="4" t="str">
        <f ca="1">IFERROR(__xludf.DUMMYFUNCTION("TEXTJOIN(""|"",TRUE,UNIQUE(FILTER(SPLIT(F886,"" ""),LEN(SPLIT(F886,"" ""))&gt;2)))"),"ехническая|раковина|me50x58|ержавеющая|сталь|430|ойка|40x40x25|араметры|500x580x800")</f>
        <v>ехническая|раковина|me50x58|ержавеющая|сталь|430|ойка|40x40x25|араметры|500x580x800</v>
      </c>
      <c r="I886" s="1"/>
      <c r="J886" s="1"/>
    </row>
    <row r="887" spans="1:10" x14ac:dyDescent="0.2">
      <c r="A887" s="8" t="s">
        <v>991</v>
      </c>
      <c r="B887" s="7" t="s">
        <v>990</v>
      </c>
      <c r="C887" s="7" t="s">
        <v>989</v>
      </c>
      <c r="D887" s="6">
        <v>15000</v>
      </c>
      <c r="E887" s="5">
        <v>1</v>
      </c>
      <c r="F887" s="4" t="str">
        <f ca="1">IFERROR(__xludf.DUMMYFUNCTION("LOWER(REGEXREPLACE(B887&amp;"" ""&amp;C887,""[^а-яa-z0-9 ]"","" ""))"),"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"&amp;"  атериалы мягкие  безопасные  износостойкие ")</f>
        <v xml:space="preserve">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v>
      </c>
      <c r="G887" s="4" t="str">
        <f ca="1">IFERROR(__xludf.DUMMYFUNCTION("TEXTJOIN(""|"",TRUE,UNIQUE(FILTER(SPLIT(F887,"" ""),LEN(SPLIT(F887,"" ""))&gt;2)))"),"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amp;"|безопасные|износостойкие")</f>
        <v>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v>
      </c>
      <c r="I887" s="1"/>
      <c r="J887" s="1"/>
    </row>
    <row r="888" spans="1:10" x14ac:dyDescent="0.2">
      <c r="A888" s="8" t="s">
        <v>988</v>
      </c>
      <c r="B888" s="7" t="s">
        <v>987</v>
      </c>
      <c r="C888" s="7" t="s">
        <v>986</v>
      </c>
      <c r="D888" s="6">
        <v>9000</v>
      </c>
      <c r="E888" s="5">
        <v>10</v>
      </c>
      <c r="F888" s="4" t="str">
        <f ca="1">IFERROR(__xludf.DUMMYFUNCTION("LOWER(REGEXREPLACE(B888&amp;"" ""&amp;C888,""[^а-яa-z0-9 ]"","" ""))"),"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f>
        <v xml:space="preserve">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v>
      </c>
      <c r="G888" s="4" t="str">
        <f ca="1">IFERROR(__xludf.DUMMYFUNCTION("TEXTJOIN(""|"",TRUE,UNIQUE(FILTER(SPLIT(F888,"" ""),LEN(SPLIT(F888,"" ""))&gt;2)))"),"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f>
        <v>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v>
      </c>
      <c r="I888" s="1"/>
      <c r="J888" s="1"/>
    </row>
    <row r="889" spans="1:10" x14ac:dyDescent="0.2">
      <c r="A889" s="8" t="s">
        <v>985</v>
      </c>
      <c r="B889" s="7" t="s">
        <v>984</v>
      </c>
      <c r="C889" s="7" t="s">
        <v>983</v>
      </c>
      <c r="D889" s="6">
        <v>1800</v>
      </c>
      <c r="E889" s="5">
        <v>12</v>
      </c>
      <c r="F889" s="4" t="str">
        <f ca="1">IFERROR(__xludf.DUMMYFUNCTION("LOWER(REGEXREPLACE(B889&amp;"" ""&amp;C889,""[^а-яa-z0-9 ]"","" ""))"),"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f>
        <v xml:space="preserve">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v>
      </c>
      <c r="G889" s="4" t="str">
        <f ca="1">IFERROR(__xludf.DUMMYFUNCTION("TEXTJOIN(""|"",TRUE,UNIQUE(FILTER(SPLIT(F889,"" ""),LEN(SPLIT(F889,"" ""))&gt;2)))"),"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f>
        <v>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v>
      </c>
      <c r="I889" s="1"/>
      <c r="J889" s="1"/>
    </row>
    <row r="890" spans="1:10" x14ac:dyDescent="0.2">
      <c r="A890" s="8" t="s">
        <v>982</v>
      </c>
      <c r="B890" s="7" t="s">
        <v>981</v>
      </c>
      <c r="C890" s="7" t="s">
        <v>980</v>
      </c>
      <c r="D890" s="6">
        <v>100700</v>
      </c>
      <c r="E890" s="5">
        <v>4</v>
      </c>
      <c r="F890" s="4" t="str">
        <f ca="1">IFERROR(__xludf.DUMMYFUNCTION("LOWER(REGEXREPLACE(B890&amp;"" ""&amp;C890,""[^а-яa-z0-9 ]"","" ""))"),"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безопасны"&amp;" для детей ")</f>
        <v xml:space="preserve">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v>
      </c>
      <c r="G890" s="4" t="str">
        <f ca="1">IFERROR(__xludf.DUMMYFUNCTION("TEXTJOIN(""|"",TRUE,UNIQUE(FILTER(SPLIT(F890,"" ""),LEN(SPLIT(F890,"" ""))&gt;2)))"),"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f>
        <v>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v>
      </c>
      <c r="I890" s="1"/>
      <c r="J890" s="1"/>
    </row>
    <row r="891" spans="1:10" x14ac:dyDescent="0.2">
      <c r="A891" s="8" t="s">
        <v>979</v>
      </c>
      <c r="B891" s="7" t="s">
        <v>978</v>
      </c>
      <c r="C891" s="7" t="s">
        <v>977</v>
      </c>
      <c r="D891" s="6">
        <v>5700</v>
      </c>
      <c r="E891" s="5">
        <v>10</v>
      </c>
      <c r="F891" s="4" t="str">
        <f ca="1">IFERROR(__xludf.DUMMYFUNCTION("LOWER(REGEXREPLACE(B891&amp;"" ""&amp;C891,""[^а-яa-z0-9 ]"","" ""))"),"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каждого"&amp;" этапа позволяет сохранять чистоту изделий    комплект входит не менее 12 губок ")</f>
        <v xml:space="preserve">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v>
      </c>
      <c r="G891" s="4" t="str">
        <f ca="1">IFERROR(__xludf.DUMMYFUNCTION("TEXTJOIN(""|"",TRUE,UNIQUE(FILTER(SPLIT(F891,"" ""),LEN(SPLIT(F891,"" ""))&gt;2)))"),"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amp;"охранять|чистоту|изделий|комплект|входит|менее|губок")</f>
        <v>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v>
      </c>
      <c r="I891" s="1"/>
      <c r="J891" s="1"/>
    </row>
    <row r="892" spans="1:10" x14ac:dyDescent="0.2">
      <c r="A892" s="8" t="s">
        <v>976</v>
      </c>
      <c r="B892" s="7" t="s">
        <v>975</v>
      </c>
      <c r="C892" s="7" t="s">
        <v>974</v>
      </c>
      <c r="D892" s="6">
        <v>17800</v>
      </c>
      <c r="E892" s="5">
        <v>2</v>
      </c>
      <c r="F892" s="4" t="str">
        <f ca="1">IFERROR(__xludf.DUMMYFUNCTION("LOWER(REGEXREPLACE(B892&amp;"" ""&amp;C892,""[^а-яa-z0-9 ]"","" ""))")," онометр  рибор для измерения артериального давления  используется при медицинских осмотрах детей и персонала ")</f>
        <v xml:space="preserve"> онометр  рибор для измерения артериального давления  используется при медицинских осмотрах детей и персонала </v>
      </c>
      <c r="G892" s="4" t="str">
        <f ca="1">IFERROR(__xludf.DUMMYFUNCTION("TEXTJOIN(""|"",TRUE,UNIQUE(FILTER(SPLIT(F892,"" ""),LEN(SPLIT(F892,"" ""))&gt;2)))"),"онометр|рибор|для|измерения|артериального|давления|используется|при|медицинских|осмотрах|детей|персонала")</f>
        <v>онометр|рибор|для|измерения|артериального|давления|используется|при|медицинских|осмотрах|детей|персонала</v>
      </c>
      <c r="I892" s="1"/>
      <c r="J892" s="1"/>
    </row>
    <row r="893" spans="1:10" x14ac:dyDescent="0.2">
      <c r="A893" s="8" t="s">
        <v>973</v>
      </c>
      <c r="B893" s="7" t="s">
        <v>972</v>
      </c>
      <c r="C893" s="7" t="s">
        <v>971</v>
      </c>
      <c r="D893" s="6">
        <v>7000</v>
      </c>
      <c r="E893" s="5">
        <v>1</v>
      </c>
      <c r="F893" s="4" t="str">
        <f ca="1">IFERROR(__xludf.DUMMYFUNCTION("LOWER(REGEXREPLACE(B893&amp;"" ""&amp;C893,""[^а-яa-z0-9 ]"","" ""))"),"  рт т л к с зд г   лубаев   ")</f>
        <v xml:space="preserve">  рт т л к с зд г   лубаев   </v>
      </c>
      <c r="G893" s="4" t="str">
        <f ca="1">IFERROR(__xludf.DUMMYFUNCTION("TEXTJOIN(""|"",TRUE,UNIQUE(FILTER(SPLIT(F893,"" ""),LEN(SPLIT(F893,"" ""))&gt;2)))"),"лубаев")</f>
        <v>лубаев</v>
      </c>
      <c r="I893" s="1"/>
      <c r="J893" s="1"/>
    </row>
    <row r="894" spans="1:10" x14ac:dyDescent="0.2">
      <c r="A894" s="8" t="s">
        <v>970</v>
      </c>
      <c r="B894" s="7" t="s">
        <v>969</v>
      </c>
      <c r="C894" s="7" t="s">
        <v>968</v>
      </c>
      <c r="D894" s="6">
        <v>45600</v>
      </c>
      <c r="E894" s="5">
        <v>5</v>
      </c>
      <c r="F894" s="4" t="str">
        <f ca="1">IFERROR(__xludf.DUMMYFUNCTION("LOWER(REGEXREPLACE(B894&amp;"" ""&amp;C894,""[^а-яa-z0-9 ]"","" ""))"),"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f>
        <v xml:space="preserve">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v>
      </c>
      <c r="G894" s="4" t="str">
        <f ca="1">IFERROR(__xludf.DUMMYFUNCTION("TEXTJOIN(""|"",TRUE,UNIQUE(FILTER(SPLIT(F894,"" ""),LEN(SPLIT(F894,"" ""))&gt;2)))"),"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f>
        <v>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v>
      </c>
      <c r="I894" s="1"/>
      <c r="J894" s="1"/>
    </row>
    <row r="895" spans="1:10" x14ac:dyDescent="0.2">
      <c r="A895" s="8" t="s">
        <v>967</v>
      </c>
      <c r="B895" s="7" t="s">
        <v>966</v>
      </c>
      <c r="C895" s="7" t="s">
        <v>965</v>
      </c>
      <c r="D895" s="6">
        <v>19800</v>
      </c>
      <c r="E895" s="5">
        <v>7</v>
      </c>
      <c r="F895" s="4" t="str">
        <f ca="1">IFERROR(__xludf.DUMMYFUNCTION("LOWER(REGEXREPLACE(B895&amp;"" ""&amp;C895,""[^а-яa-z0-9 ]"","" ""))"),"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f>
        <v xml:space="preserve">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v>
      </c>
      <c r="G895" s="4" t="str">
        <f ca="1">IFERROR(__xludf.DUMMYFUNCTION("TEXTJOIN(""|"",TRUE,UNIQUE(FILTER(SPLIT(F895,"" ""),LEN(SPLIT(F895,"" ""))&gt;2)))"),"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f>
        <v>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v>
      </c>
      <c r="I895" s="1"/>
      <c r="J895" s="1"/>
    </row>
    <row r="896" spans="1:10" x14ac:dyDescent="0.2">
      <c r="A896" s="8" t="s">
        <v>964</v>
      </c>
      <c r="B896" s="7" t="s">
        <v>963</v>
      </c>
      <c r="C896" s="7"/>
      <c r="D896" s="6">
        <v>2000</v>
      </c>
      <c r="E896" s="5">
        <v>1</v>
      </c>
      <c r="F896" s="4" t="str">
        <f ca="1">IFERROR(__xludf.DUMMYFUNCTION("LOWER(REGEXREPLACE(B896&amp;"" ""&amp;C896,""[^а-яa-z0-9 ]"","" ""))")," ри задачи   казка ")</f>
        <v xml:space="preserve"> ри задачи   казка </v>
      </c>
      <c r="G896" s="4" t="str">
        <f ca="1">IFERROR(__xludf.DUMMYFUNCTION("TEXTJOIN(""|"",TRUE,UNIQUE(FILTER(SPLIT(F896,"" ""),LEN(SPLIT(F896,"" ""))&gt;2)))"),"задачи|казка")</f>
        <v>задачи|казка</v>
      </c>
      <c r="I896" s="1"/>
      <c r="J896" s="1"/>
    </row>
    <row r="897" spans="1:10" x14ac:dyDescent="0.2">
      <c r="A897" s="8" t="s">
        <v>962</v>
      </c>
      <c r="B897" s="7" t="s">
        <v>961</v>
      </c>
      <c r="C897" s="7" t="s">
        <v>960</v>
      </c>
      <c r="D897" s="6">
        <v>22800</v>
      </c>
      <c r="E897" s="5">
        <v>5</v>
      </c>
      <c r="F897" s="4" t="str">
        <f ca="1">IFERROR(__xludf.DUMMYFUNCTION("LOWER(REGEXREPLACE(B897&amp;"" ""&amp;C897,""[^а-яa-z0-9 ]"","" ""))"),"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образоват"&amp;"ельной деятельности   атериалы безопасные  легко очищаемые ")</f>
        <v xml:space="preserve">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v>
      </c>
      <c r="G897" s="4" t="str">
        <f ca="1">IFERROR(__xludf.DUMMYFUNCTION("TEXTJOIN(""|"",TRUE,UNIQUE(FILTER(SPLIT(F897,"" ""),LEN(SPLIT(F897,"" ""))&gt;2)))"),"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amp;"атериалы|безопасные|легко|очищаемые")</f>
        <v>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v>
      </c>
      <c r="I897" s="1"/>
      <c r="J897" s="1"/>
    </row>
    <row r="898" spans="1:10" x14ac:dyDescent="0.2">
      <c r="A898" s="8" t="s">
        <v>959</v>
      </c>
      <c r="B898" s="7" t="s">
        <v>958</v>
      </c>
      <c r="C898" s="7" t="s">
        <v>957</v>
      </c>
      <c r="D898" s="6">
        <v>126000</v>
      </c>
      <c r="E898" s="5">
        <v>5</v>
      </c>
      <c r="F898" s="4" t="str">
        <f ca="1">IFERROR(__xludf.DUMMYFUNCTION("LOWER(REGEXREPLACE(B898&amp;"" ""&amp;C898,""[^а-яa-z0-9 ]"","" ""))"),"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f>
        <v xml:space="preserve">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v>
      </c>
      <c r="G898" s="4" t="str">
        <f ca="1">IFERROR(__xludf.DUMMYFUNCTION("TEXTJOIN(""|"",TRUE,UNIQUE(FILTER(SPLIT(F898,"" ""),LEN(SPLIT(F898,"" ""))&gt;2)))"),"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f>
        <v>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v>
      </c>
      <c r="I898" s="1"/>
      <c r="J898" s="1"/>
    </row>
    <row r="899" spans="1:10" x14ac:dyDescent="0.2">
      <c r="A899" s="8" t="s">
        <v>956</v>
      </c>
      <c r="B899" s="7" t="s">
        <v>955</v>
      </c>
      <c r="C899" s="9" t="s">
        <v>954</v>
      </c>
      <c r="D899" s="6">
        <v>326250</v>
      </c>
      <c r="E899" s="5">
        <v>13</v>
      </c>
      <c r="F899" s="4" t="str">
        <f ca="1">IFERROR(__xludf.DUMMYFUNCTION("LOWER(REGEXREPLACE(B899&amp;"" ""&amp;C899,""[^а-яa-z0-9 ]"","" ""))")," умба для кухонного гарнитура с полкой  тол тумба купе       8 6     800 600 850 870 мм ")</f>
        <v xml:space="preserve"> умба для кухонного гарнитура с полкой  тол тумба купе       8 6     800 600 850 870 мм </v>
      </c>
      <c r="G899" s="4" t="str">
        <f ca="1">IFERROR(__xludf.DUMMYFUNCTION("TEXTJOIN(""|"",TRUE,UNIQUE(FILTER(SPLIT(F899,"" ""),LEN(SPLIT(F899,"" ""))&gt;2)))"),"умба|для|кухонного|гарнитура|полкой|тол|тумба|купе|800|600|850|870")</f>
        <v>умба|для|кухонного|гарнитура|полкой|тол|тумба|купе|800|600|850|870</v>
      </c>
      <c r="I899" s="1"/>
      <c r="J899" s="1"/>
    </row>
    <row r="900" spans="1:10" x14ac:dyDescent="0.2">
      <c r="A900" s="8" t="s">
        <v>953</v>
      </c>
      <c r="B900" s="7" t="s">
        <v>952</v>
      </c>
      <c r="C900" s="7" t="s">
        <v>951</v>
      </c>
      <c r="D900" s="6">
        <v>20500</v>
      </c>
      <c r="E900" s="5">
        <v>76</v>
      </c>
      <c r="F900" s="4" t="str">
        <f ca="1">IFERROR(__xludf.DUMMYFUNCTION("LOWER(REGEXREPLACE(B900&amp;"" ""&amp;C900,""[^а-яa-z0-9 ]"","" ""))"),"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f>
        <v xml:space="preserve">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v>
      </c>
      <c r="G900" s="4" t="str">
        <f ca="1">IFERROR(__xludf.DUMMYFUNCTION("TEXTJOIN(""|"",TRUE,UNIQUE(FILTER(SPLIT(F900,"" ""),LEN(SPLIT(F900,"" ""))&gt;2)))"),"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f>
        <v>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v>
      </c>
      <c r="I900" s="1"/>
      <c r="J900" s="1"/>
    </row>
    <row r="901" spans="1:10" x14ac:dyDescent="0.2">
      <c r="A901" s="8" t="s">
        <v>950</v>
      </c>
      <c r="B901" s="7" t="s">
        <v>949</v>
      </c>
      <c r="C901" s="7" t="s">
        <v>948</v>
      </c>
      <c r="D901" s="6">
        <v>6600</v>
      </c>
      <c r="E901" s="5">
        <v>1</v>
      </c>
      <c r="F901" s="4" t="str">
        <f ca="1">IFERROR(__xludf.DUMMYFUNCTION("LOWER(REGEXREPLACE(B901&amp;"" ""&amp;C901,""[^а-яa-z0-9 ]"","" ""))"),"  н ыштар     м сбаев")</f>
        <v xml:space="preserve">  н ыштар     м сбаев</v>
      </c>
      <c r="G901" s="4" t="str">
        <f ca="1">IFERROR(__xludf.DUMMYFUNCTION("TEXTJOIN(""|"",TRUE,UNIQUE(FILTER(SPLIT(F901,"" ""),LEN(SPLIT(F901,"" ""))&gt;2)))"),"ыштар|сбаев")</f>
        <v>ыштар|сбаев</v>
      </c>
      <c r="I901" s="1"/>
      <c r="J901" s="1"/>
    </row>
    <row r="902" spans="1:10" x14ac:dyDescent="0.2">
      <c r="A902" s="8" t="s">
        <v>947</v>
      </c>
      <c r="B902" s="7" t="s">
        <v>946</v>
      </c>
      <c r="C902" s="7"/>
      <c r="D902" s="6">
        <v>900</v>
      </c>
      <c r="E902" s="5">
        <v>1</v>
      </c>
      <c r="F902" s="4" t="str">
        <f ca="1">IFERROR(__xludf.DUMMYFUNCTION("LOWER(REGEXREPLACE(B902&amp;"" ""&amp;C902,""[^а-яa-z0-9 ]"","" ""))"),"  румен кей пкерлермен б рге о ып    йренем з   артоп мырза  ")</f>
        <v xml:space="preserve">  румен кей пкерлермен б рге о ып    йренем з   артоп мырза  </v>
      </c>
      <c r="G902" s="4" t="str">
        <f ca="1">IFERROR(__xludf.DUMMYFUNCTION("TEXTJOIN(""|"",TRUE,UNIQUE(FILTER(SPLIT(F902,"" ""),LEN(SPLIT(F902,"" ""))&gt;2)))"),"румен|кей|пкерлермен|рге|йренем|артоп|мырза")</f>
        <v>румен|кей|пкерлермен|рге|йренем|артоп|мырза</v>
      </c>
      <c r="I902" s="1"/>
      <c r="J902" s="1"/>
    </row>
    <row r="903" spans="1:10" x14ac:dyDescent="0.2">
      <c r="A903" s="8" t="s">
        <v>945</v>
      </c>
      <c r="B903" s="7" t="s">
        <v>944</v>
      </c>
      <c r="C903" s="7" t="s">
        <v>943</v>
      </c>
      <c r="D903" s="6">
        <v>102600</v>
      </c>
      <c r="E903" s="5">
        <v>8</v>
      </c>
      <c r="F903" s="4" t="str">
        <f ca="1">IFERROR(__xludf.DUMMYFUNCTION("LOWER(REGEXREPLACE(B903&amp;"" ""&amp;C903,""[^а-яa-z0-9 ]"","" ""))"),"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спо"&amp;"льзуется детьми с раннего возраста ")</f>
        <v xml:space="preserve">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v>
      </c>
      <c r="G903" s="4" t="str">
        <f ca="1">IFERROR(__xludf.DUMMYFUNCTION("TEXTJOIN(""|"",TRUE,UNIQUE(FILTER(SPLIT(F903,"" ""),LEN(SPLIT(F903,"" ""))&gt;2)))"),"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amp;"раста")</f>
        <v>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v>
      </c>
      <c r="I903" s="1"/>
      <c r="J903" s="1"/>
    </row>
    <row r="904" spans="1:10" x14ac:dyDescent="0.2">
      <c r="A904" s="8" t="s">
        <v>942</v>
      </c>
      <c r="B904" s="7" t="s">
        <v>941</v>
      </c>
      <c r="C904" s="7" t="s">
        <v>940</v>
      </c>
      <c r="D904" s="6">
        <v>361000</v>
      </c>
      <c r="E904" s="5">
        <v>1</v>
      </c>
      <c r="F904" s="4" t="str">
        <f ca="1">IFERROR(__xludf.DUMMYFUNCTION("LOWER(REGEXREPLACE(B904&amp;"" ""&amp;C904,""[^а-яa-z0-9 ]"","" ""))"),"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f>
        <v xml:space="preserve">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v>
      </c>
      <c r="G904" s="4" t="str">
        <f ca="1">IFERROR(__xludf.DUMMYFUNCTION("TEXTJOIN(""|"",TRUE,UNIQUE(FILTER(SPLIT(F904,"" ""),LEN(SPLIT(F904,"" ""))&gt;2)))"),"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f>
        <v>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v>
      </c>
      <c r="I904" s="1"/>
      <c r="J904" s="1"/>
    </row>
    <row r="905" spans="1:10" x14ac:dyDescent="0.2">
      <c r="A905" s="8" t="s">
        <v>939</v>
      </c>
      <c r="B905" s="7" t="s">
        <v>938</v>
      </c>
      <c r="C905" s="7" t="s">
        <v>937</v>
      </c>
      <c r="D905" s="6">
        <v>475000</v>
      </c>
      <c r="E905" s="5">
        <v>12</v>
      </c>
      <c r="F905" s="4" t="str">
        <f ca="1">IFERROR(__xludf.DUMMYFUNCTION("LOWER(REGEXREPLACE(B905&amp;"" ""&amp;C905,""[^а-яa-z0-9 ]"","" ""))"),"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f>
        <v xml:space="preserve">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v>
      </c>
      <c r="G905" s="4" t="str">
        <f ca="1">IFERROR(__xludf.DUMMYFUNCTION("TEXTJOIN(""|"",TRUE,UNIQUE(FILTER(SPLIT(F905,"" ""),LEN(SPLIT(F905,"" ""))&gt;2)))"),"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f>
        <v>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v>
      </c>
      <c r="I905" s="1"/>
      <c r="J905" s="1"/>
    </row>
    <row r="906" spans="1:10" x14ac:dyDescent="0.2">
      <c r="A906" s="8" t="s">
        <v>936</v>
      </c>
      <c r="B906" s="7" t="s">
        <v>935</v>
      </c>
      <c r="C906" s="7" t="s">
        <v>934</v>
      </c>
      <c r="D906" s="6">
        <v>5400</v>
      </c>
      <c r="E906" s="5">
        <v>7</v>
      </c>
      <c r="F906" s="4" t="str">
        <f ca="1">IFERROR(__xludf.DUMMYFUNCTION("LOWER(REGEXREPLACE(B906&amp;"" ""&amp;C906,""[^а-яa-z0-9 ]"","" ""))"),"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младшег"&amp;"о школьного возраста ")</f>
        <v xml:space="preserve">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v>
      </c>
      <c r="G906" s="4" t="str">
        <f ca="1">IFERROR(__xludf.DUMMYFUNCTION("TEXTJOIN(""|"",TRUE,UNIQUE(FILTER(SPLIT(F906,"" ""),LEN(SPLIT(F906,"" ""))&gt;2)))"),"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f>
        <v>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v>
      </c>
      <c r="I906" s="1"/>
      <c r="J906" s="1"/>
    </row>
    <row r="907" spans="1:10" x14ac:dyDescent="0.2">
      <c r="A907" s="8" t="s">
        <v>933</v>
      </c>
      <c r="B907" s="7" t="s">
        <v>932</v>
      </c>
      <c r="C907" s="7" t="s">
        <v>931</v>
      </c>
      <c r="D907" s="6">
        <v>6100</v>
      </c>
      <c r="E907" s="5">
        <v>5</v>
      </c>
      <c r="F907" s="4" t="str">
        <f ca="1">IFERROR(__xludf.DUMMYFUNCTION("LOWER(REGEXREPLACE(B907&amp;"" ""&amp;C907,""[^а-яa-z0-9 ]"","" ""))"),"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"&amp;"нагрузку при упражнениях  способствуют развитию силы  выносливости  координации движений и общей физической активности детей ")</f>
        <v xml:space="preserve">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v>
      </c>
      <c r="G907" s="4" t="str">
        <f ca="1">IFERROR(__xludf.DUMMYFUNCTION("TEXTJOIN(""|"",TRUE,UNIQUE(FILTER(SPLIT(F907,"" ""),LEN(SPLIT(F907,"" ""))&gt;2)))"),"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amp;"азвитию|силы|выносливости|координации|движений|общей|физической|активности|детей")</f>
        <v>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v>
      </c>
      <c r="I907" s="1"/>
      <c r="J907" s="1"/>
    </row>
    <row r="908" spans="1:10" x14ac:dyDescent="0.2">
      <c r="A908" s="8" t="s">
        <v>930</v>
      </c>
      <c r="B908" s="7" t="s">
        <v>929</v>
      </c>
      <c r="C908" s="7" t="s">
        <v>928</v>
      </c>
      <c r="D908" s="6">
        <v>37400</v>
      </c>
      <c r="E908" s="5">
        <v>5</v>
      </c>
      <c r="F908" s="4" t="str">
        <f ca="1">IFERROR(__xludf.DUMMYFUNCTION("LOWER(REGEXREPLACE(B908&amp;"" ""&amp;C908,""[^а-яa-z0-9 ]"","" ""))"),"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100"&amp;"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принадле"&amp;"жности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"&amp;"исследованию  развитию наблюдательности и умения сравнивать признаки объектов ")</f>
        <v xml:space="preserve">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v>
      </c>
      <c r="G908" s="4" t="str">
        <f ca="1">IFERROR(__xludf.DUMMYFUNCTION("TEXTJOIN(""|"",TRUE,UNIQUE(FILTER(SPLIT(F908,"" ""),LEN(SPLIT(F908,"" ""))&gt;2)))"),"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amp;"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amp;"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amp;"|признаки|объектов")</f>
        <v>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v>
      </c>
      <c r="I908" s="1"/>
      <c r="J908" s="1"/>
    </row>
    <row r="909" spans="1:10" x14ac:dyDescent="0.2">
      <c r="A909" s="8" t="s">
        <v>927</v>
      </c>
      <c r="B909" s="7" t="s">
        <v>926</v>
      </c>
      <c r="C909" s="7"/>
      <c r="D909" s="6">
        <v>900</v>
      </c>
      <c r="E909" s="5">
        <v>6</v>
      </c>
      <c r="F909" s="4" t="str">
        <f ca="1">IFERROR(__xludf.DUMMYFUNCTION("LOWER(REGEXREPLACE(B909&amp;"" ""&amp;C909,""[^а-яa-z0-9 ]"","" ""))")," чимся вместе с героями   витаминами   алышка  лубника  ")</f>
        <v xml:space="preserve"> чимся вместе с героями   витаминами   алышка  лубника  </v>
      </c>
      <c r="G909" s="4" t="str">
        <f ca="1">IFERROR(__xludf.DUMMYFUNCTION("TEXTJOIN(""|"",TRUE,UNIQUE(FILTER(SPLIT(F909,"" ""),LEN(SPLIT(F909,"" ""))&gt;2)))"),"чимся|вместе|героями|витаминами|алышка|лубника")</f>
        <v>чимся|вместе|героями|витаминами|алышка|лубника</v>
      </c>
      <c r="I909" s="1"/>
      <c r="J909" s="1"/>
    </row>
    <row r="910" spans="1:10" x14ac:dyDescent="0.2">
      <c r="A910" s="8" t="s">
        <v>925</v>
      </c>
      <c r="B910" s="7" t="s">
        <v>924</v>
      </c>
      <c r="C910" s="7"/>
      <c r="D910" s="6">
        <v>900</v>
      </c>
      <c r="E910" s="5">
        <v>6</v>
      </c>
      <c r="F910" s="4" t="str">
        <f ca="1">IFERROR(__xludf.DUMMYFUNCTION("LOWER(REGEXREPLACE(B910&amp;"" ""&amp;C910,""[^а-яa-z0-9 ]"","" ""))")," чимся вместе с героями   витаминами   исс  орковка  ")</f>
        <v xml:space="preserve"> чимся вместе с героями   витаминами   исс  орковка  </v>
      </c>
      <c r="G910" s="4" t="str">
        <f ca="1">IFERROR(__xludf.DUMMYFUNCTION("TEXTJOIN(""|"",TRUE,UNIQUE(FILTER(SPLIT(F910,"" ""),LEN(SPLIT(F910,"" ""))&gt;2)))"),"чимся|вместе|героями|витаминами|исс|орковка")</f>
        <v>чимся|вместе|героями|витаминами|исс|орковка</v>
      </c>
      <c r="I910" s="1"/>
      <c r="J910" s="1"/>
    </row>
    <row r="911" spans="1:10" x14ac:dyDescent="0.2">
      <c r="A911" s="8" t="s">
        <v>923</v>
      </c>
      <c r="B911" s="7" t="s">
        <v>922</v>
      </c>
      <c r="C911" s="7"/>
      <c r="D911" s="6">
        <v>900</v>
      </c>
      <c r="E911" s="5">
        <v>6</v>
      </c>
      <c r="F911" s="4" t="str">
        <f ca="1">IFERROR(__xludf.DUMMYFUNCTION("LOWER(REGEXREPLACE(B911&amp;"" ""&amp;C911,""[^а-яa-z0-9 ]"","" ""))")," чимся вместе с героями   витаминами   истер  артофель  ")</f>
        <v xml:space="preserve"> чимся вместе с героями   витаминами   истер  артофель  </v>
      </c>
      <c r="G911" s="4" t="str">
        <f ca="1">IFERROR(__xludf.DUMMYFUNCTION("TEXTJOIN(""|"",TRUE,UNIQUE(FILTER(SPLIT(F911,"" ""),LEN(SPLIT(F911,"" ""))&gt;2)))"),"чимся|вместе|героями|витаминами|истер|артофель")</f>
        <v>чимся|вместе|героями|витаминами|истер|артофель</v>
      </c>
      <c r="I911" s="1"/>
      <c r="J911" s="1"/>
    </row>
    <row r="912" spans="1:10" x14ac:dyDescent="0.2">
      <c r="A912" s="8" t="s">
        <v>921</v>
      </c>
      <c r="B912" s="7" t="s">
        <v>920</v>
      </c>
      <c r="C912" s="7"/>
      <c r="D912" s="6">
        <v>900</v>
      </c>
      <c r="E912" s="5">
        <v>6</v>
      </c>
      <c r="F912" s="4" t="str">
        <f ca="1">IFERROR(__xludf.DUMMYFUNCTION("LOWER(REGEXREPLACE(B912&amp;"" ""&amp;C912,""[^а-яa-z0-9 ]"","" ""))")," чимся вместе с героями   витаминами   истер  блоко  ")</f>
        <v xml:space="preserve"> чимся вместе с героями   витаминами   истер  блоко  </v>
      </c>
      <c r="G912" s="4" t="str">
        <f ca="1">IFERROR(__xludf.DUMMYFUNCTION("TEXTJOIN(""|"",TRUE,UNIQUE(FILTER(SPLIT(F912,"" ""),LEN(SPLIT(F912,"" ""))&gt;2)))"),"чимся|вместе|героями|витаминами|истер|блоко")</f>
        <v>чимся|вместе|героями|витаминами|истер|блоко</v>
      </c>
      <c r="I912" s="1"/>
      <c r="J912" s="1"/>
    </row>
    <row r="913" spans="1:10" x14ac:dyDescent="0.2">
      <c r="A913" s="8" t="s">
        <v>919</v>
      </c>
      <c r="B913" s="7" t="s">
        <v>918</v>
      </c>
      <c r="C913" s="7" t="s">
        <v>917</v>
      </c>
      <c r="D913" s="6">
        <v>28700</v>
      </c>
      <c r="E913" s="5">
        <v>5</v>
      </c>
      <c r="F913" s="4" t="str">
        <f ca="1">IFERROR(__xludf.DUMMYFUNCTION("LOWER(REGEXREPLACE(B913&amp;"" ""&amp;C913,""[^а-яa-z0-9 ]"","" ""))"),"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опора"&amp;"х со стопорами   ожет использоваться как перегородка или элемент игрового пространства   абариты стенда   не менее 1000 480 1420 мм ")</f>
        <v xml:space="preserve">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v>
      </c>
      <c r="G913" s="4" t="str">
        <f ca="1">IFERROR(__xludf.DUMMYFUNCTION("TEXTJOIN(""|"",TRUE,UNIQUE(FILTER(SPLIT(F913,"" ""),LEN(SPLIT(F913,"" ""))&gt;2)))"),"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amp;"спользоваться|как|перегородка|или|элемент|игрового|пространства|абариты|стенда|менее|1000|480|1420")</f>
        <v>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v>
      </c>
      <c r="I913" s="1"/>
      <c r="J913" s="1"/>
    </row>
    <row r="914" spans="1:10" x14ac:dyDescent="0.2">
      <c r="A914" s="8" t="s">
        <v>916</v>
      </c>
      <c r="B914" s="7" t="s">
        <v>915</v>
      </c>
      <c r="C914" s="7" t="s">
        <v>914</v>
      </c>
      <c r="D914" s="6">
        <v>3500</v>
      </c>
      <c r="E914" s="5">
        <v>13</v>
      </c>
      <c r="F914" s="4" t="str">
        <f ca="1">IFERROR(__xludf.DUMMYFUNCTION("LOWER(REGEXREPLACE(B914&amp;"" ""&amp;C914,""[^а-яa-z0-9 ]"","" ""))"),"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инди"&amp;"видуальной и групповой работы с детьми дошкольного возраста ")</f>
        <v xml:space="preserve">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v>
      </c>
      <c r="G914" s="4" t="str">
        <f ca="1">IFERROR(__xludf.DUMMYFUNCTION("TEXTJOIN(""|"",TRUE,UNIQUE(FILTER(SPLIT(F914,"" ""),LEN(SPLIT(F914,"" ""))&gt;2)))"),"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amp;"етьми|дошкольного|возраста")</f>
        <v>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v>
      </c>
      <c r="I914" s="1"/>
      <c r="J914" s="1"/>
    </row>
    <row r="915" spans="1:10" x14ac:dyDescent="0.2">
      <c r="A915" s="8" t="s">
        <v>913</v>
      </c>
      <c r="B915" s="7" t="s">
        <v>912</v>
      </c>
      <c r="C915" s="7" t="s">
        <v>911</v>
      </c>
      <c r="D915" s="6">
        <v>3600</v>
      </c>
      <c r="E915" s="5">
        <v>1</v>
      </c>
      <c r="F915" s="4" t="str">
        <f ca="1">IFERROR(__xludf.DUMMYFUNCTION("LOWER(REGEXREPLACE(B915&amp;"" ""&amp;C915,""[^а-яa-z0-9 ]"","" ""))")," лы  скенд р   лександр  еликий   lexander the  reat  каз   рус   англ яз      ингхэм  перевод  ужикова      ернебекова    ")</f>
        <v xml:space="preserve"> лы  скенд р   лександр  еликий   lexander the  reat  каз   рус   англ яз      ингхэм  перевод  ужикова      ернебекова    </v>
      </c>
      <c r="G915" s="4" t="str">
        <f ca="1">IFERROR(__xludf.DUMMYFUNCTION("TEXTJOIN(""|"",TRUE,UNIQUE(FILTER(SPLIT(F915,"" ""),LEN(SPLIT(F915,"" ""))&gt;2)))"),"скенд|лександр|еликий|lexander|the|reat|каз|рус|англ|ингхэм|перевод|ужикова|ернебекова")</f>
        <v>скенд|лександр|еликий|lexander|the|reat|каз|рус|англ|ингхэм|перевод|ужикова|ернебекова</v>
      </c>
      <c r="I915" s="1"/>
      <c r="J915" s="1"/>
    </row>
    <row r="916" spans="1:10" x14ac:dyDescent="0.2">
      <c r="A916" s="8" t="s">
        <v>910</v>
      </c>
      <c r="B916" s="7" t="s">
        <v>909</v>
      </c>
      <c r="C916" s="7" t="s">
        <v>908</v>
      </c>
      <c r="D916" s="6">
        <v>21900</v>
      </c>
      <c r="E916" s="5">
        <v>1</v>
      </c>
      <c r="F916" s="4" t="str">
        <f ca="1">IFERROR(__xludf.DUMMYFUNCTION("LOWER(REGEXREPLACE(B916&amp;"" ""&amp;C916,""[^а-яa-z0-9 ]"","" ""))")," лы   бек жолы   еликий  елковый путь   he  reat  ilk  oad  каз   рус   англ яз    амраимов   ")</f>
        <v xml:space="preserve"> лы   бек жолы   еликий  елковый путь   he  reat  ilk  oad  каз   рус   англ яз    амраимов   </v>
      </c>
      <c r="G916" s="4" t="str">
        <f ca="1">IFERROR(__xludf.DUMMYFUNCTION("TEXTJOIN(""|"",TRUE,UNIQUE(FILTER(SPLIT(F916,"" ""),LEN(SPLIT(F916,"" ""))&gt;2)))"),"бек|жолы|еликий|елковый|путь|reat|ilk|oad|каз|рус|англ|амраимов")</f>
        <v>бек|жолы|еликий|елковый|путь|reat|ilk|oad|каз|рус|англ|амраимов</v>
      </c>
      <c r="I916" s="1"/>
      <c r="J916" s="1"/>
    </row>
    <row r="917" spans="1:10" x14ac:dyDescent="0.2">
      <c r="A917" s="8" t="s">
        <v>907</v>
      </c>
      <c r="B917" s="7" t="s">
        <v>906</v>
      </c>
      <c r="C917" s="7" t="s">
        <v>905</v>
      </c>
      <c r="D917" s="6">
        <v>5400</v>
      </c>
      <c r="E917" s="5">
        <v>25</v>
      </c>
      <c r="F917" s="4" t="str">
        <f ca="1">IFERROR(__xludf.DUMMYFUNCTION("LOWER(REGEXREPLACE(B917&amp;"" ""&amp;C917,""[^а-яa-z0-9 ]"","" ""))"),"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f>
        <v xml:space="preserve">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v>
      </c>
      <c r="G917" s="4" t="str">
        <f ca="1">IFERROR(__xludf.DUMMYFUNCTION("TEXTJOIN(""|"",TRUE,UNIQUE(FILTER(SPLIT(F917,"" ""),LEN(SPLIT(F917,"" ""))&gt;2)))"),"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f>
        <v>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v>
      </c>
      <c r="I917" s="1"/>
      <c r="J917" s="1"/>
    </row>
    <row r="918" spans="1:10" x14ac:dyDescent="0.2">
      <c r="A918" s="8" t="s">
        <v>904</v>
      </c>
      <c r="B918" s="7" t="s">
        <v>903</v>
      </c>
      <c r="C918" s="7" t="s">
        <v>902</v>
      </c>
      <c r="D918" s="6">
        <v>3100</v>
      </c>
      <c r="E918" s="5">
        <v>10</v>
      </c>
      <c r="F918" s="4" t="str">
        <f ca="1">IFERROR(__xludf.DUMMYFUNCTION("LOWER(REGEXREPLACE(B918&amp;"" ""&amp;C918,""[^а-яa-z0-9 ]"","" ""))"),"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регулируе"&amp;"мых ремней    комплект входят нарукавники из плащевой ткани с резинками   азмер фартука   51 44 см  нарукавников   11 25 см ")</f>
        <v xml:space="preserve">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v>
      </c>
      <c r="G918" s="4" t="str">
        <f ca="1">IFERROR(__xludf.DUMMYFUNCTION("TEXTJOIN(""|"",TRUE,UNIQUE(FILTER(SPLIT(F918,"" ""),LEN(SPLIT(F918,"" ""))&gt;2)))"),"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amp;"укавники|плащевой|ткани|резинками|азмер|фартука|нарукавников")</f>
        <v>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v>
      </c>
      <c r="I918" s="1"/>
      <c r="J918" s="1"/>
    </row>
    <row r="919" spans="1:10" x14ac:dyDescent="0.2">
      <c r="A919" s="8" t="s">
        <v>901</v>
      </c>
      <c r="B919" s="7" t="s">
        <v>900</v>
      </c>
      <c r="C919" s="7" t="s">
        <v>899</v>
      </c>
      <c r="D919" s="6">
        <v>3800</v>
      </c>
      <c r="E919" s="5">
        <v>16</v>
      </c>
      <c r="F919" s="4" t="str">
        <f ca="1">IFERROR(__xludf.DUMMYFUNCTION("LOWER(REGEXREPLACE(B919&amp;"" ""&amp;C919,""[^а-яa-z0-9 ]"","" ""))"),"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f>
        <v xml:space="preserve">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v>
      </c>
      <c r="G919" s="4" t="str">
        <f ca="1">IFERROR(__xludf.DUMMYFUNCTION("TEXTJOIN(""|"",TRUE,UNIQUE(FILTER(SPLIT(F919,"" ""),LEN(SPLIT(F919,"" ""))&gt;2)))"),"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f>
        <v>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v>
      </c>
      <c r="I919" s="1"/>
      <c r="J919" s="1"/>
    </row>
    <row r="920" spans="1:10" x14ac:dyDescent="0.2">
      <c r="A920" s="8" t="s">
        <v>898</v>
      </c>
      <c r="B920" s="7" t="s">
        <v>897</v>
      </c>
      <c r="C920" s="7" t="s">
        <v>896</v>
      </c>
      <c r="D920" s="6">
        <v>760000</v>
      </c>
      <c r="E920" s="5">
        <v>1</v>
      </c>
      <c r="F920" s="4" t="str">
        <f ca="1">IFERROR(__xludf.DUMMYFUNCTION("LOWER(REGEXREPLACE(B920&amp;"" ""&amp;C920,""[^а-яa-z0-9 ]"","" ""))"),"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разгр"&amp;"узки детей   азмер 1200 900 800 мм   атериалы  винилискожа  пенополиуретан  карпет ")</f>
        <v xml:space="preserve">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v>
      </c>
      <c r="G920" s="4" t="str">
        <f ca="1">IFERROR(__xludf.DUMMYFUNCTION("TEXTJOIN(""|"",TRUE,UNIQUE(FILTER(SPLIT(F920,"" ""),LEN(SPLIT(F920,"" ""))&gt;2)))"),"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amp;"|800|атериалы|винилискожа|пенополиуретан|карпет")</f>
        <v>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v>
      </c>
      <c r="I920" s="1"/>
      <c r="J920" s="1"/>
    </row>
    <row r="921" spans="1:10" x14ac:dyDescent="0.2">
      <c r="A921" s="8" t="s">
        <v>895</v>
      </c>
      <c r="B921" s="7" t="s">
        <v>894</v>
      </c>
      <c r="C921" s="7" t="s">
        <v>893</v>
      </c>
      <c r="D921" s="6">
        <v>52000</v>
      </c>
      <c r="E921" s="5">
        <v>2</v>
      </c>
      <c r="F921" s="4" t="str">
        <f ca="1">IFERROR(__xludf.DUMMYFUNCTION("LOWER(REGEXREPLACE(B921&amp;"" ""&amp;C921,""[^а-яa-z0-9 ]"","" ""))"),"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к"&amp;"рая закругл нные ")</f>
        <v xml:space="preserve">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v>
      </c>
      <c r="G921" s="4" t="str">
        <f ca="1">IFERROR(__xludf.DUMMYFUNCTION("TEXTJOIN(""|"",TRUE,UNIQUE(FILTER(SPLIT(F921,"" ""),LEN(SPLIT(F921,"" ""))&gt;2)))"),"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f>
        <v>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v>
      </c>
      <c r="I921" s="1"/>
      <c r="J921" s="1"/>
    </row>
    <row r="922" spans="1:10" x14ac:dyDescent="0.2">
      <c r="A922" s="8" t="s">
        <v>892</v>
      </c>
      <c r="B922" s="7" t="s">
        <v>891</v>
      </c>
      <c r="C922" s="7" t="s">
        <v>890</v>
      </c>
      <c r="D922" s="6">
        <v>9600</v>
      </c>
      <c r="E922" s="5">
        <v>5</v>
      </c>
      <c r="F922" s="4" t="str">
        <f ca="1">IFERROR(__xludf.DUMMYFUNCTION("LOWER(REGEXREPLACE(B922&amp;"" ""&amp;C922,""[^а-яa-z0-9 ]"","" ""))"),"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индивидуаль"&amp;"ной и групповой работе ")</f>
        <v xml:space="preserve">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v>
      </c>
      <c r="G922" s="4" t="str">
        <f ca="1">IFERROR(__xludf.DUMMYFUNCTION("TEXTJOIN(""|"",TRUE,UNIQUE(FILTER(SPLIT(F922,"" ""),LEN(SPLIT(F922,"" ""))&gt;2)))"),"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amp;"работе")</f>
        <v>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v>
      </c>
      <c r="I922" s="1"/>
      <c r="J922" s="1"/>
    </row>
    <row r="923" spans="1:10" x14ac:dyDescent="0.2">
      <c r="A923" s="8" t="s">
        <v>889</v>
      </c>
      <c r="B923" s="7" t="s">
        <v>888</v>
      </c>
      <c r="C923" s="7" t="s">
        <v>887</v>
      </c>
      <c r="D923" s="6">
        <v>15000</v>
      </c>
      <c r="E923" s="5">
        <v>1</v>
      </c>
      <c r="F923" s="4" t="str">
        <f ca="1">IFERROR(__xludf.DUMMYFUNCTION("LOWER(REGEXREPLACE(B923&amp;"" ""&amp;C923,""[^а-яa-z0-9 ]"","" ""))")," изика    ай  р  же  л под ред      орган  перевод  усатай    ")</f>
        <v xml:space="preserve"> изика    ай  р  же  л под ред      орган  перевод  усатай    </v>
      </c>
      <c r="G923" s="4" t="str">
        <f ca="1">IFERROR(__xludf.DUMMYFUNCTION("TEXTJOIN(""|"",TRUE,UNIQUE(FILTER(SPLIT(F923,"" ""),LEN(SPLIT(F923,"" ""))&gt;2)))"),"изика|под|ред|орган|перевод|усатай")</f>
        <v>изика|под|ред|орган|перевод|усатай</v>
      </c>
      <c r="I923" s="1"/>
      <c r="J923" s="1"/>
    </row>
    <row r="924" spans="1:10" x14ac:dyDescent="0.2">
      <c r="A924" s="8" t="s">
        <v>886</v>
      </c>
      <c r="B924" s="7" t="s">
        <v>885</v>
      </c>
      <c r="C924" s="7" t="s">
        <v>884</v>
      </c>
      <c r="D924" s="6">
        <v>102600</v>
      </c>
      <c r="E924" s="5">
        <v>5</v>
      </c>
      <c r="F924" s="4" t="str">
        <f ca="1">IFERROR(__xludf.DUMMYFUNCTION("LOWER(REGEXREPLACE(B924&amp;"" ""&amp;C924,""[^а-яa-z0-9 ]"","" ""))"),"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f>
        <v xml:space="preserve">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v>
      </c>
      <c r="G924" s="4" t="str">
        <f ca="1">IFERROR(__xludf.DUMMYFUNCTION("TEXTJOIN(""|"",TRUE,UNIQUE(FILTER(SPLIT(F924,"" ""),LEN(SPLIT(F924,"" ""))&gt;2)))"),"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f>
        <v>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v>
      </c>
      <c r="I924" s="1"/>
      <c r="J924" s="1"/>
    </row>
    <row r="925" spans="1:10" x14ac:dyDescent="0.2">
      <c r="A925" s="8" t="s">
        <v>883</v>
      </c>
      <c r="B925" s="7" t="s">
        <v>882</v>
      </c>
      <c r="C925" s="7" t="s">
        <v>881</v>
      </c>
      <c r="D925" s="6">
        <v>15000</v>
      </c>
      <c r="E925" s="5">
        <v>1</v>
      </c>
      <c r="F925" s="4" t="str">
        <f ca="1">IFERROR(__xludf.DUMMYFUNCTION("LOWER(REGEXREPLACE(B925&amp;"" ""&amp;C925,""[^а-яa-z0-9 ]"","" ""))")," изика   росто и легко под ред      орган  перевод  едрук      ")</f>
        <v xml:space="preserve"> изика   росто и легко под ред      орган  перевод  едрук      </v>
      </c>
      <c r="G925" s="4" t="str">
        <f ca="1">IFERROR(__xludf.DUMMYFUNCTION("TEXTJOIN(""|"",TRUE,UNIQUE(FILTER(SPLIT(F925,"" ""),LEN(SPLIT(F925,"" ""))&gt;2)))"),"изика|росто|легко|под|ред|орган|перевод|едрук")</f>
        <v>изика|росто|легко|под|ред|орган|перевод|едрук</v>
      </c>
      <c r="I925" s="1"/>
      <c r="J925" s="1"/>
    </row>
    <row r="926" spans="1:10" x14ac:dyDescent="0.2">
      <c r="A926" s="8" t="s">
        <v>880</v>
      </c>
      <c r="B926" s="7" t="s">
        <v>879</v>
      </c>
      <c r="C926" s="7" t="s">
        <v>878</v>
      </c>
      <c r="D926" s="6">
        <v>5400</v>
      </c>
      <c r="E926" s="5">
        <v>1</v>
      </c>
      <c r="F926" s="4" t="str">
        <f ca="1">IFERROR(__xludf.DUMMYFUNCTION("LOWER(REGEXREPLACE(B926&amp;"" ""&amp;C926,""[^а-яa-z0-9 ]"","" ""))"),"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f>
        <v xml:space="preserve">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v>
      </c>
      <c r="G926" s="4" t="str">
        <f ca="1">IFERROR(__xludf.DUMMYFUNCTION("TEXTJOIN(""|"",TRUE,UNIQUE(FILTER(SPLIT(F926,"" ""),LEN(SPLIT(F926,"" ""))&gt;2)))"),"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f>
        <v>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v>
      </c>
      <c r="I926" s="1"/>
      <c r="J926" s="1"/>
    </row>
    <row r="927" spans="1:10" x14ac:dyDescent="0.2">
      <c r="A927" s="8" t="s">
        <v>877</v>
      </c>
      <c r="B927" s="7" t="s">
        <v>876</v>
      </c>
      <c r="C927" s="7" t="s">
        <v>875</v>
      </c>
      <c r="D927" s="6">
        <v>68400</v>
      </c>
      <c r="E927" s="5">
        <v>5</v>
      </c>
      <c r="F927" s="4" t="str">
        <f ca="1">IFERROR(__xludf.DUMMYFUNCTION("LOWER(REGEXREPLACE(B927&amp;"" ""&amp;C927,""[^а-яa-z0-9 ]"","" ""))"),"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f>
        <v xml:space="preserve">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v>
      </c>
      <c r="G927" s="4" t="str">
        <f ca="1">IFERROR(__xludf.DUMMYFUNCTION("TEXTJOIN(""|"",TRUE,UNIQUE(FILTER(SPLIT(F927,"" ""),LEN(SPLIT(F927,"" ""))&gt;2)))"),"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f>
        <v>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v>
      </c>
      <c r="I927" s="1"/>
      <c r="J927" s="1"/>
    </row>
    <row r="928" spans="1:10" x14ac:dyDescent="0.2">
      <c r="A928" s="8" t="s">
        <v>874</v>
      </c>
      <c r="B928" s="7" t="s">
        <v>873</v>
      </c>
      <c r="C928" s="7" t="s">
        <v>872</v>
      </c>
      <c r="D928" s="6">
        <v>7000</v>
      </c>
      <c r="E928" s="5">
        <v>21</v>
      </c>
      <c r="F928" s="4" t="str">
        <f ca="1">IFERROR(__xludf.DUMMYFUNCTION("LOWER(REGEXREPLACE(B928&amp;"" ""&amp;C928,""[^а-яa-z0-9 ]"","" ""))"),"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ра"&amp;"звитию координации движений  равновесия  силы и общей физической активности детей от 3 лет ")</f>
        <v xml:space="preserve">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v>
      </c>
      <c r="G928" s="4" t="str">
        <f ca="1">IFERROR(__xludf.DUMMYFUNCTION("TEXTJOIN(""|"",TRUE,UNIQUE(FILTER(SPLIT(F928,"" ""),LEN(SPLIT(F928,"" ""))&gt;2)))"),"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amp;"щей|физической|активности|детей|лет")</f>
        <v>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v>
      </c>
      <c r="I928" s="1"/>
      <c r="J928" s="1"/>
    </row>
    <row r="929" spans="1:10" x14ac:dyDescent="0.2">
      <c r="A929" s="8" t="s">
        <v>871</v>
      </c>
      <c r="B929" s="7" t="s">
        <v>870</v>
      </c>
      <c r="C929" s="7" t="s">
        <v>869</v>
      </c>
      <c r="D929" s="6">
        <v>1000</v>
      </c>
      <c r="E929" s="5">
        <v>25</v>
      </c>
      <c r="F929" s="4" t="str">
        <f ca="1">IFERROR(__xludf.DUMMYFUNCTION("LOWER(REGEXREPLACE(B929&amp;"" ""&amp;C929,""[^а-яa-z0-9 ]"","" ""))"),"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f>
        <v xml:space="preserve">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v>
      </c>
      <c r="G929" s="4" t="str">
        <f ca="1">IFERROR(__xludf.DUMMYFUNCTION("TEXTJOIN(""|"",TRUE,UNIQUE(FILTER(SPLIT(F929,"" ""),LEN(SPLIT(F929,"" ""))&gt;2)))"),"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f>
        <v>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v>
      </c>
      <c r="I929" s="1"/>
      <c r="J929" s="1"/>
    </row>
    <row r="930" spans="1:10" x14ac:dyDescent="0.2">
      <c r="A930" s="8" t="s">
        <v>868</v>
      </c>
      <c r="B930" s="7" t="s">
        <v>867</v>
      </c>
      <c r="C930" s="7" t="s">
        <v>866</v>
      </c>
      <c r="D930" s="6">
        <v>1100</v>
      </c>
      <c r="E930" s="5">
        <v>10</v>
      </c>
      <c r="F930" s="4" t="str">
        <f ca="1">IFERROR(__xludf.DUMMYFUNCTION("LOWER(REGEXREPLACE(B930&amp;"" ""&amp;C930,""[^а-яa-z0-9 ]"","" ""))"),"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f>
        <v xml:space="preserve">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v>
      </c>
      <c r="G930" s="4" t="str">
        <f ca="1">IFERROR(__xludf.DUMMYFUNCTION("TEXTJOIN(""|"",TRUE,UNIQUE(FILTER(SPLIT(F930,"" ""),LEN(SPLIT(F930,"" ""))&gt;2)))"),"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f>
        <v>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v>
      </c>
      <c r="I930" s="1"/>
      <c r="J930" s="1"/>
    </row>
    <row r="931" spans="1:10" x14ac:dyDescent="0.2">
      <c r="A931" s="8" t="s">
        <v>865</v>
      </c>
      <c r="B931" s="7" t="s">
        <v>864</v>
      </c>
      <c r="C931" s="7" t="s">
        <v>863</v>
      </c>
      <c r="D931" s="6">
        <v>13300</v>
      </c>
      <c r="E931" s="5">
        <v>1</v>
      </c>
      <c r="F931" s="4" t="str">
        <f ca="1">IFERROR(__xludf.DUMMYFUNCTION("LOWER(REGEXREPLACE(B931&amp;"" ""&amp;C931,""[^а-яa-z0-9 ]"","" ""))"),"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f>
        <v xml:space="preserve">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v>
      </c>
      <c r="G931" s="4" t="str">
        <f ca="1">IFERROR(__xludf.DUMMYFUNCTION("TEXTJOIN(""|"",TRUE,UNIQUE(FILTER(SPLIT(F931,"" ""),LEN(SPLIT(F931,"" ""))&gt;2)))"),"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f>
        <v>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v>
      </c>
      <c r="I931" s="1"/>
      <c r="J931" s="1"/>
    </row>
    <row r="932" spans="1:10" x14ac:dyDescent="0.2">
      <c r="A932" s="8" t="s">
        <v>862</v>
      </c>
      <c r="B932" s="7" t="s">
        <v>861</v>
      </c>
      <c r="C932" s="7" t="s">
        <v>860</v>
      </c>
      <c r="D932" s="6">
        <v>44800</v>
      </c>
      <c r="E932" s="5">
        <v>7</v>
      </c>
      <c r="F932" s="4" t="str">
        <f ca="1">IFERROR(__xludf.DUMMYFUNCTION("LOWER(REGEXREPLACE(B932&amp;"" ""&amp;C932,""[^а-яa-z0-9 ]"","" ""))"),"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f>
        <v xml:space="preserve">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v>
      </c>
      <c r="G932" s="4" t="str">
        <f ca="1">IFERROR(__xludf.DUMMYFUNCTION("TEXTJOIN(""|"",TRUE,UNIQUE(FILTER(SPLIT(F932,"" ""),LEN(SPLIT(F932,"" ""))&gt;2)))"),"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f>
        <v>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v>
      </c>
      <c r="I932" s="1"/>
      <c r="J932" s="1"/>
    </row>
    <row r="933" spans="1:10" x14ac:dyDescent="0.2">
      <c r="A933" s="8" t="s">
        <v>859</v>
      </c>
      <c r="B933" s="7" t="s">
        <v>858</v>
      </c>
      <c r="C933" s="7" t="s">
        <v>857</v>
      </c>
      <c r="D933" s="6">
        <v>44700</v>
      </c>
      <c r="E933" s="5">
        <v>8</v>
      </c>
      <c r="F933" s="4" t="str">
        <f ca="1">IFERROR(__xludf.DUMMYFUNCTION("LOWER(REGEXREPLACE(B933&amp;"" ""&amp;C933,""[^а-яa-z0-9 ]"","" ""))"),"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f>
        <v xml:space="preserve">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v>
      </c>
      <c r="G933" s="4" t="str">
        <f ca="1">IFERROR(__xludf.DUMMYFUNCTION("TEXTJOIN(""|"",TRUE,UNIQUE(FILTER(SPLIT(F933,"" ""),LEN(SPLIT(F933,"" ""))&gt;2)))"),"ланелеграф|идактическое|пособие|для|крепления|фигурок|карточек|фетра|спользуется|образовательной|деятельности|для|визуализации|учебного|материала")</f>
        <v>ланелеграф|идактическое|пособие|для|крепления|фигурок|карточек|фетра|спользуется|образовательной|деятельности|для|визуализации|учебного|материала</v>
      </c>
      <c r="I933" s="1"/>
      <c r="J933" s="1"/>
    </row>
    <row r="934" spans="1:10" x14ac:dyDescent="0.2">
      <c r="A934" s="8" t="s">
        <v>856</v>
      </c>
      <c r="B934" s="7" t="s">
        <v>855</v>
      </c>
      <c r="C934" s="7" t="s">
        <v>854</v>
      </c>
      <c r="D934" s="6">
        <v>11400</v>
      </c>
      <c r="E934" s="5">
        <v>50</v>
      </c>
      <c r="F934" s="4" t="str">
        <f ca="1">IFERROR(__xludf.DUMMYFUNCTION("LOWER(REGEXREPLACE(B934&amp;"" ""&amp;C934,""[^а-яa-z0-9 ]"","" ""))"),"  ол ба дар    нтеллектум   гра предназначена для развития логического мышления посредством объединения дорог по знакам  ")</f>
        <v xml:space="preserve">  ол ба дар    нтеллектум   гра предназначена для развития логического мышления посредством объединения дорог по знакам  </v>
      </c>
      <c r="G934" s="4" t="str">
        <f ca="1">IFERROR(__xludf.DUMMYFUNCTION("TEXTJOIN(""|"",TRUE,UNIQUE(FILTER(SPLIT(F934,"" ""),LEN(SPLIT(F934,"" ""))&gt;2)))"),"дар|нтеллектум|гра|предназначена|для|развития|логического|мышления|посредством|объединения|дорог|знакам")</f>
        <v>дар|нтеллектум|гра|предназначена|для|развития|логического|мышления|посредством|объединения|дорог|знакам</v>
      </c>
      <c r="I934" s="1"/>
      <c r="J934" s="1"/>
    </row>
    <row r="935" spans="1:10" x14ac:dyDescent="0.2">
      <c r="A935" s="8" t="s">
        <v>853</v>
      </c>
      <c r="B935" s="7" t="s">
        <v>852</v>
      </c>
      <c r="C935" s="7" t="s">
        <v>851</v>
      </c>
      <c r="D935" s="6">
        <v>27400</v>
      </c>
      <c r="E935" s="5">
        <v>5</v>
      </c>
      <c r="F935" s="4" t="str">
        <f ca="1">IFERROR(__xludf.DUMMYFUNCTION("LOWER(REGEXREPLACE(B935&amp;"" ""&amp;C935,""[^а-яa-z0-9 ]"","" ""))"),"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поме"&amp;"щениях ")</f>
        <v xml:space="preserve">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v>
      </c>
      <c r="G935" s="4" t="str">
        <f ca="1">IFERROR(__xludf.DUMMYFUNCTION("TEXTJOIN(""|"",TRUE,UNIQUE(FILTER(SPLIT(F935,"" ""),LEN(SPLIT(F935,"" ""))&gt;2)))"),"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f>
        <v>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v>
      </c>
      <c r="I935" s="1"/>
      <c r="J935" s="1"/>
    </row>
    <row r="936" spans="1:10" x14ac:dyDescent="0.2">
      <c r="A936" s="8" t="s">
        <v>850</v>
      </c>
      <c r="B936" s="7" t="s">
        <v>849</v>
      </c>
      <c r="C936" s="7" t="s">
        <v>848</v>
      </c>
      <c r="D936" s="6">
        <v>6900</v>
      </c>
      <c r="E936" s="5">
        <v>5</v>
      </c>
      <c r="F936" s="4" t="str">
        <f ca="1">IFERROR(__xludf.DUMMYFUNCTION("LOWER(REGEXREPLACE(B936&amp;"" ""&amp;C936,""[^а-яa-z0-9 ]"","" ""))"),"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восп"&amp;"роизводить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мо"&amp;"гут крепиться на фетровую поверхность с использованием кнопок или липучек ")</f>
        <v xml:space="preserve">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v>
      </c>
      <c r="G936" s="4" t="str">
        <f ca="1">IFERROR(__xludf.DUMMYFUNCTION("TEXTJOIN(""|"",TRUE,UNIQUE(FILTER(SPLIT(F936,"" ""),LEN(SPLIT(F936,"" ""))&gt;2)))"),"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amp;"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amp;"ек")</f>
        <v>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v>
      </c>
      <c r="I936" s="1"/>
      <c r="J936" s="1"/>
    </row>
    <row r="937" spans="1:10" x14ac:dyDescent="0.2">
      <c r="A937" s="8" t="s">
        <v>847</v>
      </c>
      <c r="B937" s="7" t="s">
        <v>846</v>
      </c>
      <c r="C937" s="7" t="s">
        <v>845</v>
      </c>
      <c r="D937" s="6">
        <v>44800</v>
      </c>
      <c r="E937" s="5">
        <v>7</v>
      </c>
      <c r="F937" s="4" t="str">
        <f ca="1">IFERROR(__xludf.DUMMYFUNCTION("LOWER(REGEXREPLACE(B937&amp;"" ""&amp;C937,""[^а-яa-z0-9 ]"","" ""))")," ланелеграф тканевый  ольшой тканевый фланелеграф с карманами для хранения элементов   спользуется для творческих  обучающих и игровых занятий с детьми ")</f>
        <v xml:space="preserve"> ланелеграф тканевый  ольшой тканевый фланелеграф с карманами для хранения элементов   спользуется для творческих  обучающих и игровых занятий с детьми </v>
      </c>
      <c r="G937" s="4" t="str">
        <f ca="1">IFERROR(__xludf.DUMMYFUNCTION("TEXTJOIN(""|"",TRUE,UNIQUE(FILTER(SPLIT(F937,"" ""),LEN(SPLIT(F937,"" ""))&gt;2)))"),"ланелеграф|тканевый|ольшой|тканевый|фланелеграф|карманами|для|хранения|элементов|спользуется|для|творческих|обучающих|игровых|занятий|детьми")</f>
        <v>ланелеграф|тканевый|ольшой|тканевый|фланелеграф|карманами|для|хранения|элементов|спользуется|для|творческих|обучающих|игровых|занятий|детьми</v>
      </c>
      <c r="I937" s="1"/>
      <c r="J937" s="1"/>
    </row>
    <row r="938" spans="1:10" x14ac:dyDescent="0.2">
      <c r="A938" s="8" t="s">
        <v>844</v>
      </c>
      <c r="B938" s="7" t="s">
        <v>843</v>
      </c>
      <c r="C938" s="7" t="s">
        <v>842</v>
      </c>
      <c r="D938" s="6">
        <v>2600</v>
      </c>
      <c r="E938" s="5">
        <v>125</v>
      </c>
      <c r="F938" s="4" t="str">
        <f ca="1">IFERROR(__xludf.DUMMYFUNCTION("LOWER(REGEXREPLACE(B938&amp;"" ""&amp;C938,""[^а-яa-z0-9 ]"","" ""))"),"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f>
        <v xml:space="preserve">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v>
      </c>
      <c r="G938" s="4" t="str">
        <f ca="1">IFERROR(__xludf.DUMMYFUNCTION("TEXTJOIN(""|"",TRUE,UNIQUE(FILTER(SPLIT(F938,"" ""),LEN(SPLIT(F938,"" ""))&gt;2)))"),"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f>
        <v>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v>
      </c>
      <c r="I938" s="1"/>
      <c r="J938" s="1"/>
    </row>
    <row r="939" spans="1:10" x14ac:dyDescent="0.2">
      <c r="A939" s="8" t="s">
        <v>841</v>
      </c>
      <c r="B939" s="7" t="s">
        <v>840</v>
      </c>
      <c r="C939" s="7" t="s">
        <v>839</v>
      </c>
      <c r="D939" s="6">
        <v>28500</v>
      </c>
      <c r="E939" s="5">
        <v>1</v>
      </c>
      <c r="F939" s="4" t="str">
        <f ca="1">IFERROR(__xludf.DUMMYFUNCTION("LOWER(REGEXREPLACE(B939&amp;"" ""&amp;C939,""[^а-яa-z0-9 ]"","" ""))"),"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f>
        <v xml:space="preserve">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v>
      </c>
      <c r="G939" s="4" t="str">
        <f ca="1">IFERROR(__xludf.DUMMYFUNCTION("TEXTJOIN(""|"",TRUE,UNIQUE(FILTER(SPLIT(F939,"" ""),LEN(SPLIT(F939,"" ""))&gt;2)))"),"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f>
        <v>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v>
      </c>
      <c r="I939" s="1"/>
      <c r="J939" s="1"/>
    </row>
    <row r="940" spans="1:10" x14ac:dyDescent="0.2">
      <c r="A940" s="8" t="s">
        <v>838</v>
      </c>
      <c r="B940" s="7" t="s">
        <v>837</v>
      </c>
      <c r="C940" s="7" t="s">
        <v>836</v>
      </c>
      <c r="D940" s="6">
        <v>4800</v>
      </c>
      <c r="E940" s="5">
        <v>5</v>
      </c>
      <c r="F940" s="4" t="str">
        <f ca="1">IFERROR(__xludf.DUMMYFUNCTION("LOWER(REGEXREPLACE(B940&amp;"" ""&amp;C940,""[^а-яa-z0-9 ]"","" ""))"),"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f>
        <v xml:space="preserve">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v>
      </c>
      <c r="G940" s="4" t="str">
        <f ca="1">IFERROR(__xludf.DUMMYFUNCTION("TEXTJOIN(""|"",TRUE,UNIQUE(FILTER(SPLIT(F940,"" ""),LEN(SPLIT(F940,"" ""))&gt;2)))"),"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f>
        <v>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v>
      </c>
      <c r="I940" s="1"/>
      <c r="J940" s="1"/>
    </row>
    <row r="941" spans="1:10" x14ac:dyDescent="0.2">
      <c r="A941" s="8" t="s">
        <v>835</v>
      </c>
      <c r="B941" s="7" t="s">
        <v>834</v>
      </c>
      <c r="C941" s="7" t="s">
        <v>833</v>
      </c>
      <c r="D941" s="6">
        <v>4800</v>
      </c>
      <c r="E941" s="5">
        <v>1</v>
      </c>
      <c r="F941" s="4" t="str">
        <f ca="1">IFERROR(__xludf.DUMMYFUNCTION("LOWER(REGEXREPLACE(B941&amp;"" ""&amp;C941,""[^а-яa-z0-9 ]"","" ""))")," аншайымны  10 о и асы  ертолет   ")</f>
        <v xml:space="preserve"> аншайымны  10 о и асы  ертолет   </v>
      </c>
      <c r="G941" s="4" t="str">
        <f ca="1">IFERROR(__xludf.DUMMYFUNCTION("TEXTJOIN(""|"",TRUE,UNIQUE(FILTER(SPLIT(F941,"" ""),LEN(SPLIT(F941,"" ""))&gt;2)))"),"аншайымны|асы|ертолет")</f>
        <v>аншайымны|асы|ертолет</v>
      </c>
      <c r="I941" s="1"/>
      <c r="J941" s="1"/>
    </row>
    <row r="942" spans="1:10" x14ac:dyDescent="0.2">
      <c r="A942" s="8" t="s">
        <v>832</v>
      </c>
      <c r="B942" s="7" t="s">
        <v>831</v>
      </c>
      <c r="C942" s="7" t="s">
        <v>828</v>
      </c>
      <c r="D942" s="6">
        <v>15000</v>
      </c>
      <c r="E942" s="5">
        <v>1</v>
      </c>
      <c r="F942" s="4" t="str">
        <f ca="1">IFERROR(__xludf.DUMMYFUNCTION("LOWER(REGEXREPLACE(B942&amp;"" ""&amp;C942,""[^а-яa-z0-9 ]"","" ""))")," имия    ай  р  же  л под ред      амасвами  перевод  арт      ")</f>
        <v xml:space="preserve"> имия    ай  р  же  л под ред      амасвами  перевод  арт      </v>
      </c>
      <c r="G942" s="4" t="str">
        <f ca="1">IFERROR(__xludf.DUMMYFUNCTION("TEXTJOIN(""|"",TRUE,UNIQUE(FILTER(SPLIT(F942,"" ""),LEN(SPLIT(F942,"" ""))&gt;2)))"),"имия|под|ред|амасвами|перевод|арт")</f>
        <v>имия|под|ред|амасвами|перевод|арт</v>
      </c>
      <c r="I942" s="1"/>
      <c r="J942" s="1"/>
    </row>
    <row r="943" spans="1:10" x14ac:dyDescent="0.2">
      <c r="A943" s="8" t="s">
        <v>830</v>
      </c>
      <c r="B943" s="7" t="s">
        <v>829</v>
      </c>
      <c r="C943" s="7" t="s">
        <v>828</v>
      </c>
      <c r="D943" s="6">
        <v>15000</v>
      </c>
      <c r="E943" s="5">
        <v>1</v>
      </c>
      <c r="F943" s="4" t="str">
        <f ca="1">IFERROR(__xludf.DUMMYFUNCTION("LOWER(REGEXREPLACE(B943&amp;"" ""&amp;C943,""[^а-яa-z0-9 ]"","" ""))")," имия   росто и легко под ред      амасвами  перевод  арт      ")</f>
        <v xml:space="preserve"> имия   росто и легко под ред      амасвами  перевод  арт      </v>
      </c>
      <c r="G943" s="4" t="str">
        <f ca="1">IFERROR(__xludf.DUMMYFUNCTION("TEXTJOIN(""|"",TRUE,UNIQUE(FILTER(SPLIT(F943,"" ""),LEN(SPLIT(F943,"" ""))&gt;2)))"),"имия|росто|легко|под|ред|амасвами|перевод|арт")</f>
        <v>имия|росто|легко|под|ред|амасвами|перевод|арт</v>
      </c>
      <c r="I943" s="1"/>
      <c r="J943" s="1"/>
    </row>
    <row r="944" spans="1:10" x14ac:dyDescent="0.2">
      <c r="A944" s="8" t="s">
        <v>827</v>
      </c>
      <c r="B944" s="7" t="s">
        <v>826</v>
      </c>
      <c r="C944" s="7" t="s">
        <v>825</v>
      </c>
      <c r="D944" s="6">
        <v>6800</v>
      </c>
      <c r="E944" s="5">
        <v>5</v>
      </c>
      <c r="F944" s="4" t="str">
        <f ca="1">IFERROR(__xludf.DUMMYFUNCTION("LOWER(REGEXREPLACE(B944&amp;"" ""&amp;C944,""[^а-яa-z0-9 ]"","" ""))"),"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f>
        <v xml:space="preserve">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v>
      </c>
      <c r="G944" s="4" t="str">
        <f ca="1">IFERROR(__xludf.DUMMYFUNCTION("TEXTJOIN(""|"",TRUE,UNIQUE(FILTER(SPLIT(F944,"" ""),LEN(SPLIT(F944,"" ""))&gt;2)))"),"лорофитум|омнатное|растение|очищающее|воздух|спользуется|для|озеленения|помещений|дошкольного|учреждения|формирования|детей|экологических|представлений")</f>
        <v>лорофитум|омнатное|растение|очищающее|воздух|спользуется|для|озеленения|помещений|дошкольного|учреждения|формирования|детей|экологических|представлений</v>
      </c>
      <c r="I944" s="1"/>
      <c r="J944" s="1"/>
    </row>
    <row r="945" spans="1:10" x14ac:dyDescent="0.2">
      <c r="A945" s="8" t="s">
        <v>824</v>
      </c>
      <c r="B945" s="7" t="s">
        <v>823</v>
      </c>
      <c r="C945" s="7" t="s">
        <v>822</v>
      </c>
      <c r="D945" s="6">
        <v>285000</v>
      </c>
      <c r="E945" s="5">
        <v>5</v>
      </c>
      <c r="F945" s="4" t="str">
        <f ca="1">IFERROR(__xludf.DUMMYFUNCTION("LOWER(REGEXREPLACE(B945&amp;"" ""&amp;C945,""[^а-яa-z0-9 ]"","" ""))"),"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треб"&amp;"уют сложного ухода   редназначены для использования в помещениях ")</f>
        <v xml:space="preserve">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v>
      </c>
      <c r="G945" s="4" t="str">
        <f ca="1">IFERROR(__xludf.DUMMYFUNCTION("TEXTJOIN(""|"",TRUE,UNIQUE(FILTER(SPLIT(F945,"" ""),LEN(SPLIT(F945,"" ""))&gt;2)))"),"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amp;"редназначены|для|использования|помещениях")</f>
        <v>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v>
      </c>
      <c r="I945" s="1"/>
      <c r="J945" s="1"/>
    </row>
    <row r="946" spans="1:10" x14ac:dyDescent="0.2">
      <c r="A946" s="8" t="s">
        <v>821</v>
      </c>
      <c r="B946" s="7" t="s">
        <v>820</v>
      </c>
      <c r="C946" s="7" t="s">
        <v>819</v>
      </c>
      <c r="D946" s="6">
        <v>3600</v>
      </c>
      <c r="E946" s="5">
        <v>1</v>
      </c>
      <c r="F946" s="4" t="str">
        <f ca="1">IFERROR(__xludf.DUMMYFUNCTION("LOWER(REGEXREPLACE(B946&amp;"" ""&amp;C946,""[^а-яa-z0-9 ]"","" ""))")," ристофор  олумб   hristopher  olumbus  каз   рус   англ яз      ейси  перевод  ужикова      ернебекова    ")</f>
        <v xml:space="preserve"> ристофор  олумб   hristopher  olumbus  каз   рус   англ яз      ейси  перевод  ужикова      ернебекова    </v>
      </c>
      <c r="G946" s="4" t="str">
        <f ca="1">IFERROR(__xludf.DUMMYFUNCTION("TEXTJOIN(""|"",TRUE,UNIQUE(FILTER(SPLIT(F946,"" ""),LEN(SPLIT(F946,"" ""))&gt;2)))"),"ристофор|олумб|hristopher|olumbus|каз|рус|англ|ейси|перевод|ужикова|ернебекова")</f>
        <v>ристофор|олумб|hristopher|olumbus|каз|рус|англ|ейси|перевод|ужикова|ернебекова</v>
      </c>
      <c r="I946" s="1"/>
      <c r="J946" s="1"/>
    </row>
    <row r="947" spans="1:10" x14ac:dyDescent="0.2">
      <c r="A947" s="8" t="s">
        <v>818</v>
      </c>
      <c r="B947" s="7" t="s">
        <v>817</v>
      </c>
      <c r="C947" s="7" t="s">
        <v>816</v>
      </c>
      <c r="D947" s="6">
        <v>4800</v>
      </c>
      <c r="E947" s="5">
        <v>3</v>
      </c>
      <c r="F947" s="4" t="str">
        <f ca="1">IFERROR(__xludf.DUMMYFUNCTION("LOWER(REGEXREPLACE(B947&amp;"" ""&amp;C947,""[^а-яa-z0-9 ]"","" ""))"),"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f>
        <v xml:space="preserve">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v>
      </c>
      <c r="G947" s="4" t="str">
        <f ca="1">IFERROR(__xludf.DUMMYFUNCTION("TEXTJOIN(""|"",TRUE,UNIQUE(FILTER(SPLIT(F947,"" ""),LEN(SPLIT(F947,"" ""))&gt;2)))"),"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f>
        <v>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v>
      </c>
      <c r="I947" s="1"/>
      <c r="J947" s="1"/>
    </row>
    <row r="948" spans="1:10" x14ac:dyDescent="0.2">
      <c r="A948" s="8" t="s">
        <v>815</v>
      </c>
      <c r="B948" s="7" t="s">
        <v>814</v>
      </c>
      <c r="C948" s="7" t="s">
        <v>813</v>
      </c>
      <c r="D948" s="6">
        <v>90000</v>
      </c>
      <c r="E948" s="5">
        <v>5</v>
      </c>
      <c r="F948" s="4" t="str">
        <f ca="1">IFERROR(__xludf.DUMMYFUNCTION("LOWER(REGEXREPLACE(B948&amp;"" ""&amp;C948,""[^а-яa-z0-9 ]"","" ""))"),"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f>
        <v xml:space="preserve">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v>
      </c>
      <c r="G948" s="4" t="str">
        <f ca="1">IFERROR(__xludf.DUMMYFUNCTION("TEXTJOIN(""|"",TRUE,UNIQUE(FILTER(SPLIT(F948,"" ""),LEN(SPLIT(F948,"" ""))&gt;2)))"),"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f>
        <v>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v>
      </c>
      <c r="I948" s="1"/>
      <c r="J948" s="1"/>
    </row>
    <row r="949" spans="1:10" x14ac:dyDescent="0.2">
      <c r="A949" s="8" t="s">
        <v>812</v>
      </c>
      <c r="B949" s="7" t="s">
        <v>811</v>
      </c>
      <c r="C949" s="7" t="s">
        <v>810</v>
      </c>
      <c r="D949" s="6">
        <v>13287</v>
      </c>
      <c r="E949" s="5">
        <v>1</v>
      </c>
      <c r="F949" s="4" t="str">
        <f ca="1">IFERROR(__xludf.DUMMYFUNCTION("LOWER(REGEXREPLACE(B949&amp;"" ""&amp;C949,""[^а-яa-z0-9 ]"","" ""))")," айник  айник электрический")</f>
        <v xml:space="preserve"> айник  айник электрический</v>
      </c>
      <c r="G949" s="4" t="str">
        <f ca="1">IFERROR(__xludf.DUMMYFUNCTION("TEXTJOIN(""|"",TRUE,UNIQUE(FILTER(SPLIT(F949,"" ""),LEN(SPLIT(F949,"" ""))&gt;2)))"),"айник|айник|электрический")</f>
        <v>айник|айник|электрический</v>
      </c>
      <c r="I949" s="1"/>
      <c r="J949" s="1"/>
    </row>
    <row r="950" spans="1:10" x14ac:dyDescent="0.2">
      <c r="A950" s="8" t="s">
        <v>809</v>
      </c>
      <c r="B950" s="7" t="s">
        <v>808</v>
      </c>
      <c r="C950" s="7" t="s">
        <v>807</v>
      </c>
      <c r="D950" s="6">
        <v>13000</v>
      </c>
      <c r="E950" s="5">
        <v>1</v>
      </c>
      <c r="F950" s="4" t="str">
        <f ca="1">IFERROR(__xludf.DUMMYFUNCTION("LOWER(REGEXREPLACE(B950&amp;"" ""&amp;C950,""[^а-яa-z0-9 ]"","" ""))"),"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f>
        <v xml:space="preserve">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v>
      </c>
      <c r="G950" s="4" t="str">
        <f ca="1">IFERROR(__xludf.DUMMYFUNCTION("TEXTJOIN(""|"",TRUE,UNIQUE(FILTER(SPLIT(F950,"" ""),LEN(SPLIT(F950,"" ""))&gt;2)))"),"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f>
        <v>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v>
      </c>
      <c r="I950" s="1"/>
      <c r="J950" s="1"/>
    </row>
    <row r="951" spans="1:10" x14ac:dyDescent="0.2">
      <c r="A951" s="8" t="s">
        <v>806</v>
      </c>
      <c r="B951" s="7" t="s">
        <v>805</v>
      </c>
      <c r="C951" s="7" t="s">
        <v>763</v>
      </c>
      <c r="D951" s="6">
        <v>16000</v>
      </c>
      <c r="E951" s="5">
        <v>1</v>
      </c>
      <c r="F951" s="4" t="str">
        <f ca="1">IFERROR(__xludf.DUMMYFUNCTION("LOWER(REGEXREPLACE(B951&amp;"" ""&amp;C951,""[^а-яa-z0-9 ]"","" ""))")," окан   утеводная звезда востока  ужикова   ")</f>
        <v xml:space="preserve"> окан   утеводная звезда востока  ужикова   </v>
      </c>
      <c r="G951" s="4" t="str">
        <f ca="1">IFERROR(__xludf.DUMMYFUNCTION("TEXTJOIN(""|"",TRUE,UNIQUE(FILTER(SPLIT(F951,"" ""),LEN(SPLIT(F951,"" ""))&gt;2)))"),"окан|утеводная|звезда|востока|ужикова")</f>
        <v>окан|утеводная|звезда|востока|ужикова</v>
      </c>
      <c r="I951" s="1"/>
      <c r="J951" s="1"/>
    </row>
    <row r="952" spans="1:10" x14ac:dyDescent="0.2">
      <c r="A952" s="8" t="s">
        <v>804</v>
      </c>
      <c r="B952" s="7" t="s">
        <v>803</v>
      </c>
      <c r="C952" s="7" t="s">
        <v>802</v>
      </c>
      <c r="D952" s="6">
        <v>7200</v>
      </c>
      <c r="E952" s="5">
        <v>1</v>
      </c>
      <c r="F952" s="4" t="str">
        <f ca="1">IFERROR(__xludf.DUMMYFUNCTION("LOWER(REGEXREPLACE(B952&amp;"" ""&amp;C952,""[^а-яa-z0-9 ]"","" ""))")," удесное путешествие   рестоматия для 2 4 классов без автора")</f>
        <v xml:space="preserve"> удесное путешествие   рестоматия для 2 4 классов без автора</v>
      </c>
      <c r="G952" s="4" t="str">
        <f ca="1">IFERROR(__xludf.DUMMYFUNCTION("TEXTJOIN(""|"",TRUE,UNIQUE(FILTER(SPLIT(F952,"" ""),LEN(SPLIT(F952,"" ""))&gt;2)))"),"удесное|путешествие|рестоматия|для|классов|без|автора")</f>
        <v>удесное|путешествие|рестоматия|для|классов|без|автора</v>
      </c>
      <c r="I952" s="1"/>
      <c r="J952" s="1"/>
    </row>
    <row r="953" spans="1:10" x14ac:dyDescent="0.2">
      <c r="A953" s="8" t="s">
        <v>801</v>
      </c>
      <c r="B953" s="7" t="s">
        <v>800</v>
      </c>
      <c r="C953" s="7" t="s">
        <v>799</v>
      </c>
      <c r="D953" s="6">
        <v>14400</v>
      </c>
      <c r="E953" s="5">
        <v>5</v>
      </c>
      <c r="F953" s="4" t="str">
        <f ca="1">IFERROR(__xludf.DUMMYFUNCTION("LOWER(REGEXREPLACE(B953&amp;"" ""&amp;C953,""[^а-яa-z0-9 ]"","" ""))"),"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безоп"&amp;"асны для детей ")</f>
        <v xml:space="preserve">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v>
      </c>
      <c r="G953" s="4" t="str">
        <f ca="1">IFERROR(__xludf.DUMMYFUNCTION("TEXTJOIN(""|"",TRUE,UNIQUE(FILTER(SPLIT(F953,"" ""),LEN(SPLIT(F953,"" ""))&gt;2)))"),"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f>
        <v>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v>
      </c>
      <c r="I953" s="1"/>
      <c r="J953" s="1"/>
    </row>
    <row r="954" spans="1:10" x14ac:dyDescent="0.2">
      <c r="A954" s="8" t="s">
        <v>798</v>
      </c>
      <c r="B954" s="7" t="s">
        <v>797</v>
      </c>
      <c r="C954" s="7" t="s">
        <v>796</v>
      </c>
      <c r="D954" s="6">
        <v>6800</v>
      </c>
      <c r="E954" s="5">
        <v>1</v>
      </c>
      <c r="F954" s="4" t="str">
        <f ca="1">IFERROR(__xludf.DUMMYFUNCTION("LOWER(REGEXREPLACE(B954&amp;"" ""&amp;C954,""[^а-яa-z0-9 ]"","" ""))"),"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f>
        <v xml:space="preserve">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v>
      </c>
      <c r="G954" s="4" t="str">
        <f ca="1">IFERROR(__xludf.DUMMYFUNCTION("TEXTJOIN(""|"",TRUE,UNIQUE(FILTER(SPLIT(F954,"" ""),LEN(SPLIT(F954,"" ""))&gt;2)))"),"арики|ластиковые|шарики|предназначены|для|использования|сухом|бассейне|сенсорных|подвижных|играх|оличество|наборе|100|вета|разноцветные|атериал|гкий|пластик")</f>
        <v>арики|ластиковые|шарики|предназначены|для|использования|сухом|бассейне|сенсорных|подвижных|играх|оличество|наборе|100|вета|разноцветные|атериал|гкий|пластик</v>
      </c>
      <c r="I954" s="1"/>
      <c r="J954" s="1"/>
    </row>
    <row r="955" spans="1:10" x14ac:dyDescent="0.2">
      <c r="A955" s="8" t="s">
        <v>795</v>
      </c>
      <c r="B955" s="7" t="s">
        <v>794</v>
      </c>
      <c r="C955" s="7" t="s">
        <v>793</v>
      </c>
      <c r="D955" s="6">
        <v>8600</v>
      </c>
      <c r="E955" s="5">
        <v>7</v>
      </c>
      <c r="F955" s="4" t="str">
        <f ca="1">IFERROR(__xludf.DUMMYFUNCTION("LOWER(REGEXREPLACE(B955&amp;"" ""&amp;C955,""[^а-яa-z0-9 ]"","" ""))"),"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помещ"&amp;"ениях ")</f>
        <v xml:space="preserve">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v>
      </c>
      <c r="G955" s="4" t="str">
        <f ca="1">IFERROR(__xludf.DUMMYFUNCTION("TEXTJOIN(""|"",TRUE,UNIQUE(FILTER(SPLIT(F955,"" ""),LEN(SPLIT(F955,"" ""))&gt;2)))"),"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f>
        <v>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v>
      </c>
      <c r="I955" s="1"/>
      <c r="J955" s="1"/>
    </row>
    <row r="956" spans="1:10" x14ac:dyDescent="0.2">
      <c r="A956" s="8" t="s">
        <v>792</v>
      </c>
      <c r="B956" s="7" t="s">
        <v>791</v>
      </c>
      <c r="C956" s="7" t="s">
        <v>790</v>
      </c>
      <c r="D956" s="6">
        <v>285000</v>
      </c>
      <c r="E956" s="5">
        <v>1</v>
      </c>
      <c r="F956" s="4" t="str">
        <f ca="1">IFERROR(__xludf.DUMMYFUNCTION("LOWER(REGEXREPLACE(B956&amp;"" ""&amp;C956,""[^а-яa-z0-9 ]"","" ""))"),"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f>
        <v xml:space="preserve">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v>
      </c>
      <c r="G956" s="4" t="str">
        <f ca="1">IFERROR(__xludf.DUMMYFUNCTION("TEXTJOIN(""|"",TRUE,UNIQUE(FILTER(SPLIT(F956,"" ""),LEN(SPLIT(F956,"" ""))&gt;2)))"),"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f>
        <v>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v>
      </c>
      <c r="I956" s="1"/>
      <c r="J956" s="1"/>
    </row>
    <row r="957" spans="1:10" x14ac:dyDescent="0.2">
      <c r="A957" s="8" t="s">
        <v>789</v>
      </c>
      <c r="B957" s="7" t="s">
        <v>788</v>
      </c>
      <c r="C957" s="7" t="s">
        <v>787</v>
      </c>
      <c r="D957" s="6">
        <v>24700</v>
      </c>
      <c r="E957" s="5">
        <v>14</v>
      </c>
      <c r="F957" s="4" t="str">
        <f ca="1">IFERROR(__xludf.DUMMYFUNCTION("LOWER(REGEXREPLACE(B957&amp;"" ""&amp;C957,""[^а-яa-z0-9 ]"","" ""))"),"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f>
        <v xml:space="preserve">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v>
      </c>
      <c r="G957" s="4" t="str">
        <f ca="1">IFERROR(__xludf.DUMMYFUNCTION("TEXTJOIN(""|"",TRUE,UNIQUE(FILTER(SPLIT(F957,"" ""),LEN(SPLIT(F957,"" ""))&gt;2)))"),"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f>
        <v>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v>
      </c>
      <c r="I957" s="1"/>
      <c r="J957" s="1"/>
    </row>
    <row r="958" spans="1:10" x14ac:dyDescent="0.2">
      <c r="A958" s="8" t="s">
        <v>786</v>
      </c>
      <c r="B958" s="7" t="s">
        <v>785</v>
      </c>
      <c r="C958" s="7" t="s">
        <v>784</v>
      </c>
      <c r="D958" s="6">
        <v>13700</v>
      </c>
      <c r="E958" s="5">
        <v>5</v>
      </c>
      <c r="F958" s="4" t="str">
        <f ca="1">IFERROR(__xludf.DUMMYFUNCTION("LOWER(REGEXREPLACE(B958&amp;"" ""&amp;C958,""[^а-яa-z0-9 ]"","" ""))"),"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f>
        <v xml:space="preserve">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v>
      </c>
      <c r="G958" s="4" t="str">
        <f ca="1">IFERROR(__xludf.DUMMYFUNCTION("TEXTJOIN(""|"",TRUE,UNIQUE(FILTER(SPLIT(F958,"" ""),LEN(SPLIT(F958,"" ""))&gt;2)))"),"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f>
        <v>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v>
      </c>
      <c r="I958" s="1"/>
      <c r="J958" s="1"/>
    </row>
    <row r="959" spans="1:10" x14ac:dyDescent="0.2">
      <c r="A959" s="8" t="s">
        <v>783</v>
      </c>
      <c r="B959" s="7" t="s">
        <v>782</v>
      </c>
      <c r="C959" s="7" t="s">
        <v>781</v>
      </c>
      <c r="D959" s="6">
        <v>25400</v>
      </c>
      <c r="E959" s="5">
        <v>10</v>
      </c>
      <c r="F959" s="4" t="str">
        <f ca="1">IFERROR(__xludf.DUMMYFUNCTION("LOWER(REGEXREPLACE(B959&amp;"" ""&amp;C959,""[^а-яa-z0-9 ]"","" ""))"),"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раз"&amp;"ыгрывание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f>
        <v xml:space="preserve">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v>
      </c>
      <c r="G959" s="4" t="str">
        <f ca="1">IFERROR(__xludf.DUMMYFUNCTION("TEXTJOIN(""|"",TRUE,UNIQUE(FILTER(SPLIT(F959,"" ""),LEN(SPLIT(F959,"" ""))&gt;2)))"),"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amp;"алогов|что|способствует|развитию|воображения|связной|речи|ысота|ширмы|составляет|менее|ширина|менее|азмер|окна|менее|атериал|фанера|толщиной|менее")</f>
        <v>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v>
      </c>
      <c r="I959" s="1"/>
      <c r="J959" s="1"/>
    </row>
    <row r="960" spans="1:10" x14ac:dyDescent="0.2">
      <c r="A960" s="8" t="s">
        <v>780</v>
      </c>
      <c r="B960" s="7" t="s">
        <v>779</v>
      </c>
      <c r="C960" s="7" t="s">
        <v>778</v>
      </c>
      <c r="D960" s="6">
        <v>52300</v>
      </c>
      <c r="E960" s="5">
        <v>7</v>
      </c>
      <c r="F960" s="4" t="str">
        <f ca="1">IFERROR(__xludf.DUMMYFUNCTION("LOWER(REGEXREPLACE(B960&amp;"" ""&amp;C960,""[^а-яa-z0-9 ]"","" ""))"),"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f>
        <v xml:space="preserve">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v>
      </c>
      <c r="G960" s="4" t="str">
        <f ca="1">IFERROR(__xludf.DUMMYFUNCTION("TEXTJOIN(""|"",TRUE,UNIQUE(FILTER(SPLIT(F960,"" ""),LEN(SPLIT(F960,"" ""))&gt;2)))"),"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f>
        <v>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v>
      </c>
      <c r="I960" s="1"/>
      <c r="J960" s="1"/>
    </row>
    <row r="961" spans="1:10" x14ac:dyDescent="0.2">
      <c r="A961" s="8" t="s">
        <v>777</v>
      </c>
      <c r="B961" s="7" t="s">
        <v>776</v>
      </c>
      <c r="C961" s="7" t="s">
        <v>775</v>
      </c>
      <c r="D961" s="6">
        <v>19000</v>
      </c>
      <c r="E961" s="5">
        <v>21</v>
      </c>
      <c r="F961" s="4" t="str">
        <f ca="1">IFERROR(__xludf.DUMMYFUNCTION("LOWER(REGEXREPLACE(B961&amp;"" ""&amp;C961,""[^а-яa-z0-9 ]"","" ""))"),"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ма"&amp;"териала ")</f>
        <v xml:space="preserve">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v>
      </c>
      <c r="G961" s="4" t="str">
        <f ca="1">IFERROR(__xludf.DUMMYFUNCTION("TEXTJOIN(""|"",TRUE,UNIQUE(FILTER(SPLIT(F961,"" ""),LEN(SPLIT(F961,"" ""))&gt;2)))"),"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f>
        <v>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v>
      </c>
      <c r="I961" s="1"/>
      <c r="J961" s="1"/>
    </row>
    <row r="962" spans="1:10" x14ac:dyDescent="0.2">
      <c r="A962" s="8" t="s">
        <v>774</v>
      </c>
      <c r="B962" s="7" t="s">
        <v>773</v>
      </c>
      <c r="C962" s="7" t="s">
        <v>772</v>
      </c>
      <c r="D962" s="6">
        <v>6700</v>
      </c>
      <c r="E962" s="5">
        <v>7</v>
      </c>
      <c r="F962" s="4" t="str">
        <f ca="1">IFERROR(__xludf.DUMMYFUNCTION("LOWER(REGEXREPLACE(B962&amp;"" ""&amp;C962,""[^а-яa-z0-9 ]"","" ""))"),"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подход"&amp;"ят для использования под контролем взрослого ")</f>
        <v xml:space="preserve">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v>
      </c>
      <c r="G962" s="4" t="str">
        <f ca="1">IFERROR(__xludf.DUMMYFUNCTION("TEXTJOIN(""|"",TRUE,UNIQUE(FILTER(SPLIT(F962,"" ""),LEN(SPLIT(F962,"" ""))&gt;2)))"),"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amp;"контролем|взрослого")</f>
        <v>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v>
      </c>
      <c r="I962" s="1"/>
      <c r="J962" s="1"/>
    </row>
    <row r="963" spans="1:10" x14ac:dyDescent="0.2">
      <c r="A963" s="8" t="s">
        <v>771</v>
      </c>
      <c r="B963" s="7" t="s">
        <v>770</v>
      </c>
      <c r="C963" s="7" t="s">
        <v>769</v>
      </c>
      <c r="D963" s="6">
        <v>8600</v>
      </c>
      <c r="E963" s="5">
        <v>7</v>
      </c>
      <c r="F963" s="4" t="str">
        <f ca="1">IFERROR(__xludf.DUMMYFUNCTION("LOWER(REGEXREPLACE(B963&amp;"" ""&amp;C963,""[^а-яa-z0-9 ]"","" ""))"),"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нан"&amp;"изывания   атериал   дерево ")</f>
        <v xml:space="preserve">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v>
      </c>
      <c r="G963" s="4" t="str">
        <f ca="1">IFERROR(__xludf.DUMMYFUNCTION("TEXTJOIN(""|"",TRUE,UNIQUE(FILTER(SPLIT(F963,"" ""),LEN(SPLIT(F963,"" ""))&gt;2)))"),"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amp;"риал|дерево")</f>
        <v>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v>
      </c>
      <c r="I963" s="1"/>
      <c r="J963" s="1"/>
    </row>
    <row r="964" spans="1:10" x14ac:dyDescent="0.2">
      <c r="A964" s="8" t="s">
        <v>768</v>
      </c>
      <c r="B964" s="7" t="s">
        <v>767</v>
      </c>
      <c r="C964" s="7" t="s">
        <v>766</v>
      </c>
      <c r="D964" s="6">
        <v>4800</v>
      </c>
      <c r="E964" s="5">
        <v>1</v>
      </c>
      <c r="F964" s="4" t="str">
        <f ca="1">IFERROR(__xludf.DUMMYFUNCTION("LOWER(REGEXREPLACE(B964&amp;"" ""&amp;C964,""[^а-яa-z0-9 ]"","" ""))")," о ан   лиханов   географ ж не саяхатшы   рмагамбетов   ")</f>
        <v xml:space="preserve"> о ан   лиханов   географ ж не саяхатшы   рмагамбетов   </v>
      </c>
      <c r="G964" s="4" t="str">
        <f ca="1">IFERROR(__xludf.DUMMYFUNCTION("TEXTJOIN(""|"",TRUE,UNIQUE(FILTER(SPLIT(F964,"" ""),LEN(SPLIT(F964,"" ""))&gt;2)))"),"лиханов|географ|саяхатшы|рмагамбетов")</f>
        <v>лиханов|географ|саяхатшы|рмагамбетов</v>
      </c>
      <c r="I964" s="1"/>
      <c r="J964" s="1"/>
    </row>
    <row r="965" spans="1:10" x14ac:dyDescent="0.2">
      <c r="A965" s="8" t="s">
        <v>765</v>
      </c>
      <c r="B965" s="7" t="s">
        <v>764</v>
      </c>
      <c r="C965" s="7" t="s">
        <v>763</v>
      </c>
      <c r="D965" s="6">
        <v>16000</v>
      </c>
      <c r="E965" s="5">
        <v>1</v>
      </c>
      <c r="F965" s="4" t="str">
        <f ca="1">IFERROR(__xludf.DUMMYFUNCTION("LOWER(REGEXREPLACE(B965&amp;"" ""&amp;C965,""[^а-яa-z0-9 ]"","" ""))")," о ан   ы ысты  жары  ж лдызы  ужикова   ")</f>
        <v xml:space="preserve"> о ан   ы ысты  жары  ж лдызы  ужикова   </v>
      </c>
      <c r="G965" s="4" t="str">
        <f ca="1">IFERROR(__xludf.DUMMYFUNCTION("TEXTJOIN(""|"",TRUE,UNIQUE(FILTER(SPLIT(F965,"" ""),LEN(SPLIT(F965,"" ""))&gt;2)))"),"ысты|жары|лдызы|ужикова")</f>
        <v>ысты|жары|лдызы|ужикова</v>
      </c>
      <c r="I965" s="1"/>
      <c r="J965" s="1"/>
    </row>
    <row r="966" spans="1:10" x14ac:dyDescent="0.2">
      <c r="A966" s="8" t="s">
        <v>762</v>
      </c>
      <c r="B966" s="7" t="s">
        <v>761</v>
      </c>
      <c r="C966" s="7" t="s">
        <v>760</v>
      </c>
      <c r="D966" s="6">
        <v>2700</v>
      </c>
      <c r="E966" s="5">
        <v>5</v>
      </c>
      <c r="F966" s="4" t="str">
        <f ca="1">IFERROR(__xludf.DUMMYFUNCTION("LOWER(REGEXREPLACE(B966&amp;"" ""&amp;C966,""[^а-яa-z0-9 ]"","" ""))"),"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длитель"&amp;"ной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f>
        <v xml:space="preserve">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v>
      </c>
      <c r="G966" s="4" t="str">
        <f ca="1">IFERROR(__xludf.DUMMYFUNCTION("TEXTJOIN(""|"",TRUE,UNIQUE(FILTER(SPLIT(F966,"" ""),LEN(SPLIT(F966,"" ""))&gt;2)))"),"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amp;"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f>
        <v>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v>
      </c>
      <c r="I966" s="1"/>
      <c r="J966" s="1"/>
    </row>
    <row r="967" spans="1:10" x14ac:dyDescent="0.2">
      <c r="A967" s="8" t="s">
        <v>759</v>
      </c>
      <c r="B967" s="7" t="s">
        <v>758</v>
      </c>
      <c r="C967" s="7" t="s">
        <v>757</v>
      </c>
      <c r="D967" s="6">
        <v>8000</v>
      </c>
      <c r="E967" s="5">
        <v>1</v>
      </c>
      <c r="F967" s="4" t="str">
        <f ca="1">IFERROR(__xludf.DUMMYFUNCTION("LOWER(REGEXREPLACE(B967&amp;"" ""&amp;C967,""[^а-яa-z0-9 ]"","" ""))")," уакты кундер     омыш лы туралы   хметова   ")</f>
        <v xml:space="preserve"> уакты кундер     омыш лы туралы   хметова   </v>
      </c>
      <c r="G967" s="4" t="str">
        <f ca="1">IFERROR(__xludf.DUMMYFUNCTION("TEXTJOIN(""|"",TRUE,UNIQUE(FILTER(SPLIT(F967,"" ""),LEN(SPLIT(F967,"" ""))&gt;2)))"),"уакты|кундер|омыш|туралы|хметова")</f>
        <v>уакты|кундер|омыш|туралы|хметова</v>
      </c>
      <c r="I967" s="1"/>
      <c r="J967" s="1"/>
    </row>
    <row r="968" spans="1:10" x14ac:dyDescent="0.2">
      <c r="A968" s="8" t="s">
        <v>756</v>
      </c>
      <c r="B968" s="7" t="s">
        <v>755</v>
      </c>
      <c r="C968" s="7" t="s">
        <v>754</v>
      </c>
      <c r="D968" s="6">
        <v>13400</v>
      </c>
      <c r="E968" s="5">
        <v>1</v>
      </c>
      <c r="F968" s="4" t="str">
        <f ca="1">IFERROR(__xludf.DUMMYFUNCTION("LOWER(REGEXREPLACE(B968&amp;"" ""&amp;C968,""[^а-яa-z0-9 ]"","" ""))")," бырай   аланы  таза б лагы  спанов      телбаева        лтынсарин туралы ")</f>
        <v xml:space="preserve"> бырай   аланы  таза б лагы  спанов      телбаева        лтынсарин туралы </v>
      </c>
      <c r="G968" s="4" t="str">
        <f ca="1">IFERROR(__xludf.DUMMYFUNCTION("TEXTJOIN(""|"",TRUE,UNIQUE(FILTER(SPLIT(F968,"" ""),LEN(SPLIT(F968,"" ""))&gt;2)))"),"бырай|аланы|таза|лагы|спанов|телбаева|лтынсарин|туралы")</f>
        <v>бырай|аланы|таза|лагы|спанов|телбаева|лтынсарин|туралы</v>
      </c>
      <c r="I968" s="1"/>
      <c r="J968" s="1"/>
    </row>
    <row r="969" spans="1:10" x14ac:dyDescent="0.2">
      <c r="A969" s="8" t="s">
        <v>753</v>
      </c>
      <c r="B969" s="7" t="s">
        <v>752</v>
      </c>
      <c r="C969" s="7" t="s">
        <v>751</v>
      </c>
      <c r="D969" s="6">
        <v>13400</v>
      </c>
      <c r="E969" s="5">
        <v>1</v>
      </c>
      <c r="F969" s="4" t="str">
        <f ca="1">IFERROR(__xludf.DUMMYFUNCTION("LOWER(REGEXREPLACE(B969&amp;"" ""&amp;C969,""[^а-яa-z0-9 ]"","" ""))")," бырай   истый родник степи  спанов      тельбаева   ")</f>
        <v xml:space="preserve"> бырай   истый родник степи  спанов      тельбаева   </v>
      </c>
      <c r="G969" s="4" t="str">
        <f ca="1">IFERROR(__xludf.DUMMYFUNCTION("TEXTJOIN(""|"",TRUE,UNIQUE(FILTER(SPLIT(F969,"" ""),LEN(SPLIT(F969,"" ""))&gt;2)))"),"бырай|истый|родник|степи|спанов|тельбаева")</f>
        <v>бырай|истый|родник|степи|спанов|тельбаева</v>
      </c>
      <c r="I969" s="1"/>
      <c r="J969" s="1"/>
    </row>
    <row r="970" spans="1:10" x14ac:dyDescent="0.2">
      <c r="A970" s="8" t="s">
        <v>750</v>
      </c>
      <c r="B970" s="7" t="s">
        <v>749</v>
      </c>
      <c r="C970" s="7" t="s">
        <v>748</v>
      </c>
      <c r="D970" s="6">
        <v>64600</v>
      </c>
      <c r="E970" s="5">
        <v>21</v>
      </c>
      <c r="F970" s="4" t="str">
        <f ca="1">IFERROR(__xludf.DUMMYFUNCTION("LOWER(REGEXREPLACE(B970&amp;"" ""&amp;C970,""[^а-яa-z0-9 ]"","" ""))"),"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"&amp;"темпе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f>
        <v xml:space="preserve">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v>
      </c>
      <c r="G970" s="4" t="str">
        <f ca="1">IFERROR(__xludf.DUMMYFUNCTION("TEXTJOIN(""|"",TRUE,UNIQUE(FILTER(SPLIT(F970,"" ""),LEN(SPLIT(F970,"" ""))&gt;2)))"),"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amp;"ивает|внимание|память|скорость|реакции|редусмотрено|менее|режимов|игры|грушка|оснащена|световыми|звуковыми|эффектами")</f>
        <v>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v>
      </c>
      <c r="I970" s="1"/>
      <c r="J970" s="1"/>
    </row>
    <row r="971" spans="1:10" x14ac:dyDescent="0.2">
      <c r="A971" s="8" t="s">
        <v>747</v>
      </c>
      <c r="B971" s="7" t="s">
        <v>746</v>
      </c>
      <c r="C971" s="7" t="s">
        <v>745</v>
      </c>
      <c r="D971" s="6">
        <v>12400</v>
      </c>
      <c r="E971" s="5">
        <v>1</v>
      </c>
      <c r="F971" s="4" t="str">
        <f ca="1">IFERROR(__xludf.DUMMYFUNCTION("LOWER(REGEXREPLACE(B971&amp;"" ""&amp;C971,""[^а-яa-z0-9 ]"","" ""))"),"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ко"&amp;"ммуникативных навыков ")</f>
        <v xml:space="preserve">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v>
      </c>
      <c r="G971" s="4" t="str">
        <f ca="1">IFERROR(__xludf.DUMMYFUNCTION("TEXTJOIN(""|"",TRUE,UNIQUE(FILTER(SPLIT(F971,"" ""),LEN(SPLIT(F971,"" ""))&gt;2)))"),"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amp;"выков")</f>
        <v>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v>
      </c>
      <c r="I971" s="1"/>
      <c r="J971" s="1"/>
    </row>
    <row r="972" spans="1:10" x14ac:dyDescent="0.2">
      <c r="A972" s="8" t="s">
        <v>744</v>
      </c>
      <c r="B972" s="7" t="s">
        <v>743</v>
      </c>
      <c r="C972" s="7" t="s">
        <v>742</v>
      </c>
      <c r="D972" s="6">
        <v>4800</v>
      </c>
      <c r="E972" s="5">
        <v>1</v>
      </c>
      <c r="F972" s="4" t="str">
        <f ca="1">IFERROR(__xludf.DUMMYFUNCTION("LOWER(REGEXREPLACE(B972&amp;"" ""&amp;C972,""[^а-яa-z0-9 ]"","" ""))"),"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работы"&amp;" ")</f>
        <v xml:space="preserve">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v>
      </c>
      <c r="G972" s="4" t="str">
        <f ca="1">IFERROR(__xludf.DUMMYFUNCTION("TEXTJOIN(""|"",TRUE,UNIQUE(FILTER(SPLIT(F972,"" ""),LEN(SPLIT(F972,"" ""))&gt;2)))"),"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f>
        <v>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v>
      </c>
      <c r="I972" s="1"/>
      <c r="J972" s="1"/>
    </row>
    <row r="973" spans="1:10" x14ac:dyDescent="0.2">
      <c r="A973" s="8" t="s">
        <v>741</v>
      </c>
      <c r="B973" s="7" t="s">
        <v>740</v>
      </c>
      <c r="C973" s="7" t="s">
        <v>739</v>
      </c>
      <c r="D973" s="6">
        <v>12700</v>
      </c>
      <c r="E973" s="5">
        <v>12</v>
      </c>
      <c r="F973" s="4" t="str">
        <f ca="1">IFERROR(__xludf.DUMMYFUNCTION("LOWER(REGEXREPLACE(B973&amp;"" ""&amp;C973,""[^а-яa-z0-9 ]"","" ""))"),"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f>
        <v xml:space="preserve">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v>
      </c>
      <c r="G973" s="4" t="str">
        <f ca="1">IFERROR(__xludf.DUMMYFUNCTION("TEXTJOIN(""|"",TRUE,UNIQUE(FILTER(SPLIT(F973,"" ""),LEN(SPLIT(F973,"" ""))&gt;2)))"),"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f>
        <v>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v>
      </c>
      <c r="I973" s="1"/>
      <c r="J973" s="1"/>
    </row>
    <row r="974" spans="1:10" x14ac:dyDescent="0.2">
      <c r="A974" s="8" t="s">
        <v>738</v>
      </c>
      <c r="B974" s="7" t="s">
        <v>737</v>
      </c>
      <c r="C974" s="7" t="s">
        <v>736</v>
      </c>
      <c r="D974" s="6">
        <v>6700</v>
      </c>
      <c r="E974" s="5">
        <v>25</v>
      </c>
      <c r="F974" s="4" t="str">
        <f ca="1">IFERROR(__xludf.DUMMYFUNCTION("LOWER(REGEXREPLACE(B974&amp;"" ""&amp;C974,""[^а-яa-z0-9 ]"","" ""))"),"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эста"&amp;"фет и командных игр в спортивном зале и на улице ")</f>
        <v xml:space="preserve">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v>
      </c>
      <c r="G974" s="4" t="str">
        <f ca="1">IFERROR(__xludf.DUMMYFUNCTION("TEXTJOIN(""|"",TRUE,UNIQUE(FILTER(SPLIT(F974,"" ""),LEN(SPLIT(F974,"" ""))&gt;2)))"),"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amp;"е|улице")</f>
        <v>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v>
      </c>
      <c r="I974" s="1"/>
      <c r="J974" s="1"/>
    </row>
    <row r="975" spans="1:10" x14ac:dyDescent="0.2">
      <c r="A975" s="8" t="s">
        <v>735</v>
      </c>
      <c r="B975" s="7" t="s">
        <v>734</v>
      </c>
      <c r="C975" s="7" t="s">
        <v>733</v>
      </c>
      <c r="D975" s="6">
        <v>7000</v>
      </c>
      <c r="E975" s="5">
        <v>1</v>
      </c>
      <c r="F975" s="4" t="str">
        <f ca="1">IFERROR(__xludf.DUMMYFUNCTION("LOWER(REGEXREPLACE(B975&amp;"" ""&amp;C975,""[^а-яa-z0-9 ]"","" ""))")," stana   the heart of our  otherland  уреханова   ")</f>
        <v xml:space="preserve"> stana   the heart of our  otherland  уреханова   </v>
      </c>
      <c r="G975" s="4" t="str">
        <f ca="1">IFERROR(__xludf.DUMMYFUNCTION("TEXTJOIN(""|"",TRUE,UNIQUE(FILTER(SPLIT(F975,"" ""),LEN(SPLIT(F975,"" ""))&gt;2)))"),"stana|the|heart|our|otherland|уреханова")</f>
        <v>stana|the|heart|our|otherland|уреханова</v>
      </c>
      <c r="I975" s="1"/>
      <c r="J975" s="1"/>
    </row>
    <row r="976" spans="1:10" x14ac:dyDescent="0.2">
      <c r="A976" s="8" t="s">
        <v>732</v>
      </c>
      <c r="B976" s="7" t="s">
        <v>731</v>
      </c>
      <c r="C976" s="7" t="s">
        <v>730</v>
      </c>
      <c r="D976" s="6">
        <v>22100</v>
      </c>
      <c r="E976" s="5">
        <v>2</v>
      </c>
      <c r="F976" s="4" t="str">
        <f ca="1">IFERROR(__xludf.DUMMYFUNCTION("LOWER(REGEXREPLACE(B976&amp;"" ""&amp;C976,""[^а-яa-z0-9 ]"","" ""))"),"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оформ"&amp;"ленное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проис"&amp;"хождения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собо"&amp;"й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"&amp;"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f>
        <v xml:space="preserve">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v>
      </c>
      <c r="G976" s="4" t="str">
        <f ca="1">IFERROR(__xludf.DUMMYFUNCTION("TEXTJOIN(""|"",TRUE,UNIQUE(FILTER(SPLIT(F976,"" ""),LEN(SPLIT(F976,"" ""))&gt;2)))"),"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amp;"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amp;"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amp;"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amp;"ермоусадочной|пленке|пособия|превышает")</f>
        <v>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v>
      </c>
      <c r="I976" s="1"/>
      <c r="J976" s="1"/>
    </row>
    <row r="977" spans="1:10" x14ac:dyDescent="0.2">
      <c r="A977" s="8" t="s">
        <v>729</v>
      </c>
      <c r="B977" s="7" t="s">
        <v>728</v>
      </c>
      <c r="C977" s="7" t="s">
        <v>725</v>
      </c>
      <c r="D977" s="6">
        <v>91000</v>
      </c>
      <c r="E977" s="5">
        <v>1</v>
      </c>
      <c r="F977" s="4" t="str">
        <f ca="1">IFERROR(__xludf.DUMMYFUNCTION("LOWER(REGEXREPLACE(B977&amp;"" ""&amp;C977,""[^а-яa-z0-9 ]"","" ""))"),"                                                             анузакова    ")</f>
        <v xml:space="preserve">                                                             анузакова    </v>
      </c>
      <c r="G977" s="4" t="str">
        <f ca="1">IFERROR(__xludf.DUMMYFUNCTION("TEXTJOIN(""|"",TRUE,UNIQUE(FILTER(SPLIT(F977,"" ""),LEN(SPLIT(F977,"" ""))&gt;2)))"),"анузакова")</f>
        <v>анузакова</v>
      </c>
      <c r="I977" s="1"/>
      <c r="J977" s="1"/>
    </row>
    <row r="978" spans="1:10" x14ac:dyDescent="0.2">
      <c r="A978" s="8" t="s">
        <v>727</v>
      </c>
      <c r="B978" s="7" t="s">
        <v>726</v>
      </c>
      <c r="C978" s="7" t="s">
        <v>725</v>
      </c>
      <c r="D978" s="6">
        <v>142500</v>
      </c>
      <c r="E978" s="5">
        <v>1</v>
      </c>
      <c r="F978" s="4" t="str">
        <f ca="1">IFERROR(__xludf.DUMMYFUNCTION("LOWER(REGEXREPLACE(B978&amp;"" ""&amp;C978,""[^а-яa-z0-9 ]"","" ""))"),"                                                                 анузакова    ")</f>
        <v xml:space="preserve">                                                                 анузакова    </v>
      </c>
      <c r="G978" s="4" t="str">
        <f ca="1">IFERROR(__xludf.DUMMYFUNCTION("TEXTJOIN(""|"",TRUE,UNIQUE(FILTER(SPLIT(F978,"" ""),LEN(SPLIT(F978,"" ""))&gt;2)))"),"анузакова")</f>
        <v>анузакова</v>
      </c>
      <c r="I978" s="1"/>
      <c r="J978" s="1"/>
    </row>
    <row r="979" spans="1:10" x14ac:dyDescent="0.2">
      <c r="A979" s="8" t="s">
        <v>724</v>
      </c>
      <c r="B979" s="7" t="s">
        <v>723</v>
      </c>
      <c r="C979" s="7" t="s">
        <v>722</v>
      </c>
      <c r="D979" s="6">
        <v>30700</v>
      </c>
      <c r="E979" s="5">
        <v>1</v>
      </c>
      <c r="F979" s="4" t="str">
        <f ca="1">IFERROR(__xludf.DUMMYFUNCTION("LOWER(REGEXREPLACE(B979&amp;"" ""&amp;C979,""[^а-яa-z0-9 ]"","" ""))")," azakhstan   y  ative  and  юрта      ужикова")</f>
        <v xml:space="preserve"> azakhstan   y  ative  and  юрта      ужикова</v>
      </c>
      <c r="G979" s="4" t="str">
        <f ca="1">IFERROR(__xludf.DUMMYFUNCTION("TEXTJOIN(""|"",TRUE,UNIQUE(FILTER(SPLIT(F979,"" ""),LEN(SPLIT(F979,"" ""))&gt;2)))"),"azakhstan|ative|and|юрта|ужикова")</f>
        <v>azakhstan|ative|and|юрта|ужикова</v>
      </c>
      <c r="I979" s="1"/>
      <c r="J979" s="1"/>
    </row>
    <row r="980" spans="1:10" x14ac:dyDescent="0.2">
      <c r="A980" s="8" t="s">
        <v>721</v>
      </c>
      <c r="B980" s="7" t="s">
        <v>720</v>
      </c>
      <c r="C980" s="7" t="s">
        <v>719</v>
      </c>
      <c r="D980" s="6">
        <v>511200</v>
      </c>
      <c r="E980" s="5">
        <v>15</v>
      </c>
      <c r="F980" s="4" t="str">
        <f ca="1">IFERROR(__xludf.DUMMYFUNCTION("LOWER(REGEXREPLACE(B980&amp;"" ""&amp;C980,""[^а-яa-z0-9 ]"","" ""))"),"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командной"&amp;" работы и базовых инженерных представлений   одходит для индивидуальной и групповой работы ")</f>
        <v xml:space="preserve">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v>
      </c>
      <c r="G980" s="4" t="str">
        <f ca="1">IFERROR(__xludf.DUMMYFUNCTION("TEXTJOIN(""|"",TRUE,UNIQUE(FILTER(SPLIT(F980,"" ""),LEN(SPLIT(F980,"" ""))&gt;2)))"),"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amp;"х|представлений|одходит|для|индивидуальной|групповой|работы")</f>
        <v>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v>
      </c>
      <c r="I980" s="1"/>
      <c r="J980" s="1"/>
    </row>
    <row r="981" spans="1:10" x14ac:dyDescent="0.2">
      <c r="A981" s="8" t="s">
        <v>718</v>
      </c>
      <c r="B981" s="7" t="s">
        <v>717</v>
      </c>
      <c r="C981" s="7" t="s">
        <v>716</v>
      </c>
      <c r="D981" s="6">
        <v>403800</v>
      </c>
      <c r="E981" s="5">
        <v>20</v>
      </c>
      <c r="F981" s="4" t="str">
        <f ca="1">IFERROR(__xludf.DUMMYFUNCTION("LOWER(REGEXREPLACE(B981&amp;"" ""&amp;C981,""[^а-яa-z0-9 ]"","" ""))"),"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с"&amp;"оздается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программ"&amp;"ированию ")</f>
        <v xml:space="preserve">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v>
      </c>
      <c r="G981" s="4" t="str">
        <f ca="1">IFERROR(__xludf.DUMMYFUNCTION("TEXTJOIN(""|"",TRUE,UNIQUE(FILTER(SPLIT(F981,"" ""),LEN(SPLIT(F981,"" ""))&gt;2)))"),"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amp;"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f>
        <v>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v>
      </c>
      <c r="I981" s="1"/>
      <c r="J981" s="1"/>
    </row>
    <row r="982" spans="1:10" x14ac:dyDescent="0.2">
      <c r="A982" s="8" t="s">
        <v>715</v>
      </c>
      <c r="B982" s="7" t="s">
        <v>714</v>
      </c>
      <c r="C982" s="7" t="s">
        <v>713</v>
      </c>
      <c r="D982" s="6">
        <v>27900</v>
      </c>
      <c r="E982" s="5">
        <v>1</v>
      </c>
      <c r="F982" s="4" t="str">
        <f ca="1">IFERROR(__xludf.DUMMYFUNCTION("LOWER(REGEXREPLACE(B982&amp;"" ""&amp;C982,""[^а-яa-z0-9 ]"","" ""))")," hokan  he  odestar of the  ast  ужикова     перевод  санова    ")</f>
        <v xml:space="preserve"> hokan  he  odestar of the  ast  ужикова     перевод  санова    </v>
      </c>
      <c r="G982" s="4" t="str">
        <f ca="1">IFERROR(__xludf.DUMMYFUNCTION("TEXTJOIN(""|"",TRUE,UNIQUE(FILTER(SPLIT(F982,"" ""),LEN(SPLIT(F982,"" ""))&gt;2)))"),"hokan|odestar|the|ast|ужикова|перевод|санова")</f>
        <v>hokan|odestar|the|ast|ужикова|перевод|санова</v>
      </c>
      <c r="I982" s="1"/>
      <c r="J982" s="1"/>
    </row>
    <row r="983" spans="1:10" x14ac:dyDescent="0.2">
      <c r="A983" s="8" t="s">
        <v>712</v>
      </c>
      <c r="B983" s="7" t="s">
        <v>711</v>
      </c>
      <c r="C983" s="7" t="s">
        <v>710</v>
      </c>
      <c r="D983" s="6">
        <v>285000</v>
      </c>
      <c r="E983" s="5">
        <v>10</v>
      </c>
      <c r="F983" s="4" t="str">
        <f ca="1">IFERROR(__xludf.DUMMYFUNCTION("LOWER(REGEXREPLACE(B983&amp;"" ""&amp;C983,""[^а-яa-z0-9 ]"","" ""))"),"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f>
        <v xml:space="preserve">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v>
      </c>
      <c r="G983" s="4" t="str">
        <f ca="1">IFERROR(__xludf.DUMMYFUNCTION("TEXTJOIN(""|"",TRUE,UNIQUE(FILTER(SPLIT(F983,"" ""),LEN(SPLIT(F983,"" ""))&gt;2)))"),"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f>
        <v>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v>
      </c>
      <c r="I983" s="1"/>
      <c r="J983" s="1"/>
    </row>
    <row r="984" spans="1:10" x14ac:dyDescent="0.2">
      <c r="A984" s="8" t="s">
        <v>709</v>
      </c>
      <c r="B984" s="7" t="s">
        <v>708</v>
      </c>
      <c r="C984" s="7" t="s">
        <v>707</v>
      </c>
      <c r="D984" s="6">
        <v>158100</v>
      </c>
      <c r="E984" s="5">
        <v>20</v>
      </c>
      <c r="F984" s="4" t="str">
        <f ca="1">IFERROR(__xludf.DUMMYFUNCTION("LOWER(REGEXREPLACE(B984&amp;"" ""&amp;C984,""[^а-яa-z0-9 ]"","" ""))"),"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использовани"&amp;"и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f>
        <v xml:space="preserve">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v>
      </c>
      <c r="G984" s="4" t="str">
        <f ca="1">IFERROR(__xludf.DUMMYFUNCTION("TEXTJOIN(""|"",TRUE,UNIQUE(FILTER(SPLIT(F984,"" ""),LEN(SPLIT(F984,"" ""))&gt;2)))"),"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amp;"чень|важно|для|сохранения|концентрации|детей|илый|интуитивно|понятный|дизайн|способен|покорить|внимание|каждого|ребенка")</f>
        <v>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v>
      </c>
      <c r="I984" s="1"/>
      <c r="J984" s="1"/>
    </row>
    <row r="985" spans="1:10" x14ac:dyDescent="0.2">
      <c r="A985" s="8" t="s">
        <v>706</v>
      </c>
      <c r="B985" s="7" t="s">
        <v>705</v>
      </c>
      <c r="C985" s="7" t="s">
        <v>704</v>
      </c>
      <c r="D985" s="6">
        <v>2500</v>
      </c>
      <c r="E985" s="5">
        <v>5</v>
      </c>
      <c r="F985" s="4" t="str">
        <f ca="1">IFERROR(__xludf.DUMMYFUNCTION("LOWER(REGEXREPLACE(B985&amp;"" ""&amp;C985,""[^а-яa-z0-9 ]"","" ""))"),"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р"&amp;"именяются при рассматривании и обсуждении ")</f>
        <v xml:space="preserve">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v>
      </c>
      <c r="G985" s="4" t="str">
        <f ca="1">IFERROR(__xludf.DUMMYFUNCTION("TEXTJOIN(""|"",TRUE,UNIQUE(FILTER(SPLIT(F985,"" ""),LEN(SPLIT(F985,"" ""))&gt;2)))"),"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amp;"ии|обсуждении")</f>
        <v>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v>
      </c>
      <c r="I985" s="1"/>
      <c r="J985" s="1"/>
    </row>
    <row r="986" spans="1:10" x14ac:dyDescent="0.2">
      <c r="A986" s="8" t="s">
        <v>703</v>
      </c>
      <c r="B986" s="7" t="s">
        <v>702</v>
      </c>
      <c r="C986" s="7" t="s">
        <v>701</v>
      </c>
      <c r="D986" s="6">
        <v>57000</v>
      </c>
      <c r="E986" s="5">
        <v>20</v>
      </c>
      <c r="F986" s="4" t="str">
        <f ca="1">IFERROR(__xludf.DUMMYFUNCTION("LOWER(REGEXREPLACE(B986&amp;"" ""&amp;C986,""[^а-яa-z0-9 ]"","" ""))"),"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"&amp;"программирования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f>
        <v xml:space="preserve">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v>
      </c>
      <c r="G986" s="4" t="str">
        <f ca="1">IFERROR(__xludf.DUMMYFUNCTION("TEXTJOIN(""|"",TRUE,UNIQUE(FILTER(SPLIT(F986,"" ""),LEN(SPLIT(F986,"" ""))&gt;2)))"),"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amp;"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f>
        <v>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v>
      </c>
      <c r="I986" s="1"/>
      <c r="J986" s="1"/>
    </row>
    <row r="987" spans="1:10" x14ac:dyDescent="0.2">
      <c r="A987" s="8" t="s">
        <v>700</v>
      </c>
      <c r="B987" s="7" t="s">
        <v>699</v>
      </c>
      <c r="C987" s="7" t="s">
        <v>698</v>
      </c>
      <c r="D987" s="6">
        <v>29300</v>
      </c>
      <c r="E987" s="5">
        <v>1</v>
      </c>
      <c r="F987" s="4" t="str">
        <f ca="1">IFERROR(__xludf.DUMMYFUNCTION("LOWER(REGEXREPLACE(B987&amp;"" ""&amp;C987,""[^а-яa-z0-9 ]"","" ""))")," he  reat  bai     ужикова      айрамбаева")</f>
        <v xml:space="preserve"> he  reat  bai     ужикова      айрамбаева</v>
      </c>
      <c r="G987" s="4" t="str">
        <f ca="1">IFERROR(__xludf.DUMMYFUNCTION("TEXTJOIN(""|"",TRUE,UNIQUE(FILTER(SPLIT(F987,"" ""),LEN(SPLIT(F987,"" ""))&gt;2)))"),"reat|bai|ужикова|айрамбаева")</f>
        <v>reat|bai|ужикова|айрамбаева</v>
      </c>
      <c r="I987" s="1"/>
      <c r="J987" s="1"/>
    </row>
    <row r="988" spans="1:10" x14ac:dyDescent="0.2">
      <c r="A988" s="8" t="s">
        <v>697</v>
      </c>
      <c r="B988" s="7" t="s">
        <v>696</v>
      </c>
      <c r="C988" s="7" t="s">
        <v>695</v>
      </c>
      <c r="D988" s="6">
        <v>19900</v>
      </c>
      <c r="E988" s="5">
        <v>1</v>
      </c>
      <c r="F988" s="4" t="str">
        <f ca="1">IFERROR(__xludf.DUMMYFUNCTION("LOWER(REGEXREPLACE(B988&amp;"" ""&amp;C988,""[^а-яa-z0-9 ]"","" ""))")," elcome   auryz      спанова")</f>
        <v xml:space="preserve"> elcome   auryz      спанова</v>
      </c>
      <c r="G988" s="4" t="str">
        <f ca="1">IFERROR(__xludf.DUMMYFUNCTION("TEXTJOIN(""|"",TRUE,UNIQUE(FILTER(SPLIT(F988,"" ""),LEN(SPLIT(F988,"" ""))&gt;2)))"),"elcome|auryz|спанова")</f>
        <v>elcome|auryz|спанова</v>
      </c>
      <c r="I988" s="1"/>
      <c r="J988" s="1"/>
    </row>
    <row r="989" spans="1:10" x14ac:dyDescent="0.2">
      <c r="A989" s="8" t="s">
        <v>694</v>
      </c>
      <c r="B989" s="7" t="s">
        <v>693</v>
      </c>
      <c r="C989" s="7" t="s">
        <v>692</v>
      </c>
      <c r="D989" s="6">
        <v>298300</v>
      </c>
      <c r="E989" s="5">
        <v>4</v>
      </c>
      <c r="F989" s="4" t="str">
        <f ca="1">IFERROR(__xludf.DUMMYFUNCTION("LOWER(REGEXREPLACE(B989&amp;"" ""&amp;C989,""[^а-яa-z0-9 ]"","" ""))"),"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"&amp;"пособствует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адап"&amp;"тированы для индивидуальной и групповой работы  соответствуют требованиям эксплуатации в     ")</f>
        <v xml:space="preserve">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v>
      </c>
      <c r="G989" s="4" t="str">
        <f ca="1">IFERROR(__xludf.DUMMYFUNCTION("TEXTJOIN(""|"",TRUE,UNIQUE(FILTER(SPLIT(F989,"" ""),LEN(SPLIT(F989,"" ""))&gt;2)))"),"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amp;"|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amp;"ии")</f>
        <v>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v>
      </c>
      <c r="I989" s="1"/>
      <c r="J989" s="1"/>
    </row>
    <row r="990" spans="1:10" x14ac:dyDescent="0.2">
      <c r="A990" s="8" t="s">
        <v>691</v>
      </c>
      <c r="B990" s="7" t="s">
        <v>690</v>
      </c>
      <c r="C990" s="7" t="s">
        <v>689</v>
      </c>
      <c r="D990" s="6">
        <v>241500</v>
      </c>
      <c r="E990" s="5">
        <v>4</v>
      </c>
      <c r="F990" s="4" t="str">
        <f ca="1">IFERROR(__xludf.DUMMYFUNCTION("LOWER(REGEXREPLACE(B990&amp;"" ""&amp;C990,""[^а-яa-z0-9 ]"","" ""))")," каф медицинский  каф медицинский двухстворчатый из полипропилена  размер 800х400х1800 мм                           2 1780   ")</f>
        <v xml:space="preserve"> каф медицинский  каф медицинский двухстворчатый из полипропилена  размер 800х400х1800 мм                           2 1780   </v>
      </c>
      <c r="G990" s="4" t="str">
        <f ca="1">IFERROR(__xludf.DUMMYFUNCTION("TEXTJOIN(""|"",TRUE,UNIQUE(FILTER(SPLIT(F990,"" ""),LEN(SPLIT(F990,"" ""))&gt;2)))"),"каф|медицинский|каф|медицинский|двухстворчатый|полипропилена|размер|800х400х1800|1780")</f>
        <v>каф|медицинский|каф|медицинский|двухстворчатый|полипропилена|размер|800х400х1800|1780</v>
      </c>
      <c r="I990" s="1"/>
      <c r="J990" s="1"/>
    </row>
    <row r="991" spans="1:10" x14ac:dyDescent="0.2">
      <c r="A991" s="8" t="s">
        <v>688</v>
      </c>
      <c r="B991" s="7" t="s">
        <v>687</v>
      </c>
      <c r="C991" s="7" t="s">
        <v>686</v>
      </c>
      <c r="D991" s="6">
        <v>15300</v>
      </c>
      <c r="E991" s="5">
        <v>7</v>
      </c>
      <c r="F991" s="4" t="str">
        <f ca="1">IFERROR(__xludf.DUMMYFUNCTION("LOWER(REGEXREPLACE(B991&amp;"" ""&amp;C991,""[^а-яa-z0-9 ]"","" ""))")," есконтактный инфракрасный термометр  есконтактный термометр идеален для измерения температуры тела у взрослых  детей и новорожденных")</f>
        <v xml:space="preserve"> есконтактный инфракрасный термометр  есконтактный термометр идеален для измерения температуры тела у взрослых  детей и новорожденных</v>
      </c>
      <c r="G991" s="4" t="str">
        <f ca="1">IFERROR(__xludf.DUMMYFUNCTION("TEXTJOIN(""|"",TRUE,UNIQUE(FILTER(SPLIT(F991,"" ""),LEN(SPLIT(F991,"" ""))&gt;2)))"),"есконтактный|инфракрасный|термометр|есконтактный|термометр|идеален|для|измерения|температуры|тела|взрослых|детей|новорожденных")</f>
        <v>есконтактный|инфракрасный|термометр|есконтактный|термометр|идеален|для|измерения|температуры|тела|взрослых|детей|новорожденных</v>
      </c>
      <c r="I991" s="1"/>
      <c r="J991" s="1"/>
    </row>
    <row r="992" spans="1:10" x14ac:dyDescent="0.2">
      <c r="A992" s="8" t="s">
        <v>685</v>
      </c>
      <c r="B992" s="7" t="s">
        <v>684</v>
      </c>
      <c r="C992" s="7" t="s">
        <v>683</v>
      </c>
      <c r="D992" s="6">
        <v>71500</v>
      </c>
      <c r="E992" s="5">
        <v>1</v>
      </c>
      <c r="F992" s="4" t="str">
        <f ca="1">IFERROR(__xludf.DUMMYFUNCTION("LOWER(REGEXREPLACE(B992&amp;"" ""&amp;C992,""[^а-яa-z0-9 ]"","" ""))")," остомер механический   остомер механический 400х398х2360")</f>
        <v xml:space="preserve"> остомер механический   остомер механический 400х398х2360</v>
      </c>
      <c r="G992" s="4" t="str">
        <f ca="1">IFERROR(__xludf.DUMMYFUNCTION("TEXTJOIN(""|"",TRUE,UNIQUE(FILTER(SPLIT(F992,"" ""),LEN(SPLIT(F992,"" ""))&gt;2)))"),"остомер|механический|остомер|механический|400х398х2360")</f>
        <v>остомер|механический|остомер|механический|400х398х2360</v>
      </c>
      <c r="I992" s="1"/>
      <c r="J992" s="1"/>
    </row>
    <row r="993" spans="1:10" x14ac:dyDescent="0.2">
      <c r="A993" s="8" t="s">
        <v>682</v>
      </c>
      <c r="B993" s="7" t="s">
        <v>681</v>
      </c>
      <c r="C993" s="7" t="s">
        <v>680</v>
      </c>
      <c r="D993" s="6">
        <v>3600</v>
      </c>
      <c r="E993" s="5">
        <v>1</v>
      </c>
      <c r="F993" s="4" t="str">
        <f ca="1">IFERROR(__xludf.DUMMYFUNCTION("LOWER(REGEXREPLACE(B993&amp;"" ""&amp;C993,""[^а-яa-z0-9 ]"","" ""))"),"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f>
        <v xml:space="preserve">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v>
      </c>
      <c r="G993" s="4" t="str">
        <f ca="1">IFERROR(__xludf.DUMMYFUNCTION("TEXTJOIN(""|"",TRUE,UNIQUE(FILTER(SPLIT(F993,"" ""),LEN(SPLIT(F993,"" ""))&gt;2)))"),"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f>
        <v>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v>
      </c>
      <c r="I993" s="1"/>
      <c r="J993" s="1"/>
    </row>
    <row r="994" spans="1:10" x14ac:dyDescent="0.2">
      <c r="A994" s="8" t="s">
        <v>679</v>
      </c>
      <c r="B994" s="7" t="s">
        <v>678</v>
      </c>
      <c r="C994" s="7" t="s">
        <v>677</v>
      </c>
      <c r="D994" s="6">
        <v>6700</v>
      </c>
      <c r="E994" s="5">
        <v>5</v>
      </c>
      <c r="F994" s="4" t="str">
        <f ca="1">IFERROR(__xludf.DUMMYFUNCTION("LOWER(REGEXREPLACE(B994&amp;"" ""&amp;C994,""[^а-яa-z0-9 ]"","" ""))"),"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признак"&amp;"ов    набор входит не менее 16 демонстрационных картинок размером около 173 220 мм и 16 раздаточных карточек ")</f>
        <v xml:space="preserve">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v>
      </c>
      <c r="G994" s="4" t="str">
        <f ca="1">IFERROR(__xludf.DUMMYFUNCTION("TEXTJOIN(""|"",TRUE,UNIQUE(FILTER(SPLIT(F994,"" ""),LEN(SPLIT(F994,"" ""))&gt;2)))"),"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amp;"нее|демонстрационных|картинок|размером|около|173|220|раздаточных|карточек")</f>
        <v>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v>
      </c>
      <c r="I994" s="1"/>
      <c r="J994" s="1"/>
    </row>
    <row r="995" spans="1:10" x14ac:dyDescent="0.2">
      <c r="A995" s="8" t="s">
        <v>676</v>
      </c>
      <c r="B995" s="7" t="s">
        <v>675</v>
      </c>
      <c r="C995" s="7" t="s">
        <v>675</v>
      </c>
      <c r="D995" s="6">
        <v>1000</v>
      </c>
      <c r="E995" s="5">
        <v>1</v>
      </c>
      <c r="F995" s="4" t="str">
        <f ca="1">IFERROR(__xludf.DUMMYFUNCTION("LOWER(REGEXREPLACE(B995&amp;"" ""&amp;C995,""[^а-яa-z0-9 ]"","" ""))")," змерительная лента  змерительная лента")</f>
        <v xml:space="preserve"> змерительная лента  змерительная лента</v>
      </c>
      <c r="G995" s="4" t="str">
        <f ca="1">IFERROR(__xludf.DUMMYFUNCTION("TEXTJOIN(""|"",TRUE,UNIQUE(FILTER(SPLIT(F995,"" ""),LEN(SPLIT(F995,"" ""))&gt;2)))"),"змерительная|лента|змерительная|лента")</f>
        <v>змерительная|лента|змерительная|лента</v>
      </c>
      <c r="I995" s="1"/>
      <c r="J995" s="1"/>
    </row>
    <row r="996" spans="1:10" x14ac:dyDescent="0.2">
      <c r="A996" s="8" t="s">
        <v>674</v>
      </c>
      <c r="B996" s="7" t="s">
        <v>673</v>
      </c>
      <c r="C996" s="7" t="s">
        <v>672</v>
      </c>
      <c r="D996" s="6">
        <v>17800</v>
      </c>
      <c r="E996" s="5">
        <v>2</v>
      </c>
      <c r="F996" s="4" t="str">
        <f ca="1">IFERROR(__xludf.DUMMYFUNCTION("LOWER(REGEXREPLACE(B996&amp;"" ""&amp;C996,""[^а-яa-z0-9 ]"","" ""))"),"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фун"&amp;"кциональности  карманы  удобный крой  и презентабельности")</f>
        <v xml:space="preserve">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v>
      </c>
      <c r="G996" s="4" t="str">
        <f ca="1">IFERROR(__xludf.DUMMYFUNCTION("TEXTJOIN(""|"",TRUE,UNIQUE(FILTER(SPLIT(F996,"" ""),LEN(SPLIT(F996,"" ""))&gt;2)))"),"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amp;"|удобный|крой|презентабельности")</f>
        <v>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v>
      </c>
      <c r="I996" s="1"/>
      <c r="J996" s="1"/>
    </row>
    <row r="997" spans="1:10" x14ac:dyDescent="0.2">
      <c r="A997" s="8" t="s">
        <v>671</v>
      </c>
      <c r="B997" s="7" t="s">
        <v>670</v>
      </c>
      <c r="C997" s="7" t="s">
        <v>669</v>
      </c>
      <c r="D997" s="6">
        <v>11400</v>
      </c>
      <c r="E997" s="5">
        <v>2</v>
      </c>
      <c r="F997" s="4" t="str">
        <f ca="1">IFERROR(__xludf.DUMMYFUNCTION("LOWER(REGEXREPLACE(B997&amp;"" ""&amp;C997,""[^а-яa-z0-9 ]"","" ""))")," ровать для кукол  иниатюрная кровать для кукол с покрывалом   спользуется в сюжетно ролевых и бытовых играх ")</f>
        <v xml:space="preserve"> ровать для кукол  иниатюрная кровать для кукол с покрывалом   спользуется в сюжетно ролевых и бытовых играх </v>
      </c>
      <c r="G997" s="4" t="str">
        <f ca="1">IFERROR(__xludf.DUMMYFUNCTION("TEXTJOIN(""|"",TRUE,UNIQUE(FILTER(SPLIT(F997,"" ""),LEN(SPLIT(F997,"" ""))&gt;2)))"),"ровать|для|кукол|иниатюрная|кровать|для|кукол|покрывалом|спользуется|сюжетно|ролевых|бытовых|играх")</f>
        <v>ровать|для|кукол|иниатюрная|кровать|для|кукол|покрывалом|спользуется|сюжетно|ролевых|бытовых|играх</v>
      </c>
      <c r="I997" s="1"/>
      <c r="J997" s="1"/>
    </row>
    <row r="998" spans="1:10" x14ac:dyDescent="0.2">
      <c r="A998" s="8" t="s">
        <v>668</v>
      </c>
      <c r="B998" s="7" t="s">
        <v>667</v>
      </c>
      <c r="C998" s="7" t="s">
        <v>666</v>
      </c>
      <c r="D998" s="6">
        <v>3500</v>
      </c>
      <c r="E998" s="5">
        <v>7</v>
      </c>
      <c r="F998" s="4" t="str">
        <f ca="1">IFERROR(__xludf.DUMMYFUNCTION("LOWER(REGEXREPLACE(B998&amp;"" ""&amp;C998,""[^а-яa-z0-9 ]"","" ""))"),"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ин"&amp;"струкции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f>
        <v xml:space="preserve">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v>
      </c>
      <c r="G998" s="4" t="str">
        <f ca="1">IFERROR(__xludf.DUMMYFUNCTION("TEXTJOIN(""|"",TRUE,UNIQUE(FILTER(SPLIT(F998,"" ""),LEN(SPLIT(F998,"" ""))&gt;2)))"),"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amp;"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f>
        <v>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v>
      </c>
      <c r="I998" s="1"/>
      <c r="J998" s="1"/>
    </row>
    <row r="999" spans="1:10" x14ac:dyDescent="0.2">
      <c r="A999" s="8" t="s">
        <v>665</v>
      </c>
      <c r="B999" s="7" t="s">
        <v>664</v>
      </c>
      <c r="C999" s="7" t="s">
        <v>663</v>
      </c>
      <c r="D999" s="6">
        <v>805800</v>
      </c>
      <c r="E999" s="5">
        <v>1</v>
      </c>
      <c r="F999" s="4" t="str">
        <f ca="1">IFERROR(__xludf.DUMMYFUNCTION("LOWER(REGEXREPLACE(B999&amp;"" ""&amp;C999,""[^а-яa-z0-9 ]"","" ""))"),"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f>
        <v xml:space="preserve">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v>
      </c>
      <c r="G999" s="4" t="str">
        <f ca="1">IFERROR(__xludf.DUMMYFUNCTION("TEXTJOIN(""|"",TRUE,UNIQUE(FILTER(SPLIT(F999,"" ""),LEN(SPLIT(F999,"" ""))&gt;2)))"),"олодильник|фармацевтический|олодильник|предназначен|для|хранения|медикаментов|соблюдением|температурного|режима|установленного|санитарными|требованиями")</f>
        <v>олодильник|фармацевтический|олодильник|предназначен|для|хранения|медикаментов|соблюдением|температурного|режима|установленного|санитарными|требованиями</v>
      </c>
      <c r="I999" s="1"/>
      <c r="J999" s="1"/>
    </row>
    <row r="1000" spans="1:10" x14ac:dyDescent="0.2">
      <c r="A1000" s="8" t="s">
        <v>662</v>
      </c>
      <c r="B1000" s="7" t="s">
        <v>661</v>
      </c>
      <c r="C1000" s="7" t="s">
        <v>660</v>
      </c>
      <c r="D1000" s="6">
        <v>6300</v>
      </c>
      <c r="E1000" s="5">
        <v>5</v>
      </c>
      <c r="F1000" s="4" t="str">
        <f ca="1">IFERROR(__xludf.DUMMYFUNCTION("LOWER(REGEXREPLACE(B1000&amp;"" ""&amp;C1000,""[^а-яa-z0-9 ]"","" ""))"),"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менее"&amp;" 16 демонстрационных картинок и 16 раздаточных карточек ")</f>
        <v xml:space="preserve">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v>
      </c>
      <c r="G1000" s="4" t="str">
        <f ca="1">IFERROR(__xludf.DUMMYFUNCTION("TEXTJOIN(""|"",TRUE,UNIQUE(FILTER(SPLIT(F1000,"" ""),LEN(SPLIT(F1000,"" ""))&gt;2)))"),"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amp;"тинок|раздаточных|карточек")</f>
        <v>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v>
      </c>
      <c r="I1000" s="1"/>
      <c r="J1000" s="1"/>
    </row>
    <row r="1001" spans="1:10" x14ac:dyDescent="0.2">
      <c r="A1001" s="8" t="s">
        <v>659</v>
      </c>
      <c r="B1001" s="7" t="s">
        <v>658</v>
      </c>
      <c r="C1001" s="7" t="s">
        <v>657</v>
      </c>
      <c r="D1001" s="6">
        <v>6700</v>
      </c>
      <c r="E1001" s="5">
        <v>5</v>
      </c>
      <c r="F1001" s="4" t="str">
        <f ca="1">IFERROR(__xludf.DUMMYFUNCTION("LOWER(REGEXREPLACE(B1001&amp;"" ""&amp;C1001,""[^а-яa-z0-9 ]"","" ""))"),"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изо"&amp;"бражений и 16 раздаточных карточек ")</f>
        <v xml:space="preserve">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v>
      </c>
      <c r="G1001" s="4" t="str">
        <f ca="1">IFERROR(__xludf.DUMMYFUNCTION("TEXTJOIN(""|"",TRUE,UNIQUE(FILTER(SPLIT(F1001,"" ""),LEN(SPLIT(F1001,"" ""))&gt;2)))"),"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amp;"арточек")</f>
        <v>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v>
      </c>
      <c r="I1001" s="1"/>
      <c r="J1001" s="1"/>
    </row>
    <row r="1002" spans="1:10" x14ac:dyDescent="0.2">
      <c r="A1002" s="8" t="s">
        <v>656</v>
      </c>
      <c r="B1002" s="7" t="s">
        <v>655</v>
      </c>
      <c r="C1002" s="7" t="s">
        <v>654</v>
      </c>
      <c r="D1002" s="6">
        <v>119000</v>
      </c>
      <c r="E1002" s="5">
        <v>2</v>
      </c>
      <c r="F1002" s="4" t="str">
        <f ca="1">IFERROR(__xludf.DUMMYFUNCTION("LOWER(REGEXREPLACE(B1002&amp;"" ""&amp;C1002,""[^а-яa-z0-9 ]"","" ""))"),"   устройство  ппарат для     терапии   0 12квт   220        60")</f>
        <v xml:space="preserve">   устройство  ппарат для     терапии   0 12квт   220        60</v>
      </c>
      <c r="G1002" s="4" t="str">
        <f ca="1">IFERROR(__xludf.DUMMYFUNCTION("TEXTJOIN(""|"",TRUE,UNIQUE(FILTER(SPLIT(F1002,"" ""),LEN(SPLIT(F1002,"" ""))&gt;2)))"),"устройство|ппарат|для|терапии|12квт|220")</f>
        <v>устройство|ппарат|для|терапии|12квт|220</v>
      </c>
      <c r="I1002" s="1"/>
      <c r="J1002" s="1"/>
    </row>
    <row r="1003" spans="1:10" x14ac:dyDescent="0.2">
      <c r="A1003" s="8" t="s">
        <v>653</v>
      </c>
      <c r="B1003" s="7" t="s">
        <v>652</v>
      </c>
      <c r="C1003" s="7" t="s">
        <v>651</v>
      </c>
      <c r="D1003" s="6">
        <v>5400</v>
      </c>
      <c r="E1003" s="5">
        <v>1</v>
      </c>
      <c r="F1003" s="4" t="str">
        <f ca="1">IFERROR(__xludf.DUMMYFUNCTION("LOWER(REGEXREPLACE(B1003&amp;"" ""&amp;C1003,""[^а-яa-z0-9 ]"","" ""))")," знакомление с окружающим миром  электронная версия  2   знакомление с окружающим миром   етодическое пособие  электронная версия ")</f>
        <v xml:space="preserve"> знакомление с окружающим миром  электронная версия  2   знакомление с окружающим миром   етодическое пособие  электронная версия </v>
      </c>
      <c r="G1003" s="4" t="str">
        <f ca="1">IFERROR(__xludf.DUMMYFUNCTION("TEXTJOIN(""|"",TRUE,UNIQUE(FILTER(SPLIT(F1003,"" ""),LEN(SPLIT(F1003,"" ""))&gt;2)))"),"знакомление|окружающим|миром|электронная|версия|знакомление|окружающим|миром|етодическое|пособие|электронная|версия")</f>
        <v>знакомление|окружающим|миром|электронная|версия|знакомление|окружающим|миром|етодическое|пособие|электронная|версия</v>
      </c>
      <c r="I1003" s="1"/>
      <c r="J1003" s="1"/>
    </row>
    <row r="1004" spans="1:10" x14ac:dyDescent="0.2">
      <c r="A1004" s="8" t="s">
        <v>650</v>
      </c>
      <c r="B1004" s="7" t="s">
        <v>649</v>
      </c>
      <c r="C1004" s="7" t="s">
        <v>648</v>
      </c>
      <c r="D1004" s="6">
        <v>4800</v>
      </c>
      <c r="E1004" s="5">
        <v>1</v>
      </c>
      <c r="F1004" s="4" t="str">
        <f ca="1">IFERROR(__xludf.DUMMYFUNCTION("LOWER(REGEXREPLACE(B1004&amp;"" ""&amp;C1004,""[^а-яa-z0-9 ]"","" ""))")," знакомление с окружающим миром  раздаточный материал  2   знакомление с окружающим миром   аздаточный материал")</f>
        <v xml:space="preserve"> знакомление с окружающим миром  раздаточный материал  2   знакомление с окружающим миром   аздаточный материал</v>
      </c>
      <c r="G1004" s="4" t="str">
        <f ca="1">IFERROR(__xludf.DUMMYFUNCTION("TEXTJOIN(""|"",TRUE,UNIQUE(FILTER(SPLIT(F1004,"" ""),LEN(SPLIT(F1004,"" ""))&gt;2)))"),"знакомление|окружающим|миром|раздаточный|материал|знакомление|окружающим|миром|аздаточный|материал")</f>
        <v>знакомление|окружающим|миром|раздаточный|материал|знакомление|окружающим|миром|аздаточный|материал</v>
      </c>
      <c r="I1004" s="1"/>
      <c r="J1004" s="1"/>
    </row>
    <row r="1005" spans="1:10" x14ac:dyDescent="0.2">
      <c r="A1005" s="8" t="s">
        <v>647</v>
      </c>
      <c r="B1005" s="7" t="s">
        <v>646</v>
      </c>
      <c r="C1005" s="9" t="s">
        <v>645</v>
      </c>
      <c r="D1005" s="6">
        <v>15045</v>
      </c>
      <c r="E1005" s="5">
        <v>61</v>
      </c>
      <c r="F1005" s="4" t="str">
        <f ca="1">IFERROR(__xludf.DUMMYFUNCTION("LOWER(REGEXREPLACE(B1005&amp;"" ""&amp;C1005,""[^а-яa-z0-9 ]"","" ""))")," озатор для жидкого мыла  озатор жидкого мыла")</f>
        <v xml:space="preserve"> озатор для жидкого мыла  озатор жидкого мыла</v>
      </c>
      <c r="G1005" s="4" t="str">
        <f ca="1">IFERROR(__xludf.DUMMYFUNCTION("TEXTJOIN(""|"",TRUE,UNIQUE(FILTER(SPLIT(F1005,"" ""),LEN(SPLIT(F1005,"" ""))&gt;2)))"),"озатор|для|жидкого|мыла|озатор|жидкого|мыла")</f>
        <v>озатор|для|жидкого|мыла|озатор|жидкого|мыла</v>
      </c>
      <c r="I1005" s="1"/>
      <c r="J1005" s="1"/>
    </row>
    <row r="1006" spans="1:10" x14ac:dyDescent="0.2">
      <c r="A1006" s="8" t="s">
        <v>644</v>
      </c>
      <c r="B1006" s="8" t="s">
        <v>643</v>
      </c>
      <c r="C1006" s="7" t="s">
        <v>642</v>
      </c>
      <c r="D1006" s="6">
        <v>1650200</v>
      </c>
      <c r="E1006" s="5">
        <v>1</v>
      </c>
      <c r="F1006" s="4" t="str">
        <f ca="1">IFERROR(__xludf.DUMMYFUNCTION("LOWER(REGEXREPLACE(B1006&amp;"" ""&amp;C1006,""[^а-яa-z0-9 ]"","" ""))")," ерстак   ерстак для столярных работ и работы с деревом")</f>
        <v xml:space="preserve"> ерстак   ерстак для столярных работ и работы с деревом</v>
      </c>
      <c r="G1006" s="4" t="str">
        <f ca="1">IFERROR(__xludf.DUMMYFUNCTION("TEXTJOIN(""|"",TRUE,UNIQUE(FILTER(SPLIT(F1006,"" ""),LEN(SPLIT(F1006,"" ""))&gt;2)))"),"ерстак|ерстак|для|столярных|работ|работы|деревом")</f>
        <v>ерстак|ерстак|для|столярных|работ|работы|деревом</v>
      </c>
      <c r="I1006" s="1"/>
      <c r="J1006" s="1"/>
    </row>
    <row r="1007" spans="1:10" x14ac:dyDescent="0.2">
      <c r="A1007" s="8" t="s">
        <v>641</v>
      </c>
      <c r="B1007" s="8" t="s">
        <v>640</v>
      </c>
      <c r="C1007" s="7" t="s">
        <v>639</v>
      </c>
      <c r="D1007" s="6">
        <v>1429200</v>
      </c>
      <c r="E1007" s="5">
        <v>2</v>
      </c>
      <c r="F1007" s="4" t="str">
        <f ca="1">IFERROR(__xludf.DUMMYFUNCTION("LOWER(REGEXREPLACE(B1007&amp;"" ""&amp;C1007,""[^а-яa-z0-9 ]"","" ""))")," тол верстак  тол верстак для проектной деятельности")</f>
        <v xml:space="preserve"> тол верстак  тол верстак для проектной деятельности</v>
      </c>
      <c r="G1007" s="4" t="str">
        <f ca="1">IFERROR(__xludf.DUMMYFUNCTION("TEXTJOIN(""|"",TRUE,UNIQUE(FILTER(SPLIT(F1007,"" ""),LEN(SPLIT(F1007,"" ""))&gt;2)))"),"тол|верстак|тол|верстак|для|проектной|деятельности")</f>
        <v>тол|верстак|тол|верстак|для|проектной|деятельности</v>
      </c>
      <c r="I1007" s="1"/>
      <c r="J1007" s="1"/>
    </row>
    <row r="1008" spans="1:10" x14ac:dyDescent="0.2">
      <c r="A1008" s="8" t="s">
        <v>638</v>
      </c>
      <c r="B1008" s="8" t="s">
        <v>637</v>
      </c>
      <c r="C1008" s="7" t="s">
        <v>636</v>
      </c>
      <c r="D1008" s="6">
        <v>1056200</v>
      </c>
      <c r="E1008" s="5">
        <v>1</v>
      </c>
      <c r="F1008" s="4" t="str">
        <f ca="1">IFERROR(__xludf.DUMMYFUNCTION("LOWER(REGEXREPLACE(B1008&amp;"" ""&amp;C1008,""[^а-яa-z0-9 ]"","" ""))")," обильный стол  обильный стол для экспериментов с песком и водой")</f>
        <v xml:space="preserve"> обильный стол  обильный стол для экспериментов с песком и водой</v>
      </c>
      <c r="G1008" s="4" t="str">
        <f ca="1">IFERROR(__xludf.DUMMYFUNCTION("TEXTJOIN(""|"",TRUE,UNIQUE(FILTER(SPLIT(F1008,"" ""),LEN(SPLIT(F1008,"" ""))&gt;2)))"),"обильный|стол|обильный|стол|для|экспериментов|песком|водой")</f>
        <v>обильный|стол|обильный|стол|для|экспериментов|песком|водой</v>
      </c>
      <c r="I1008" s="1"/>
      <c r="J1008" s="1"/>
    </row>
    <row r="1009" spans="1:10" x14ac:dyDescent="0.2">
      <c r="A1009" s="8" t="s">
        <v>635</v>
      </c>
      <c r="B1009" s="8" t="s">
        <v>634</v>
      </c>
      <c r="C1009" s="7" t="s">
        <v>633</v>
      </c>
      <c r="D1009" s="6">
        <v>973200</v>
      </c>
      <c r="E1009" s="5">
        <v>1</v>
      </c>
      <c r="F1009" s="4" t="str">
        <f ca="1">IFERROR(__xludf.DUMMYFUNCTION("LOWER(REGEXREPLACE(B1009&amp;"" ""&amp;C1009,""[^а-яa-z0-9 ]"","" ""))")," тол с линзами   тол с линзами для макро наблюдений объектов")</f>
        <v xml:space="preserve"> тол с линзами   тол с линзами для макро наблюдений объектов</v>
      </c>
      <c r="G1009" s="4" t="str">
        <f ca="1">IFERROR(__xludf.DUMMYFUNCTION("TEXTJOIN(""|"",TRUE,UNIQUE(FILTER(SPLIT(F1009,"" ""),LEN(SPLIT(F1009,"" ""))&gt;2)))"),"тол|линзами|тол|линзами|для|макро|наблюдений|объектов")</f>
        <v>тол|линзами|тол|линзами|для|макро|наблюдений|объектов</v>
      </c>
      <c r="I1009" s="1"/>
      <c r="J1009" s="1"/>
    </row>
    <row r="1010" spans="1:10" x14ac:dyDescent="0.2">
      <c r="A1010" s="8" t="s">
        <v>632</v>
      </c>
      <c r="B1010" s="7" t="s">
        <v>631</v>
      </c>
      <c r="C1010" s="7" t="s">
        <v>631</v>
      </c>
      <c r="D1010" s="6">
        <v>952800</v>
      </c>
      <c r="E1010" s="5">
        <v>1</v>
      </c>
      <c r="F1010" s="4" t="str">
        <f ca="1">IFERROR(__xludf.DUMMYFUNCTION("LOWER(REGEXREPLACE(B1010&amp;"" ""&amp;C1010,""[^а-яa-z0-9 ]"","" ""))")," тол для демонстрации находок и коллекций  тол для демонстрации находок и коллекций")</f>
        <v xml:space="preserve"> тол для демонстрации находок и коллекций  тол для демонстрации находок и коллекций</v>
      </c>
      <c r="G1010" s="4" t="str">
        <f ca="1">IFERROR(__xludf.DUMMYFUNCTION("TEXTJOIN(""|"",TRUE,UNIQUE(FILTER(SPLIT(F1010,"" ""),LEN(SPLIT(F1010,"" ""))&gt;2)))"),"тол|для|демонстрации|находок|коллекций|тол|для|демонстрации|находок|коллекций")</f>
        <v>тол|для|демонстрации|находок|коллекций|тол|для|демонстрации|находок|коллекций</v>
      </c>
      <c r="I1010" s="1"/>
      <c r="J1010" s="1"/>
    </row>
    <row r="1011" spans="1:10" x14ac:dyDescent="0.2">
      <c r="A1011" s="8" t="s">
        <v>630</v>
      </c>
      <c r="B1011" s="7" t="s">
        <v>629</v>
      </c>
      <c r="C1011" s="7" t="s">
        <v>628</v>
      </c>
      <c r="D1011" s="6">
        <v>6700</v>
      </c>
      <c r="E1011" s="5">
        <v>5</v>
      </c>
      <c r="F1011" s="4" t="str">
        <f ca="1">IFERROR(__xludf.DUMMYFUNCTION("LOWER(REGEXREPLACE(B1011&amp;"" ""&amp;C1011,""[^а-яa-z0-9 ]"","" ""))"),"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демонстрационны"&amp;"х и 16 раздаточных карточек ")</f>
        <v xml:space="preserve">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v>
      </c>
      <c r="G1011" s="4" t="str">
        <f ca="1">IFERROR(__xludf.DUMMYFUNCTION("TEXTJOIN(""|"",TRUE,UNIQUE(FILTER(SPLIT(F1011,"" ""),LEN(SPLIT(F1011,"" ""))&gt;2)))"),"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amp;"ек")</f>
        <v>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v>
      </c>
      <c r="I1011" s="1"/>
      <c r="J1011" s="1"/>
    </row>
    <row r="1012" spans="1:10" x14ac:dyDescent="0.2">
      <c r="A1012" s="8" t="s">
        <v>627</v>
      </c>
      <c r="B1012" s="7" t="s">
        <v>626</v>
      </c>
      <c r="C1012" s="7" t="s">
        <v>626</v>
      </c>
      <c r="D1012" s="6">
        <v>722400</v>
      </c>
      <c r="E1012" s="5">
        <v>2</v>
      </c>
      <c r="F1012" s="4" t="str">
        <f ca="1">IFERROR(__xludf.DUMMYFUNCTION("LOWER(REGEXREPLACE(B1012&amp;"" ""&amp;C1012,""[^а-яa-z0-9 ]"","" ""))")," теллаж для хранения      наборов и лотков  теллаж для хранения      наборов и лотков")</f>
        <v xml:space="preserve"> теллаж для хранения      наборов и лотков  теллаж для хранения      наборов и лотков</v>
      </c>
      <c r="G1012" s="4" t="str">
        <f ca="1">IFERROR(__xludf.DUMMYFUNCTION("TEXTJOIN(""|"",TRUE,UNIQUE(FILTER(SPLIT(F1012,"" ""),LEN(SPLIT(F1012,"" ""))&gt;2)))"),"теллаж|для|хранения|наборов|лотков|теллаж|для|хранения|наборов|лотков")</f>
        <v>теллаж|для|хранения|наборов|лотков|теллаж|для|хранения|наборов|лотков</v>
      </c>
      <c r="I1012" s="1"/>
      <c r="J1012" s="1"/>
    </row>
    <row r="1013" spans="1:10" x14ac:dyDescent="0.2">
      <c r="A1013" s="8" t="s">
        <v>625</v>
      </c>
      <c r="B1013" s="7" t="s">
        <v>624</v>
      </c>
      <c r="C1013" s="7" t="s">
        <v>624</v>
      </c>
      <c r="D1013" s="6">
        <v>166600</v>
      </c>
      <c r="E1013" s="5">
        <v>2</v>
      </c>
      <c r="F1013" s="4" t="str">
        <f ca="1">IFERROR(__xludf.DUMMYFUNCTION("LOWER(REGEXREPLACE(B1013&amp;"" ""&amp;C1013,""[^а-яa-z0-9 ]"","" ""))")," абор глубоких лотков для мелких деталей  абор глубоких лотков для мелких деталей")</f>
        <v xml:space="preserve"> абор глубоких лотков для мелких деталей  абор глубоких лотков для мелких деталей</v>
      </c>
      <c r="G1013" s="4" t="str">
        <f ca="1">IFERROR(__xludf.DUMMYFUNCTION("TEXTJOIN(""|"",TRUE,UNIQUE(FILTER(SPLIT(F1013,"" ""),LEN(SPLIT(F1013,"" ""))&gt;2)))"),"абор|глубоких|лотков|для|мелких|деталей|абор|глубоких|лотков|для|мелких|деталей")</f>
        <v>абор|глубоких|лотков|для|мелких|деталей|абор|глубоких|лотков|для|мелких|деталей</v>
      </c>
      <c r="I1013" s="1"/>
      <c r="J1013" s="1"/>
    </row>
    <row r="1014" spans="1:10" x14ac:dyDescent="0.2">
      <c r="A1014" s="8" t="s">
        <v>623</v>
      </c>
      <c r="B1014" s="7" t="s">
        <v>622</v>
      </c>
      <c r="C1014" s="7" t="s">
        <v>622</v>
      </c>
      <c r="D1014" s="6">
        <v>163000</v>
      </c>
      <c r="E1014" s="5">
        <v>25</v>
      </c>
      <c r="F1014" s="4" t="str">
        <f ca="1">IFERROR(__xludf.DUMMYFUNCTION("LOWER(REGEXREPLACE(B1014&amp;"" ""&amp;C1014,""[^а-яa-z0-9 ]"","" ""))")," тулья для всей группы  высота сиденья 25 см   тулья для всей группы  высота сиденья 25 см ")</f>
        <v xml:space="preserve"> тулья для всей группы  высота сиденья 25 см   тулья для всей группы  высота сиденья 25 см </v>
      </c>
      <c r="G1014" s="4" t="str">
        <f ca="1">IFERROR(__xludf.DUMMYFUNCTION("TEXTJOIN(""|"",TRUE,UNIQUE(FILTER(SPLIT(F1014,"" ""),LEN(SPLIT(F1014,"" ""))&gt;2)))"),"тулья|для|всей|группы|высота|сиденья|тулья|для|всей|группы|высота|сиденья")</f>
        <v>тулья|для|всей|группы|высота|сиденья|тулья|для|всей|группы|высота|сиденья</v>
      </c>
      <c r="I1014" s="1"/>
      <c r="J1014" s="1"/>
    </row>
    <row r="1015" spans="1:10" x14ac:dyDescent="0.2">
      <c r="A1015" s="8" t="s">
        <v>621</v>
      </c>
      <c r="B1015" s="7" t="s">
        <v>620</v>
      </c>
      <c r="C1015" s="7" t="s">
        <v>620</v>
      </c>
      <c r="D1015" s="6">
        <v>736100</v>
      </c>
      <c r="E1015" s="5">
        <v>1</v>
      </c>
      <c r="F1015" s="4" t="str">
        <f ca="1">IFERROR(__xludf.DUMMYFUNCTION("LOWER(REGEXREPLACE(B1015&amp;"" ""&amp;C1015,""[^а-яa-z0-9 ]"","" ""))")," овер   осмос  для занятий на полу  овер   осмос  для занятий на полу")</f>
        <v xml:space="preserve"> овер   осмос  для занятий на полу  овер   осмос  для занятий на полу</v>
      </c>
      <c r="G1015" s="4" t="str">
        <f ca="1">IFERROR(__xludf.DUMMYFUNCTION("TEXTJOIN(""|"",TRUE,UNIQUE(FILTER(SPLIT(F1015,"" ""),LEN(SPLIT(F1015,"" ""))&gt;2)))"),"овер|осмос|для|занятий|полу|овер|осмос|для|занятий|полу")</f>
        <v>овер|осмос|для|занятий|полу|овер|осмос|для|занятий|полу</v>
      </c>
      <c r="I1015" s="1"/>
      <c r="J1015" s="1"/>
    </row>
    <row r="1016" spans="1:10" x14ac:dyDescent="0.2">
      <c r="A1016" s="8" t="s">
        <v>619</v>
      </c>
      <c r="B1016" s="7" t="s">
        <v>618</v>
      </c>
      <c r="C1016" s="7" t="s">
        <v>618</v>
      </c>
      <c r="D1016" s="6">
        <v>347900</v>
      </c>
      <c r="E1016" s="5">
        <v>1</v>
      </c>
      <c r="F1016" s="4" t="str">
        <f ca="1">IFERROR(__xludf.DUMMYFUNCTION("LOWER(REGEXREPLACE(B1016&amp;"" ""&amp;C1016,""[^а-яa-z0-9 ]"","" ""))")," тойка для сушки работ после экспериментов  тойка для сушки работ после экспериментов")</f>
        <v xml:space="preserve"> тойка для сушки работ после экспериментов  тойка для сушки работ после экспериментов</v>
      </c>
      <c r="G1016" s="4" t="str">
        <f ca="1">IFERROR(__xludf.DUMMYFUNCTION("TEXTJOIN(""|"",TRUE,UNIQUE(FILTER(SPLIT(F1016,"" ""),LEN(SPLIT(F1016,"" ""))&gt;2)))"),"тойка|для|сушки|работ|после|экспериментов|тойка|для|сушки|работ|после|экспериментов")</f>
        <v>тойка|для|сушки|работ|после|экспериментов|тойка|для|сушки|работ|после|экспериментов</v>
      </c>
      <c r="I1016" s="1"/>
      <c r="J1016" s="1"/>
    </row>
    <row r="1017" spans="1:10" x14ac:dyDescent="0.2">
      <c r="A1017" s="8" t="s">
        <v>617</v>
      </c>
      <c r="B1017" s="7" t="s">
        <v>616</v>
      </c>
      <c r="C1017" s="7" t="s">
        <v>616</v>
      </c>
      <c r="D1017" s="6">
        <v>389900</v>
      </c>
      <c r="E1017" s="5">
        <v>10</v>
      </c>
      <c r="F1017" s="4" t="str">
        <f ca="1">IFERROR(__xludf.DUMMYFUNCTION("LOWER(REGEXREPLACE(B1017&amp;"" ""&amp;C1017,""[^а-яa-z0-9 ]"","" ""))")," абор для дошкольного изучения  omputer science and     абор для дошкольного изучения  omputer science and   ")</f>
        <v xml:space="preserve"> абор для дошкольного изучения  omputer science and     абор для дошкольного изучения  omputer science and   </v>
      </c>
      <c r="G1017" s="4" t="str">
        <f ca="1">IFERROR(__xludf.DUMMYFUNCTION("TEXTJOIN(""|"",TRUE,UNIQUE(FILTER(SPLIT(F1017,"" ""),LEN(SPLIT(F1017,"" ""))&gt;2)))"),"абор|для|дошкольного|изучения|omputer|science|and|абор|для|дошкольного|изучения|omputer|science|and")</f>
        <v>абор|для|дошкольного|изучения|omputer|science|and|абор|для|дошкольного|изучения|omputer|science|and</v>
      </c>
      <c r="I1017" s="1"/>
      <c r="J1017" s="1"/>
    </row>
    <row r="1018" spans="1:10" x14ac:dyDescent="0.2">
      <c r="A1018" s="8" t="s">
        <v>615</v>
      </c>
      <c r="B1018" s="7" t="s">
        <v>614</v>
      </c>
      <c r="C1018" s="7" t="s">
        <v>614</v>
      </c>
      <c r="D1018" s="6">
        <v>612000</v>
      </c>
      <c r="E1018" s="5">
        <v>0</v>
      </c>
      <c r="F1018" s="4" t="str">
        <f ca="1">IFERROR(__xludf.DUMMYFUNCTION("LOWER(REGEXREPLACE(B1018&amp;"" ""&amp;C1018,""[^а-яa-z0-9 ]"","" ""))")," ric   otion  ssential  ric   otion  ssential")</f>
        <v xml:space="preserve"> ric   otion  ssential  ric   otion  ssential</v>
      </c>
      <c r="G1018" s="4" t="str">
        <f ca="1">IFERROR(__xludf.DUMMYFUNCTION("TEXTJOIN(""|"",TRUE,UNIQUE(FILTER(SPLIT(F1018,"" ""),LEN(SPLIT(F1018,"" ""))&gt;2)))"),"ric|otion|ssential|ric|otion|ssential")</f>
        <v>ric|otion|ssential|ric|otion|ssential</v>
      </c>
      <c r="I1018" s="1"/>
      <c r="J1018" s="1"/>
    </row>
    <row r="1019" spans="1:10" x14ac:dyDescent="0.2">
      <c r="A1019" s="8" t="s">
        <v>613</v>
      </c>
      <c r="B1019" s="7" t="s">
        <v>612</v>
      </c>
      <c r="C1019" s="7" t="s">
        <v>612</v>
      </c>
      <c r="D1019" s="6">
        <v>373400</v>
      </c>
      <c r="E1019" s="5">
        <v>10</v>
      </c>
      <c r="F1019" s="4" t="str">
        <f ca="1">IFERROR(__xludf.DUMMYFUNCTION("LOWER(REGEXREPLACE(B1019&amp;"" ""&amp;C1019,""[^а-яa-z0-9 ]"","" ""))"),"       ducation        ark        ducation        ark")</f>
        <v xml:space="preserve">       ducation        ark        ducation        ark</v>
      </c>
      <c r="G1019" s="4" t="str">
        <f ca="1">IFERROR(__xludf.DUMMYFUNCTION("TEXTJOIN(""|"",TRUE,UNIQUE(FILTER(SPLIT(F1019,"" ""),LEN(SPLIT(F1019,"" ""))&gt;2)))"),"ducation|ark|ducation|ark")</f>
        <v>ducation|ark|ducation|ark</v>
      </c>
      <c r="I1019" s="1"/>
      <c r="J1019" s="1"/>
    </row>
    <row r="1020" spans="1:10" x14ac:dyDescent="0.2">
      <c r="A1020" s="8" t="s">
        <v>611</v>
      </c>
      <c r="B1020" s="7" t="s">
        <v>610</v>
      </c>
      <c r="C1020" s="7" t="s">
        <v>610</v>
      </c>
      <c r="D1020" s="6">
        <v>385600</v>
      </c>
      <c r="E1020" s="5">
        <v>0</v>
      </c>
      <c r="F1020" s="4" t="str">
        <f ca="1">IFERROR(__xludf.DUMMYFUNCTION("LOWER(REGEXREPLACE(B1020&amp;"" ""&amp;C1020,""[^а-яa-z0-9 ]"","" ""))")," нструменты для конструирования из картона для начальной школы  нструменты для конструирования из картона для начальной школы")</f>
        <v xml:space="preserve"> нструменты для конструирования из картона для начальной школы  нструменты для конструирования из картона для начальной школы</v>
      </c>
      <c r="G1020" s="4" t="str">
        <f ca="1">IFERROR(__xludf.DUMMYFUNCTION("TEXTJOIN(""|"",TRUE,UNIQUE(FILTER(SPLIT(F1020,"" ""),LEN(SPLIT(F1020,"" ""))&gt;2)))"),"нструменты|для|конструирования|картона|для|начальной|школы|нструменты|для|конструирования|картона|для|начальной|школы")</f>
        <v>нструменты|для|конструирования|картона|для|начальной|школы|нструменты|для|конструирования|картона|для|начальной|школы</v>
      </c>
      <c r="I1020" s="1"/>
      <c r="J1020" s="1"/>
    </row>
    <row r="1021" spans="1:10" x14ac:dyDescent="0.2">
      <c r="A1021" s="8" t="s">
        <v>609</v>
      </c>
      <c r="B1021" s="8" t="s">
        <v>608</v>
      </c>
      <c r="C1021" s="7" t="s">
        <v>607</v>
      </c>
      <c r="D1021" s="6">
        <v>2100</v>
      </c>
      <c r="E1021" s="5">
        <v>2</v>
      </c>
      <c r="F1021" s="4" t="str">
        <f ca="1">IFERROR(__xludf.DUMMYFUNCTION("LOWER(REGEXREPLACE(B1021&amp;"" ""&amp;C1021,""[^а-яa-z0-9 ]"","" ""))")," ешалка напольная для верхней одежды  апольная вешалка   азмеры высота 1700мм  кол во крючков 8шт ")</f>
        <v xml:space="preserve"> ешалка напольная для верхней одежды  апольная вешалка   азмеры высота 1700мм  кол во крючков 8шт </v>
      </c>
      <c r="G1021" s="4" t="str">
        <f ca="1">IFERROR(__xludf.DUMMYFUNCTION("TEXTJOIN(""|"",TRUE,UNIQUE(FILTER(SPLIT(F1021,"" ""),LEN(SPLIT(F1021,"" ""))&gt;2)))"),"ешалка|напольная|для|верхней|одежды|апольная|вешалка|азмеры|высота|1700мм|кол|крючков|8шт")</f>
        <v>ешалка|напольная|для|верхней|одежды|апольная|вешалка|азмеры|высота|1700мм|кол|крючков|8шт</v>
      </c>
      <c r="I1021" s="1"/>
      <c r="J1021" s="1"/>
    </row>
    <row r="1022" spans="1:10" x14ac:dyDescent="0.2">
      <c r="A1022" s="8" t="s">
        <v>606</v>
      </c>
      <c r="B1022" s="7" t="s">
        <v>605</v>
      </c>
      <c r="C1022" s="7" t="s">
        <v>604</v>
      </c>
      <c r="D1022" s="6">
        <v>36000</v>
      </c>
      <c r="E1022" s="5">
        <v>1</v>
      </c>
      <c r="F1022" s="4" t="str">
        <f ca="1">IFERROR(__xludf.DUMMYFUNCTION("LOWER(REGEXREPLACE(B1022&amp;"" ""&amp;C1022,""[^а-яa-z0-9 ]"","" ""))"),"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настенн"&amp;"ого монтажа ")</f>
        <v xml:space="preserve">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v>
      </c>
      <c r="G1022" s="4" t="str">
        <f ca="1">IFERROR(__xludf.DUMMYFUNCTION("TEXTJOIN(""|"",TRUE,UNIQUE(FILTER(SPLIT(F1022,"" ""),LEN(SPLIT(F1022,"" ""))&gt;2)))"),"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f>
        <v>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v>
      </c>
      <c r="I1022" s="1"/>
      <c r="J1022" s="1"/>
    </row>
    <row r="1023" spans="1:10" x14ac:dyDescent="0.2">
      <c r="A1023" s="8" t="s">
        <v>603</v>
      </c>
      <c r="B1023" s="7" t="s">
        <v>602</v>
      </c>
      <c r="C1023" s="7" t="s">
        <v>601</v>
      </c>
      <c r="D1023" s="6">
        <v>315000</v>
      </c>
      <c r="E1023" s="5">
        <v>1</v>
      </c>
      <c r="F1023" s="4" t="str">
        <f ca="1">IFERROR(__xludf.DUMMYFUNCTION("LOWER(REGEXREPLACE(B1023&amp;"" ""&amp;C1023,""[^а-яa-z0-9 ]"","" ""))")," тол производственный  роизводственный стол предназначен для хозяйственных работ   азмеры  1800х600х850")</f>
        <v xml:space="preserve"> тол производственный  роизводственный стол предназначен для хозяйственных работ   азмеры  1800х600х850</v>
      </c>
      <c r="G1023" s="4" t="str">
        <f ca="1">IFERROR(__xludf.DUMMYFUNCTION("TEXTJOIN(""|"",TRUE,UNIQUE(FILTER(SPLIT(F1023,"" ""),LEN(SPLIT(F1023,"" ""))&gt;2)))"),"тол|производственный|роизводственный|стол|предназначен|для|хозяйственных|работ|азмеры|1800х600х850")</f>
        <v>тол|производственный|роизводственный|стол|предназначен|для|хозяйственных|работ|азмеры|1800х600х850</v>
      </c>
      <c r="I1023" s="1"/>
      <c r="J1023" s="1"/>
    </row>
    <row r="1024" spans="1:10" x14ac:dyDescent="0.2">
      <c r="A1024" s="8" t="s">
        <v>600</v>
      </c>
      <c r="B1024" s="7" t="s">
        <v>599</v>
      </c>
      <c r="C1024" s="7" t="s">
        <v>598</v>
      </c>
      <c r="D1024" s="6">
        <v>387000</v>
      </c>
      <c r="E1024" s="5">
        <v>2</v>
      </c>
      <c r="F1024" s="4" t="str">
        <f ca="1">IFERROR(__xludf.DUMMYFUNCTION("LOWER(REGEXREPLACE(B1024&amp;"" ""&amp;C1024,""[^а-яa-z0-9 ]"","" ""))")," тол промежуточный vpn7 2  азмеры  800 700 300 мм ")</f>
        <v xml:space="preserve"> тол промежуточный vpn7 2  азмеры  800 700 300 мм </v>
      </c>
      <c r="G1024" s="4" t="str">
        <f ca="1">IFERROR(__xludf.DUMMYFUNCTION("TEXTJOIN(""|"",TRUE,UNIQUE(FILTER(SPLIT(F1024,"" ""),LEN(SPLIT(F1024,"" ""))&gt;2)))"),"тол|промежуточный|vpn7|азмеры|800|700|300")</f>
        <v>тол|промежуточный|vpn7|азмеры|800|700|300</v>
      </c>
      <c r="I1024" s="1"/>
      <c r="J1024" s="1"/>
    </row>
    <row r="1025" spans="1:10" x14ac:dyDescent="0.2">
      <c r="A1025" s="8" t="s">
        <v>597</v>
      </c>
      <c r="B1025" s="7" t="s">
        <v>596</v>
      </c>
      <c r="C1025" s="7" t="s">
        <v>595</v>
      </c>
      <c r="D1025" s="6">
        <v>283500</v>
      </c>
      <c r="E1025" s="5">
        <v>4</v>
      </c>
      <c r="F1025" s="4" t="str">
        <f ca="1">IFERROR(__xludf.DUMMYFUNCTION("LOWER(REGEXREPLACE(B1025&amp;"" ""&amp;C1025,""[^а-яa-z0-9 ]"","" ""))")," тол рабочий  абочий стол с металлической поверхностью   стойчивый  легко моющийся   азмеры  1800х600х850")</f>
        <v xml:space="preserve"> тол рабочий  абочий стол с металлической поверхностью   стойчивый  легко моющийся   азмеры  1800х600х850</v>
      </c>
      <c r="G1025" s="4" t="str">
        <f ca="1">IFERROR(__xludf.DUMMYFUNCTION("TEXTJOIN(""|"",TRUE,UNIQUE(FILTER(SPLIT(F1025,"" ""),LEN(SPLIT(F1025,"" ""))&gt;2)))"),"тол|рабочий|абочий|стол|металлической|поверхностью|стойчивый|легко|моющийся|азмеры|1800х600х850")</f>
        <v>тол|рабочий|абочий|стол|металлической|поверхностью|стойчивый|легко|моющийся|азмеры|1800х600х850</v>
      </c>
      <c r="I1025" s="1"/>
      <c r="J1025" s="1"/>
    </row>
    <row r="1026" spans="1:10" x14ac:dyDescent="0.2">
      <c r="A1026" s="8" t="s">
        <v>594</v>
      </c>
      <c r="B1026" s="7" t="s">
        <v>593</v>
      </c>
      <c r="C1026" s="7" t="s">
        <v>592</v>
      </c>
      <c r="D1026" s="6">
        <v>237600</v>
      </c>
      <c r="E1026" s="5">
        <v>1</v>
      </c>
      <c r="F1026" s="4" t="str">
        <f ca="1">IFERROR(__xludf.DUMMYFUNCTION("LOWER(REGEXREPLACE(B1026&amp;"" ""&amp;C1026,""[^а-яa-z0-9 ]"","" ""))")," тол разгрузки посудомойки ce tbc70x75  ержавеющая сталь      430   ез нижней  полки и бортика   араметры  700x750x850 мм")</f>
        <v xml:space="preserve"> тол разгрузки посудомойки ce tbc70x75  ержавеющая сталь      430   ез нижней  полки и бортика   араметры  700x750x850 мм</v>
      </c>
      <c r="G1026" s="4" t="str">
        <f ca="1">IFERROR(__xludf.DUMMYFUNCTION("TEXTJOIN(""|"",TRUE,UNIQUE(FILTER(SPLIT(F1026,"" ""),LEN(SPLIT(F1026,"" ""))&gt;2)))"),"тол|разгрузки|посудомойки|tbc70x75|ержавеющая|сталь|430|нижней|полки|бортика|араметры|700x750x850")</f>
        <v>тол|разгрузки|посудомойки|tbc70x75|ержавеющая|сталь|430|нижней|полки|бортика|араметры|700x750x850</v>
      </c>
      <c r="I1026" s="1"/>
      <c r="J1026" s="1"/>
    </row>
    <row r="1027" spans="1:10" x14ac:dyDescent="0.2">
      <c r="A1027" s="8" t="s">
        <v>591</v>
      </c>
      <c r="B1027" s="7" t="s">
        <v>590</v>
      </c>
      <c r="C1027" s="7" t="s">
        <v>589</v>
      </c>
      <c r="D1027" s="6">
        <v>735000</v>
      </c>
      <c r="E1027" s="5">
        <v>1</v>
      </c>
      <c r="F1027" s="4" t="str">
        <f ca="1">IFERROR(__xludf.DUMMYFUNCTION("LOWER(REGEXREPLACE(B1027&amp;"" ""&amp;C1027,""[^а-яa-z0-9 ]"","" ""))"),"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устойчив"&amp;"ые  с подпятниками для защиты напольного покрытия   азмеры   1800 800 750 мм    комплект входит приставной стол для посетителей  ")</f>
        <v xml:space="preserve">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v>
      </c>
      <c r="G1027" s="4" t="str">
        <f ca="1">IFERROR(__xludf.DUMMYFUNCTION("TEXTJOIN(""|"",TRUE,UNIQUE(FILTER(SPLIT(F1027,"" ""),LEN(SPLIT(F1027,"" ""))&gt;2)))"),"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amp;"покрытия|азмеры|1800|800|750|комплект|входит|приставной|стол|для|посетителей")</f>
        <v>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v>
      </c>
      <c r="I1027" s="1"/>
      <c r="J1027" s="1"/>
    </row>
    <row r="1028" spans="1:10" x14ac:dyDescent="0.2">
      <c r="A1028" s="8" t="s">
        <v>588</v>
      </c>
      <c r="B1028" s="7" t="s">
        <v>587</v>
      </c>
      <c r="C1028" s="9" t="s">
        <v>586</v>
      </c>
      <c r="D1028" s="6">
        <v>175126</v>
      </c>
      <c r="E1028" s="5">
        <v>13</v>
      </c>
      <c r="F1028" s="4" t="str">
        <f ca="1">IFERROR(__xludf.DUMMYFUNCTION("LOWER(REGEXREPLACE(B1028&amp;"" ""&amp;C1028,""[^а-яa-z0-9 ]"","" ""))")," тол с 2 мойками  тол с двумя мойками       120 60   ержавеющая сталь   азмер  1200x600x850мм")</f>
        <v xml:space="preserve"> тол с 2 мойками  тол с двумя мойками       120 60   ержавеющая сталь   азмер  1200x600x850мм</v>
      </c>
      <c r="G1028" s="4" t="str">
        <f ca="1">IFERROR(__xludf.DUMMYFUNCTION("TEXTJOIN(""|"",TRUE,UNIQUE(FILTER(SPLIT(F1028,"" ""),LEN(SPLIT(F1028,"" ""))&gt;2)))"),"тол|мойками|тол|двумя|мойками|120|ержавеющая|сталь|азмер|1200x600x850мм")</f>
        <v>тол|мойками|тол|двумя|мойками|120|ержавеющая|сталь|азмер|1200x600x850мм</v>
      </c>
      <c r="I1028" s="1"/>
      <c r="J1028" s="1"/>
    </row>
    <row r="1029" spans="1:10" x14ac:dyDescent="0.2">
      <c r="A1029" s="8" t="s">
        <v>585</v>
      </c>
      <c r="B1029" s="7" t="s">
        <v>584</v>
      </c>
      <c r="C1029" s="7" t="s">
        <v>583</v>
      </c>
      <c r="D1029" s="6">
        <v>707900</v>
      </c>
      <c r="E1029" s="5">
        <v>2</v>
      </c>
      <c r="F1029" s="4" t="str">
        <f ca="1">IFERROR(__xludf.DUMMYFUNCTION("LOWER(REGEXREPLACE(B1029&amp;"" ""&amp;C1029,""[^а-яa-z0-9 ]"","" ""))")," тол с 2 мойками ce tce120x70  ержавеющая сталь      430    бортиком без полки   ойка  50x40x25 см   араметры  1200x700x850 мм")</f>
        <v xml:space="preserve"> тол с 2 мойками ce tce120x70  ержавеющая сталь      430    бортиком без полки   ойка  50x40x25 см   араметры  1200x700x850 мм</v>
      </c>
      <c r="G1029" s="4" t="str">
        <f ca="1">IFERROR(__xludf.DUMMYFUNCTION("TEXTJOIN(""|"",TRUE,UNIQUE(FILTER(SPLIT(F1029,"" ""),LEN(SPLIT(F1029,"" ""))&gt;2)))"),"тол|мойками|tce120x70|ержавеющая|сталь|430|бортиком|без|полки|ойка|50x40x25|араметры|1200x700x850")</f>
        <v>тол|мойками|tce120x70|ержавеющая|сталь|430|бортиком|без|полки|ойка|50x40x25|араметры|1200x700x850</v>
      </c>
      <c r="I1029" s="1"/>
      <c r="J1029" s="1"/>
    </row>
    <row r="1030" spans="1:10" x14ac:dyDescent="0.2">
      <c r="A1030" s="8" t="s">
        <v>582</v>
      </c>
      <c r="B1030" s="7" t="s">
        <v>581</v>
      </c>
      <c r="C1030" s="9" t="s">
        <v>580</v>
      </c>
      <c r="D1030" s="6">
        <v>66984</v>
      </c>
      <c r="E1030" s="5">
        <v>13</v>
      </c>
      <c r="F1030" s="4" t="str">
        <f ca="1">IFERROR(__xludf.DUMMYFUNCTION("LOWER(REGEXREPLACE(B1030&amp;"" ""&amp;C1030,""[^а-яa-z0-9 ]"","" ""))")," тол с одной полкой  тол производственный рабочий      1120 60   ержавеющая сталь    одной полкой и бортиком   азмер  1200x600x850мм")</f>
        <v xml:space="preserve"> тол с одной полкой  тол производственный рабочий      1120 60   ержавеющая сталь    одной полкой и бортиком   азмер  1200x600x850мм</v>
      </c>
      <c r="G1030" s="4" t="str">
        <f ca="1">IFERROR(__xludf.DUMMYFUNCTION("TEXTJOIN(""|"",TRUE,UNIQUE(FILTER(SPLIT(F1030,"" ""),LEN(SPLIT(F1030,"" ""))&gt;2)))"),"тол|одной|полкой|тол|производственный|рабочий|1120|ержавеющая|сталь|одной|полкой|бортиком|азмер|1200x600x850мм")</f>
        <v>тол|одной|полкой|тол|производственный|рабочий|1120|ержавеющая|сталь|одной|полкой|бортиком|азмер|1200x600x850мм</v>
      </c>
      <c r="I1030" s="1"/>
      <c r="J1030" s="1"/>
    </row>
    <row r="1031" spans="1:10" x14ac:dyDescent="0.2">
      <c r="A1031" s="8" t="s">
        <v>579</v>
      </c>
      <c r="B1031" s="7" t="s">
        <v>578</v>
      </c>
      <c r="C1031" s="7" t="s">
        <v>577</v>
      </c>
      <c r="D1031" s="6">
        <v>218000</v>
      </c>
      <c r="E1031" s="5">
        <v>1</v>
      </c>
      <c r="F1031" s="4" t="str">
        <f ca="1">IFERROR(__xludf.DUMMYFUNCTION("LOWER(REGEXREPLACE(B1031&amp;"" ""&amp;C1031,""[^а-яa-z0-9 ]"","" ""))")," тол ce tc080x70  ержавеющая сталь 430   абариты  800x700x850 мм")</f>
        <v xml:space="preserve"> тол ce tc080x70  ержавеющая сталь 430   абариты  800x700x850 мм</v>
      </c>
      <c r="G1031" s="4" t="str">
        <f ca="1">IFERROR(__xludf.DUMMYFUNCTION("TEXTJOIN(""|"",TRUE,UNIQUE(FILTER(SPLIT(F1031,"" ""),LEN(SPLIT(F1031,"" ""))&gt;2)))"),"тол|tc080x70|ержавеющая|сталь|430|абариты|800x700x850")</f>
        <v>тол|tc080x70|ержавеющая|сталь|430|абариты|800x700x850</v>
      </c>
      <c r="I1031" s="1"/>
      <c r="J1031" s="1"/>
    </row>
    <row r="1032" spans="1:10" x14ac:dyDescent="0.2">
      <c r="A1032" s="8" t="s">
        <v>576</v>
      </c>
      <c r="B1032" s="7" t="s">
        <v>575</v>
      </c>
      <c r="C1032" s="7" t="s">
        <v>574</v>
      </c>
      <c r="D1032" s="6">
        <v>516600</v>
      </c>
      <c r="E1032" s="5">
        <v>1</v>
      </c>
      <c r="F1032" s="4" t="str">
        <f ca="1">IFERROR(__xludf.DUMMYFUNCTION("LOWER(REGEXREPLACE(B1032&amp;"" ""&amp;C1032,""[^а-яa-z0-9 ]"","" ""))")," тол ромашка  3 половинки  на регулируемых ножках  етский стол состоит из тр х половинок  общий диаметр   160 см   редназначен для групповой работы и занятий  ")</f>
        <v xml:space="preserve"> тол ромашка  3 половинки  на регулируемых ножках  етский стол состоит из тр х половинок  общий диаметр   160 см   редназначен для групповой работы и занятий  </v>
      </c>
      <c r="G1032" s="4" t="str">
        <f ca="1">IFERROR(__xludf.DUMMYFUNCTION("TEXTJOIN(""|"",TRUE,UNIQUE(FILTER(SPLIT(F1032,"" ""),LEN(SPLIT(F1032,"" ""))&gt;2)))"),"тол|ромашка|половинки|регулируемых|ножках|етский|стол|состоит|половинок|общий|диаметр|160|редназначен|для|групповой|работы|занятий")</f>
        <v>тол|ромашка|половинки|регулируемых|ножках|етский|стол|состоит|половинок|общий|диаметр|160|редназначен|для|групповой|работы|занятий</v>
      </c>
      <c r="I1032" s="1"/>
      <c r="J1032" s="1"/>
    </row>
    <row r="1033" spans="1:10" x14ac:dyDescent="0.2">
      <c r="A1033" s="8" t="s">
        <v>573</v>
      </c>
      <c r="B1033" s="7" t="s">
        <v>572</v>
      </c>
      <c r="C1033" s="7" t="s">
        <v>571</v>
      </c>
      <c r="D1033" s="6">
        <v>19300</v>
      </c>
      <c r="E1033" s="5">
        <v>7</v>
      </c>
      <c r="F1033" s="4" t="str">
        <f ca="1">IFERROR(__xludf.DUMMYFUNCTION("LOWER(REGEXREPLACE(B1033&amp;"" ""&amp;C1033,""[^а-яa-z0-9 ]"","" ""))"),"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f>
        <v xml:space="preserve">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v>
      </c>
      <c r="G1033" s="4" t="str">
        <f ca="1">IFERROR(__xludf.DUMMYFUNCTION("TEXTJOIN(""|"",TRUE,UNIQUE(FILTER(SPLIT(F1033,"" ""),LEN(SPLIT(F1033,"" ""))&gt;2)))"),"толик|для|игры|песком|водой|ластиковый|столик|для|игр|песком|водой|крышкой|спользуется|для|сенсорных|развивающих|занятий|устойчивый|безопасный|легко|очищается")</f>
        <v>толик|для|игры|песком|водой|ластиковый|столик|для|игр|песком|водой|крышкой|спользуется|для|сенсорных|развивающих|занятий|устойчивый|безопасный|легко|очищается</v>
      </c>
      <c r="I1033" s="1"/>
      <c r="J1033" s="1"/>
    </row>
    <row r="1034" spans="1:10" x14ac:dyDescent="0.2">
      <c r="A1034" s="8" t="s">
        <v>570</v>
      </c>
      <c r="B1034" s="7" t="s">
        <v>569</v>
      </c>
      <c r="C1034" s="7" t="s">
        <v>568</v>
      </c>
      <c r="D1034" s="6">
        <v>42000</v>
      </c>
      <c r="E1034" s="5">
        <v>1</v>
      </c>
      <c r="F1034" s="4" t="str">
        <f ca="1">IFERROR(__xludf.DUMMYFUNCTION("LOWER(REGEXREPLACE(B1034&amp;"" ""&amp;C1034,""[^а-яa-z0-9 ]"","" ""))")," тул  тул офисный     388 со спинкой с удобной посадкой   азмеры 530х560х820 см ")</f>
        <v xml:space="preserve"> тул  тул офисный     388 со спинкой с удобной посадкой   азмеры 530х560х820 см </v>
      </c>
      <c r="G1034" s="4" t="str">
        <f ca="1">IFERROR(__xludf.DUMMYFUNCTION("TEXTJOIN(""|"",TRUE,UNIQUE(FILTER(SPLIT(F1034,"" ""),LEN(SPLIT(F1034,"" ""))&gt;2)))"),"тул|тул|офисный|388|спинкой|удобной|посадкой|азмеры|530х560х820")</f>
        <v>тул|тул|офисный|388|спинкой|удобной|посадкой|азмеры|530х560х820</v>
      </c>
      <c r="I1034" s="1"/>
      <c r="J1034" s="1"/>
    </row>
    <row r="1035" spans="1:10" x14ac:dyDescent="0.2">
      <c r="A1035" s="8" t="s">
        <v>567</v>
      </c>
      <c r="B1035" s="8" t="s">
        <v>566</v>
      </c>
      <c r="C1035" s="7" t="s">
        <v>565</v>
      </c>
      <c r="D1035" s="6">
        <v>42000</v>
      </c>
      <c r="E1035" s="5">
        <v>20</v>
      </c>
      <c r="F1035" s="4" t="str">
        <f ca="1">IFERROR(__xludf.DUMMYFUNCTION("LOWER(REGEXREPLACE(B1035&amp;"" ""&amp;C1035,""[^а-яa-z0-9 ]"","" ""))"),"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высота"&amp;"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f>
        <v xml:space="preserve">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v>
      </c>
      <c r="G1035" s="4" t="str">
        <f ca="1">IFERROR(__xludf.DUMMYFUNCTION("TEXTJOIN(""|"",TRUE,UNIQUE(FILTER(SPLIT(F1035,"" ""),LEN(SPLIT(F1035,"" ""))&gt;2)))"),"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amp;"на|тул|прочный|тщательно|обработанными|краями|безопасными|углами|подходит|для|ежедневного|использования|детских|учреждениях")</f>
        <v>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v>
      </c>
      <c r="I1035" s="1"/>
      <c r="J1035" s="1"/>
    </row>
    <row r="1036" spans="1:10" x14ac:dyDescent="0.2">
      <c r="A1036" s="8" t="s">
        <v>564</v>
      </c>
      <c r="B1036" s="7" t="s">
        <v>563</v>
      </c>
      <c r="C1036" s="9" t="s">
        <v>562</v>
      </c>
      <c r="D1036" s="6">
        <v>23131</v>
      </c>
      <c r="E1036" s="5">
        <v>26</v>
      </c>
      <c r="F1036" s="4" t="str">
        <f ca="1">IFERROR(__xludf.DUMMYFUNCTION("LOWER(REGEXREPLACE(B1036&amp;"" ""&amp;C1036,""[^а-яa-z0-9 ]"","" ""))")," тул для воспитателя с спинкой  тул полумягкий   ромированный каркас   азмер  550x600x830мм")</f>
        <v xml:space="preserve"> тул для воспитателя с спинкой  тул полумягкий   ромированный каркас   азмер  550x600x830мм</v>
      </c>
      <c r="G1036" s="4" t="str">
        <f ca="1">IFERROR(__xludf.DUMMYFUNCTION("TEXTJOIN(""|"",TRUE,UNIQUE(FILTER(SPLIT(F1036,"" ""),LEN(SPLIT(F1036,"" ""))&gt;2)))"),"тул|для|воспитателя|спинкой|тул|полумягкий|ромированный|каркас|азмер|550x600x830мм")</f>
        <v>тул|для|воспитателя|спинкой|тул|полумягкий|ромированный|каркас|азмер|550x600x830мм</v>
      </c>
      <c r="I1036" s="1"/>
      <c r="J1036" s="1"/>
    </row>
    <row r="1037" spans="1:10" x14ac:dyDescent="0.2">
      <c r="A1037" s="8" t="s">
        <v>561</v>
      </c>
      <c r="B1037" s="7" t="s">
        <v>560</v>
      </c>
      <c r="C1037" s="7" t="s">
        <v>559</v>
      </c>
      <c r="D1037" s="6">
        <v>210000</v>
      </c>
      <c r="E1037" s="5">
        <v>50</v>
      </c>
      <c r="F1037" s="4" t="str">
        <f ca="1">IFERROR(__xludf.DUMMYFUNCTION("LOWER(REGEXREPLACE(B1037&amp;"" ""&amp;C1037,""[^а-яa-z0-9 ]"","" ""))")," тул для зрителей  тул предназначен для оснащения актового зала   азмеры   х х   500х650х860мм")</f>
        <v xml:space="preserve"> тул для зрителей  тул предназначен для оснащения актового зала   азмеры   х х   500х650х860мм</v>
      </c>
      <c r="G1037" s="4" t="str">
        <f ca="1">IFERROR(__xludf.DUMMYFUNCTION("TEXTJOIN(""|"",TRUE,UNIQUE(FILTER(SPLIT(F1037,"" ""),LEN(SPLIT(F1037,"" ""))&gt;2)))"),"тул|для|зрителей|тул|предназначен|для|оснащения|актового|зала|азмеры|500х650х860мм")</f>
        <v>тул|для|зрителей|тул|предназначен|для|оснащения|актового|зала|азмеры|500х650х860мм</v>
      </c>
      <c r="I1037" s="1"/>
      <c r="J1037" s="1"/>
    </row>
    <row r="1038" spans="1:10" x14ac:dyDescent="0.2">
      <c r="A1038" s="8" t="s">
        <v>558</v>
      </c>
      <c r="B1038" s="7" t="s">
        <v>557</v>
      </c>
      <c r="C1038" s="7" t="s">
        <v>556</v>
      </c>
      <c r="D1038" s="6">
        <v>31045</v>
      </c>
      <c r="E1038" s="5">
        <v>3</v>
      </c>
      <c r="F1038" s="4" t="str">
        <f ca="1">IFERROR(__xludf.DUMMYFUNCTION("LOWER(REGEXREPLACE(B1038&amp;"" ""&amp;C1038,""[^а-яa-z0-9 ]"","" ""))")," тул полумягкий  тул полумягкий   атериал обивки ткань эко кожа   еталлический каркас  окрашен порошковой полимерной краской   азмер 410х560х940мм")</f>
        <v xml:space="preserve"> тул полумягкий  тул полумягкий   атериал обивки ткань эко кожа   еталлический каркас  окрашен порошковой полимерной краской   азмер 410х560х940мм</v>
      </c>
      <c r="G1038" s="4" t="str">
        <f ca="1">IFERROR(__xludf.DUMMYFUNCTION("TEXTJOIN(""|"",TRUE,UNIQUE(FILTER(SPLIT(F1038,"" ""),LEN(SPLIT(F1038,"" ""))&gt;2)))"),"тул|полумягкий|тул|полумягкий|атериал|обивки|ткань|эко|кожа|еталлический|каркас|окрашен|порошковой|полимерной|краской|азмер|410х560х940мм")</f>
        <v>тул|полумягкий|тул|полумягкий|атериал|обивки|ткань|эко|кожа|еталлический|каркас|окрашен|порошковой|полимерной|краской|азмер|410х560х940мм</v>
      </c>
      <c r="I1038" s="1"/>
      <c r="J1038" s="1"/>
    </row>
    <row r="1039" spans="1:10" x14ac:dyDescent="0.2">
      <c r="A1039" s="7"/>
      <c r="B1039" s="7"/>
      <c r="C1039" s="7" t="s">
        <v>555</v>
      </c>
      <c r="D1039" s="6">
        <v>94500</v>
      </c>
      <c r="E1039" s="5">
        <v>15</v>
      </c>
      <c r="F1039" s="4" t="str">
        <f ca="1">IFERROR(__xludf.DUMMYFUNCTION("LOWER(REGEXREPLACE(B1039&amp;"" ""&amp;C1039,""[^а-яa-z0-9 ]"","" ""))"),"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410х560х94"&amp;"0мм")</f>
        <v xml:space="preserve">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v>
      </c>
      <c r="G1039" s="4" t="str">
        <f ca="1">IFERROR(__xludf.DUMMYFUNCTION("TEXTJOIN(""|"",TRUE,UNIQUE(FILTER(SPLIT(F1039,"" ""),LEN(SPLIT(F1039,"" ""))&gt;2)))"),"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f>
        <v>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v>
      </c>
      <c r="I1039" s="1"/>
      <c r="J1039" s="1"/>
    </row>
    <row r="1040" spans="1:10" x14ac:dyDescent="0.2">
      <c r="A1040" s="8" t="s">
        <v>554</v>
      </c>
      <c r="B1040" s="7" t="s">
        <v>553</v>
      </c>
      <c r="C1040" s="9" t="s">
        <v>552</v>
      </c>
      <c r="D1040" s="6">
        <v>35124</v>
      </c>
      <c r="E1040" s="5">
        <v>13</v>
      </c>
      <c r="F1040" s="4" t="str">
        <f ca="1">IFERROR(__xludf.DUMMYFUNCTION("LOWER(REGEXREPLACE(B1040&amp;"" ""&amp;C1040,""[^а-яa-z0-9 ]"","" ""))")," чительский стол  тол однотумбовый с 2 выдвижными ящиками       16 мм  размер 1200х600х760мм")</f>
        <v xml:space="preserve"> чительский стол  тол однотумбовый с 2 выдвижными ящиками       16 мм  размер 1200х600х760мм</v>
      </c>
      <c r="G1040" s="4" t="str">
        <f ca="1">IFERROR(__xludf.DUMMYFUNCTION("TEXTJOIN(""|"",TRUE,UNIQUE(FILTER(SPLIT(F1040,"" ""),LEN(SPLIT(F1040,"" ""))&gt;2)))"),"чительский|стол|тол|однотумбовый|выдвижными|ящиками|размер|1200х600х760мм")</f>
        <v>чительский|стол|тол|однотумбовый|выдвижными|ящиками|размер|1200х600х760мм</v>
      </c>
      <c r="I1040" s="1"/>
      <c r="J1040" s="1"/>
    </row>
    <row r="1041" spans="1:10" x14ac:dyDescent="0.2">
      <c r="A1041" s="8" t="s">
        <v>551</v>
      </c>
      <c r="B1041" s="7" t="s">
        <v>550</v>
      </c>
      <c r="C1041" s="7" t="s">
        <v>549</v>
      </c>
      <c r="D1041" s="6">
        <v>525000</v>
      </c>
      <c r="E1041" s="5">
        <v>1</v>
      </c>
      <c r="F1041" s="4" t="str">
        <f ca="1">IFERROR(__xludf.DUMMYFUNCTION("LOWER(REGEXREPLACE(B1041&amp;"" ""&amp;C1041,""[^а-яa-z0-9 ]"","" ""))")," онференц стол для совещаний  онференц стол для проведения совещаний и рабочих встреч   азмеры 2700х1000х750мм")</f>
        <v xml:space="preserve"> онференц стол для совещаний  онференц стол для проведения совещаний и рабочих встреч   азмеры 2700х1000х750мм</v>
      </c>
      <c r="G1041" s="4" t="str">
        <f ca="1">IFERROR(__xludf.DUMMYFUNCTION("TEXTJOIN(""|"",TRUE,UNIQUE(FILTER(SPLIT(F1041,"" ""),LEN(SPLIT(F1041,"" ""))&gt;2)))"),"онференц|стол|для|совещаний|онференц|стол|для|проведения|совещаний|рабочих|встреч|азмеры|2700х1000х750мм")</f>
        <v>онференц|стол|для|совещаний|онференц|стол|для|проведения|совещаний|рабочих|встреч|азмеры|2700х1000х750мм</v>
      </c>
      <c r="I1041" s="1"/>
      <c r="J1041" s="1"/>
    </row>
    <row r="1042" spans="1:10" x14ac:dyDescent="0.2">
      <c r="A1042" s="8" t="s">
        <v>548</v>
      </c>
      <c r="B1042" s="7" t="s">
        <v>547</v>
      </c>
      <c r="C1042" s="7" t="s">
        <v>546</v>
      </c>
      <c r="D1042" s="6">
        <v>163800</v>
      </c>
      <c r="E1042" s="5">
        <v>2</v>
      </c>
      <c r="F1042" s="4" t="str">
        <f ca="1">IFERROR(__xludf.DUMMYFUNCTION("LOWER(REGEXREPLACE(B1042&amp;"" ""&amp;C1042,""[^а-яa-z0-9 ]"","" ""))"),"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f>
        <v xml:space="preserve">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v>
      </c>
      <c r="G1042" s="4" t="str">
        <f ca="1">IFERROR(__xludf.DUMMYFUNCTION("TEXTJOIN(""|"",TRUE,UNIQUE(FILTER(SPLIT(F1042,"" ""),LEN(SPLIT(F1042,"" ""))&gt;2)))"),"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f>
        <v>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v>
      </c>
      <c r="I1042" s="1"/>
      <c r="J1042" s="1"/>
    </row>
    <row r="1043" spans="1:10" x14ac:dyDescent="0.2">
      <c r="A1043" s="8" t="s">
        <v>545</v>
      </c>
      <c r="B1043" s="7" t="s">
        <v>544</v>
      </c>
      <c r="C1043" s="7" t="s">
        <v>543</v>
      </c>
      <c r="D1043" s="6">
        <v>244200</v>
      </c>
      <c r="E1043" s="5">
        <v>2</v>
      </c>
      <c r="F1043" s="4" t="str">
        <f ca="1">IFERROR(__xludf.DUMMYFUNCTION("LOWER(REGEXREPLACE(B1043&amp;"" ""&amp;C1043,""[^а-яa-z0-9 ]"","" ""))")," каф  снащ н полками   азмеры 800х380х2000")</f>
        <v xml:space="preserve"> каф  снащ н полками   азмеры 800х380х2000</v>
      </c>
      <c r="G1043" s="4" t="str">
        <f ca="1">IFERROR(__xludf.DUMMYFUNCTION("TEXTJOIN(""|"",TRUE,UNIQUE(FILTER(SPLIT(F1043,"" ""),LEN(SPLIT(F1043,"" ""))&gt;2)))"),"каф|снащ|полками|азмеры|800х380х2000")</f>
        <v>каф|снащ|полками|азмеры|800х380х2000</v>
      </c>
      <c r="I1043" s="1"/>
      <c r="J1043" s="1"/>
    </row>
    <row r="1044" spans="1:10" x14ac:dyDescent="0.2">
      <c r="A1044" s="8" t="s">
        <v>542</v>
      </c>
      <c r="B1044" s="7" t="s">
        <v>541</v>
      </c>
      <c r="C1044" s="9" t="s">
        <v>540</v>
      </c>
      <c r="D1044" s="6">
        <v>172228</v>
      </c>
      <c r="E1044" s="5">
        <v>52</v>
      </c>
      <c r="F1044" s="4" t="str">
        <f ca="1">IFERROR(__xludf.DUMMYFUNCTION("LOWER(REGEXREPLACE(B1044&amp;"" ""&amp;C1044,""[^а-яa-z0-9 ]"","" ""))")," каф 5 секционный  каф для одежды 5 ти секционный       16мм  металиический каркас  размер 1375х500х1250мм")</f>
        <v xml:space="preserve"> каф 5 секционный  каф для одежды 5 ти секционный       16мм  металиический каркас  размер 1375х500х1250мм</v>
      </c>
      <c r="G1044" s="4" t="str">
        <f ca="1">IFERROR(__xludf.DUMMYFUNCTION("TEXTJOIN(""|"",TRUE,UNIQUE(FILTER(SPLIT(F1044,"" ""),LEN(SPLIT(F1044,"" ""))&gt;2)))"),"каф|секционный|каф|для|одежды|секционный|16мм|металиический|каркас|размер|1375х500х1250мм")</f>
        <v>каф|секционный|каф|для|одежды|секционный|16мм|металиический|каркас|размер|1375х500х1250мм</v>
      </c>
      <c r="I1044" s="1"/>
      <c r="J1044" s="1"/>
    </row>
    <row r="1045" spans="1:10" x14ac:dyDescent="0.2">
      <c r="A1045" s="8" t="s">
        <v>539</v>
      </c>
      <c r="B1045" s="7" t="s">
        <v>538</v>
      </c>
      <c r="C1045" s="7" t="s">
        <v>537</v>
      </c>
      <c r="D1045" s="6">
        <v>105000</v>
      </c>
      <c r="E1045" s="5">
        <v>13</v>
      </c>
      <c r="F1045" s="4" t="str">
        <f ca="1">IFERROR(__xludf.DUMMYFUNCTION("LOWER(REGEXREPLACE(B1045&amp;"" ""&amp;C1045,""[^а-яa-z0-9 ]"","" ""))"),"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повер"&amp;"хность   влагостойкая  легко моющаяся")</f>
        <v xml:space="preserve">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v>
      </c>
      <c r="G1045" s="4" t="str">
        <f ca="1">IFERROR(__xludf.DUMMYFUNCTION("TEXTJOIN(""|"",TRUE,UNIQUE(FILTER(SPLIT(F1045,"" ""),LEN(SPLIT(F1045,"" ""))&gt;2)))"),"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f>
        <v>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v>
      </c>
      <c r="I1045" s="1"/>
      <c r="J1045" s="1"/>
    </row>
    <row r="1046" spans="1:10" x14ac:dyDescent="0.2">
      <c r="A1046" s="8" t="s">
        <v>536</v>
      </c>
      <c r="B1046" s="7" t="s">
        <v>535</v>
      </c>
      <c r="C1046" s="7" t="s">
        <v>534</v>
      </c>
      <c r="D1046" s="6">
        <v>136500</v>
      </c>
      <c r="E1046" s="5">
        <v>1</v>
      </c>
      <c r="F1046" s="4" t="str">
        <f ca="1">IFERROR(__xludf.DUMMYFUNCTION("LOWER(REGEXREPLACE(B1046&amp;"" ""&amp;C1046,""[^а-яa-z0-9 ]"","" ""))")," каф для грязного белья  каф для временного хранения грязного белья  онструкция устойчивая  легко моется и дезинфицируется   азмеры 600х500х1860")</f>
        <v xml:space="preserve"> каф для грязного белья  каф для временного хранения грязного белья  онструкция устойчивая  легко моется и дезинфицируется   азмеры 600х500х1860</v>
      </c>
      <c r="G1046" s="4" t="str">
        <f ca="1">IFERROR(__xludf.DUMMYFUNCTION("TEXTJOIN(""|"",TRUE,UNIQUE(FILTER(SPLIT(F1046,"" ""),LEN(SPLIT(F1046,"" ""))&gt;2)))"),"каф|для|грязного|белья|каф|для|временного|хранения|грязного|белья|онструкция|устойчивая|легко|моется|дезинфицируется|азмеры|600х500х1860")</f>
        <v>каф|для|грязного|белья|каф|для|временного|хранения|грязного|белья|онструкция|устойчивая|легко|моется|дезинфицируется|азмеры|600х500х1860</v>
      </c>
      <c r="I1046" s="1"/>
      <c r="J1046" s="1"/>
    </row>
    <row r="1047" spans="1:10" x14ac:dyDescent="0.2">
      <c r="A1047" s="8" t="s">
        <v>533</v>
      </c>
      <c r="B1047" s="7" t="s">
        <v>532</v>
      </c>
      <c r="C1047" s="7" t="s">
        <v>531</v>
      </c>
      <c r="D1047" s="6">
        <v>168000</v>
      </c>
      <c r="E1047" s="5">
        <v>16</v>
      </c>
      <c r="F1047" s="4" t="str">
        <f ca="1">IFERROR(__xludf.DUMMYFUNCTION("LOWER(REGEXREPLACE(B1047&amp;"" ""&amp;C1047,""[^а-яa-z0-9 ]"","" ""))")," каф для документов  каф для документации  закрытый   азмеры  800 450 1200 мм ")</f>
        <v xml:space="preserve"> каф для документов  каф для документации  закрытый   азмеры  800 450 1200 мм </v>
      </c>
      <c r="G1047" s="4" t="str">
        <f ca="1">IFERROR(__xludf.DUMMYFUNCTION("TEXTJOIN(""|"",TRUE,UNIQUE(FILTER(SPLIT(F1047,"" ""),LEN(SPLIT(F1047,"" ""))&gt;2)))"),"каф|для|документов|каф|для|документации|закрытый|азмеры|800|450|1200")</f>
        <v>каф|для|документов|каф|для|документации|закрытый|азмеры|800|450|1200</v>
      </c>
      <c r="I1047" s="1"/>
      <c r="J1047" s="1"/>
    </row>
    <row r="1048" spans="1:10" x14ac:dyDescent="0.2">
      <c r="A1048" s="8" t="s">
        <v>530</v>
      </c>
      <c r="B1048" s="8" t="s">
        <v>529</v>
      </c>
      <c r="C1048" s="9" t="s">
        <v>528</v>
      </c>
      <c r="D1048" s="6">
        <v>60861</v>
      </c>
      <c r="E1048" s="5">
        <v>27</v>
      </c>
      <c r="F1048" s="4" t="str">
        <f ca="1">IFERROR(__xludf.DUMMYFUNCTION("LOWER(REGEXREPLACE(B1048&amp;"" ""&amp;C1048,""[^а-яa-z0-9 ]"","" ""))")," каф для одежды  каф для одежды 2 х дверный       16 мм  размеры 800х540х1930 мм")</f>
        <v xml:space="preserve"> каф для одежды  каф для одежды 2 х дверный       16 мм  размеры 800х540х1930 мм</v>
      </c>
      <c r="G1048" s="4" t="str">
        <f ca="1">IFERROR(__xludf.DUMMYFUNCTION("TEXTJOIN(""|"",TRUE,UNIQUE(FILTER(SPLIT(F1048,"" ""),LEN(SPLIT(F1048,"" ""))&gt;2)))"),"каф|для|одежды|каф|для|одежды|дверный|размеры|800х540х1930")</f>
        <v>каф|для|одежды|каф|для|одежды|дверный|размеры|800х540х1930</v>
      </c>
      <c r="I1048" s="1"/>
      <c r="J1048" s="1"/>
    </row>
    <row r="1049" spans="1:10" x14ac:dyDescent="0.2">
      <c r="A1049" s="8" t="s">
        <v>527</v>
      </c>
      <c r="B1049" s="7" t="s">
        <v>526</v>
      </c>
      <c r="C1049" s="7" t="s">
        <v>525</v>
      </c>
      <c r="D1049" s="6">
        <v>52500</v>
      </c>
      <c r="E1049" s="5">
        <v>1</v>
      </c>
      <c r="F1049" s="4" t="str">
        <f ca="1">IFERROR(__xludf.DUMMYFUNCTION("LOWER(REGEXREPLACE(B1049&amp;"" ""&amp;C1049,""[^а-яa-z0-9 ]"","" ""))")," каф для тканей         тдельное хранение тканей  каф для тканей  закрытый   азмеры  800 450 1200 мм ")</f>
        <v xml:space="preserve"> каф для тканей         тдельное хранение тканей  каф для тканей  закрытый   азмеры  800 450 1200 мм </v>
      </c>
      <c r="G1049" s="4" t="str">
        <f ca="1">IFERROR(__xludf.DUMMYFUNCTION("TEXTJOIN(""|"",TRUE,UNIQUE(FILTER(SPLIT(F1049,"" ""),LEN(SPLIT(F1049,"" ""))&gt;2)))"),"каф|для|тканей|тдельное|хранение|тканей|каф|для|тканей|закрытый|азмеры|800|450|1200")</f>
        <v>каф|для|тканей|тдельное|хранение|тканей|каф|для|тканей|закрытый|азмеры|800|450|1200</v>
      </c>
      <c r="I1049" s="1"/>
      <c r="J1049" s="1"/>
    </row>
    <row r="1050" spans="1:10" x14ac:dyDescent="0.2">
      <c r="A1050" s="8" t="s">
        <v>524</v>
      </c>
      <c r="B1050" s="8" t="s">
        <v>523</v>
      </c>
      <c r="C1050" s="7" t="s">
        <v>522</v>
      </c>
      <c r="D1050" s="6">
        <v>126000</v>
      </c>
      <c r="E1050" s="5">
        <v>4</v>
      </c>
      <c r="F1050" s="4" t="str">
        <f ca="1">IFERROR(__xludf.DUMMYFUNCTION("LOWER(REGEXREPLACE(B1050&amp;"" ""&amp;C1050,""[^а-яa-z0-9 ]"","" ""))")," каф закрытый  каф закрытый   азмеры  800 450 1200 мм ")</f>
        <v xml:space="preserve"> каф закрытый  каф закрытый   азмеры  800 450 1200 мм </v>
      </c>
      <c r="G1050" s="4" t="str">
        <f ca="1">IFERROR(__xludf.DUMMYFUNCTION("TEXTJOIN(""|"",TRUE,UNIQUE(FILTER(SPLIT(F1050,"" ""),LEN(SPLIT(F1050,"" ""))&gt;2)))"),"каф|закрытый|каф|закрытый|азмеры|800|450|1200")</f>
        <v>каф|закрытый|каф|закрытый|азмеры|800|450|1200</v>
      </c>
      <c r="I1050" s="1"/>
      <c r="J1050" s="1"/>
    </row>
    <row r="1051" spans="1:10" x14ac:dyDescent="0.2">
      <c r="A1051" s="8" t="s">
        <v>521</v>
      </c>
      <c r="B1051" s="7" t="s">
        <v>520</v>
      </c>
      <c r="C1051" s="7" t="s">
        <v>519</v>
      </c>
      <c r="D1051" s="6">
        <v>126000</v>
      </c>
      <c r="E1051" s="5">
        <v>13</v>
      </c>
      <c r="F1051" s="4" t="str">
        <f ca="1">IFERROR(__xludf.DUMMYFUNCTION("LOWER(REGEXREPLACE(B1051&amp;"" ""&amp;C1051,""[^а-яa-z0-9 ]"","" ""))"),"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моющая"&amp;"ся ")</f>
        <v xml:space="preserve">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v>
      </c>
      <c r="G1051" s="4" t="str">
        <f ca="1">IFERROR(__xludf.DUMMYFUNCTION("TEXTJOIN(""|"",TRUE,UNIQUE(FILTER(SPLIT(F1051,"" ""),LEN(SPLIT(F1051,"" ""))&gt;2)))"),"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f>
        <v>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v>
      </c>
      <c r="I1051" s="1"/>
      <c r="J1051" s="1"/>
    </row>
    <row r="1052" spans="1:10" x14ac:dyDescent="0.2">
      <c r="A1052" s="8" t="s">
        <v>518</v>
      </c>
      <c r="B1052" s="7" t="s">
        <v>517</v>
      </c>
      <c r="C1052" s="7" t="s">
        <v>516</v>
      </c>
      <c r="D1052" s="6">
        <v>1408500</v>
      </c>
      <c r="E1052" s="5">
        <v>1</v>
      </c>
      <c r="F1052" s="4" t="str">
        <f ca="1">IFERROR(__xludf.DUMMYFUNCTION("LOWER(REGEXREPLACE(B1052&amp;"" ""&amp;C1052,""[^а-яa-z0-9 ]"","" ""))")," каф расстоечный vmk 2  местимость  8 противней 40x60  3 2 к т   230    азмеры  940x790x850 мм")</f>
        <v xml:space="preserve"> каф расстоечный vmk 2  местимость  8 противней 40x60  3 2 к т   230    азмеры  940x790x850 мм</v>
      </c>
      <c r="G1052" s="4" t="str">
        <f ca="1">IFERROR(__xludf.DUMMYFUNCTION("TEXTJOIN(""|"",TRUE,UNIQUE(FILTER(SPLIT(F1052,"" ""),LEN(SPLIT(F1052,"" ""))&gt;2)))"),"каф|расстоечный|vmk|местимость|противней|40x60|230|азмеры|940x790x850")</f>
        <v>каф|расстоечный|vmk|местимость|противней|40x60|230|азмеры|940x790x850</v>
      </c>
      <c r="I1052" s="1"/>
      <c r="J1052" s="1"/>
    </row>
    <row r="1053" spans="1:10" x14ac:dyDescent="0.2">
      <c r="A1053" s="8" t="s">
        <v>515</v>
      </c>
      <c r="B1053" s="7" t="s">
        <v>514</v>
      </c>
      <c r="C1053" s="7" t="s">
        <v>513</v>
      </c>
      <c r="D1053" s="6">
        <v>136500</v>
      </c>
      <c r="E1053" s="5">
        <v>3</v>
      </c>
      <c r="F1053" s="4" t="str">
        <f ca="1">IFERROR(__xludf.DUMMYFUNCTION("LOWER(REGEXREPLACE(B1053&amp;"" ""&amp;C1053,""[^а-яa-z0-9 ]"","" ""))"),"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f>
        <v xml:space="preserve">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v>
      </c>
      <c r="G1053" s="4" t="str">
        <f ca="1">IFERROR(__xludf.DUMMYFUNCTION("TEXTJOIN(""|"",TRUE,UNIQUE(FILTER(SPLIT(F1053,"" ""),LEN(SPLIT(F1053,"" ""))&gt;2)))"),"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f>
        <v>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v>
      </c>
      <c r="I1053" s="1"/>
      <c r="J1053" s="1"/>
    </row>
    <row r="1054" spans="1:10" x14ac:dyDescent="0.2">
      <c r="A1054" s="8" t="s">
        <v>512</v>
      </c>
      <c r="B1054" s="7" t="s">
        <v>511</v>
      </c>
      <c r="C1054" s="7" t="s">
        <v>510</v>
      </c>
      <c r="D1054" s="6">
        <v>770400</v>
      </c>
      <c r="E1054" s="5">
        <v>1</v>
      </c>
      <c r="F1054" s="4" t="str">
        <f ca="1">IFERROR(__xludf.DUMMYFUNCTION("LOWER(REGEXREPLACE(B1054&amp;"" ""&amp;C1054,""[^а-яa-z0-9 ]"","" ""))")," каф ce dm120x60  ержавеющая сталь 430    2 дверями  4 полками   араметры  1200x600x1600 мм")</f>
        <v xml:space="preserve"> каф ce dm120x60  ержавеющая сталь 430    2 дверями  4 полками   араметры  1200x600x1600 мм</v>
      </c>
      <c r="G1054" s="4" t="str">
        <f ca="1">IFERROR(__xludf.DUMMYFUNCTION("TEXTJOIN(""|"",TRUE,UNIQUE(FILTER(SPLIT(F1054,"" ""),LEN(SPLIT(F1054,"" ""))&gt;2)))"),"каф|dm120x60|ержавеющая|сталь|430|дверями|полками|араметры|1200x600x1600")</f>
        <v>каф|dm120x60|ержавеющая|сталь|430|дверями|полками|араметры|1200x600x1600</v>
      </c>
      <c r="I1054" s="1"/>
      <c r="J1054" s="1"/>
    </row>
    <row r="1055" spans="1:10" x14ac:dyDescent="0.2">
      <c r="A1055" s="8" t="s">
        <v>509</v>
      </c>
      <c r="B1055" s="7" t="s">
        <v>508</v>
      </c>
      <c r="C1055" s="7" t="s">
        <v>507</v>
      </c>
      <c r="D1055" s="6">
        <v>35830</v>
      </c>
      <c r="E1055" s="5">
        <v>3</v>
      </c>
      <c r="F1055" s="4" t="str">
        <f ca="1">IFERROR(__xludf.DUMMYFUNCTION("LOWER(REGEXREPLACE(B1055&amp;"" ""&amp;C1055,""[^а-яa-z0-9 ]"","" ""))")," тол однотумбовый с 2 выдвижными ящиками  тол однотумбовый с 2 выдвижными ящиками       16 мм  размер 1200х700х750мм ")</f>
        <v xml:space="preserve"> тол однотумбовый с 2 выдвижными ящиками  тол однотумбовый с 2 выдвижными ящиками       16 мм  размер 1200х700х750мм </v>
      </c>
      <c r="G1055" s="4" t="str">
        <f ca="1">IFERROR(__xludf.DUMMYFUNCTION("TEXTJOIN(""|"",TRUE,UNIQUE(FILTER(SPLIT(F1055,"" ""),LEN(SPLIT(F1055,"" ""))&gt;2)))"),"тол|однотумбовый|выдвижными|ящиками|тол|однотумбовый|выдвижными|ящиками|размер|1200х700х750мм")</f>
        <v>тол|однотумбовый|выдвижными|ящиками|тол|однотумбовый|выдвижными|ящиками|размер|1200х700х750мм</v>
      </c>
      <c r="I1055" s="1"/>
      <c r="J1055" s="1"/>
    </row>
    <row r="1056" spans="1:10" x14ac:dyDescent="0.2">
      <c r="A1056" s="8" t="s">
        <v>506</v>
      </c>
      <c r="B1056" s="8" t="s">
        <v>505</v>
      </c>
      <c r="C1056" s="7" t="s">
        <v>504</v>
      </c>
      <c r="D1056" s="6">
        <v>84000</v>
      </c>
      <c r="E1056" s="5">
        <v>2</v>
      </c>
      <c r="F1056" s="4" t="str">
        <f ca="1">IFERROR(__xludf.DUMMYFUNCTION("LOWER(REGEXREPLACE(B1056&amp;"" ""&amp;C1056,""[^а-яa-z0-9 ]"","" ""))"),"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f>
        <v xml:space="preserve">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v>
      </c>
      <c r="G1056" s="4" t="str">
        <f ca="1">IFERROR(__xludf.DUMMYFUNCTION("TEXTJOIN(""|"",TRUE,UNIQUE(FILTER(SPLIT(F1056,"" ""),LEN(SPLIT(F1056,"" ""))&gt;2)))"),"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f>
        <v>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v>
      </c>
      <c r="I1056" s="1"/>
      <c r="J1056" s="1"/>
    </row>
    <row r="1057" spans="1:10" x14ac:dyDescent="0.2">
      <c r="A1057" s="8" t="s">
        <v>503</v>
      </c>
      <c r="B1057" s="8" t="s">
        <v>502</v>
      </c>
      <c r="C1057" s="7" t="s">
        <v>501</v>
      </c>
      <c r="D1057" s="6">
        <v>105000</v>
      </c>
      <c r="E1057" s="5">
        <v>29</v>
      </c>
      <c r="F1057" s="4" t="str">
        <f ca="1">IFERROR(__xludf.DUMMYFUNCTION("LOWER(REGEXREPLACE(B1057&amp;"" ""&amp;C1057,""[^а-яa-z0-9 ]"","" ""))"),"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f>
        <v xml:space="preserve">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v>
      </c>
      <c r="G1057" s="4" t="str">
        <f ca="1">IFERROR(__xludf.DUMMYFUNCTION("TEXTJOIN(""|"",TRUE,UNIQUE(FILTER(SPLIT(F1057,"" ""),LEN(SPLIT(F1057,"" ""))&gt;2)))"),"ресло|офисное|фисное|кресло|ihoo|используется|административных|рабочих|зонах|снащено|механизмом|регулировки|высоты|функцией|качания|азмеры")</f>
        <v>ресло|офисное|фисное|кресло|ihoo|используется|административных|рабочих|зонах|снащено|механизмом|регулировки|высоты|функцией|качания|азмеры</v>
      </c>
      <c r="I1057" s="1"/>
      <c r="J1057" s="1"/>
    </row>
    <row r="1058" spans="1:10" x14ac:dyDescent="0.2">
      <c r="A1058" s="8" t="s">
        <v>500</v>
      </c>
      <c r="B1058" s="7" t="s">
        <v>499</v>
      </c>
      <c r="C1058" s="7" t="s">
        <v>498</v>
      </c>
      <c r="D1058" s="6">
        <v>420000</v>
      </c>
      <c r="E1058" s="5">
        <v>2</v>
      </c>
      <c r="F1058" s="4" t="str">
        <f ca="1">IFERROR(__xludf.DUMMYFUNCTION("LOWER(REGEXREPLACE(B1058&amp;"" ""&amp;C1058,""[^а-яa-z0-9 ]"","" ""))")," теллаж производственный   теллаж           10 5 4  01    х х   1850х1000х500  каркас труба нерж 40х40  полка сплошная ")</f>
        <v xml:space="preserve"> теллаж производственный   теллаж           10 5 4  01    х х   1850х1000х500  каркас труба нерж 40х40  полка сплошная </v>
      </c>
      <c r="G1058" s="4" t="str">
        <f ca="1">IFERROR(__xludf.DUMMYFUNCTION("TEXTJOIN(""|"",TRUE,UNIQUE(FILTER(SPLIT(F1058,"" ""),LEN(SPLIT(F1058,"" ""))&gt;2)))"),"теллаж|производственный|теллаж|1850х1000х500|каркас|труба|нерж|40х40|полка|сплошная")</f>
        <v>теллаж|производственный|теллаж|1850х1000х500|каркас|труба|нерж|40х40|полка|сплошная</v>
      </c>
      <c r="I1058" s="1"/>
      <c r="J1058" s="1"/>
    </row>
    <row r="1059" spans="1:10" x14ac:dyDescent="0.2">
      <c r="A1059" s="8" t="s">
        <v>497</v>
      </c>
      <c r="B1059" s="7" t="s">
        <v>496</v>
      </c>
      <c r="C1059" s="7" t="s">
        <v>495</v>
      </c>
      <c r="D1059" s="6">
        <v>112300</v>
      </c>
      <c r="E1059" s="5">
        <v>4</v>
      </c>
      <c r="F1059" s="4" t="str">
        <f ca="1">IFERROR(__xludf.DUMMYFUNCTION("LOWER(REGEXREPLACE(B1059&amp;"" ""&amp;C1059,""[^а-яa-z0-9 ]"","" ""))")," оска маркерная меловая поворотная  оска двухсторонняя 1200 2400 см  маркерная  меловая   магнитная  на подставке  передвижная на колесиках")</f>
        <v xml:space="preserve"> оска маркерная меловая поворотная  оска двухсторонняя 1200 2400 см  маркерная  меловая   магнитная  на подставке  передвижная на колесиках</v>
      </c>
      <c r="G1059" s="4" t="str">
        <f ca="1">IFERROR(__xludf.DUMMYFUNCTION("TEXTJOIN(""|"",TRUE,UNIQUE(FILTER(SPLIT(F1059,"" ""),LEN(SPLIT(F1059,"" ""))&gt;2)))"),"оска|маркерная|меловая|поворотная|оска|двухсторонняя|1200|2400|маркерная|меловая|магнитная|подставке|передвижная|колесиках")</f>
        <v>оска|маркерная|меловая|поворотная|оска|двухсторонняя|1200|2400|маркерная|меловая|магнитная|подставке|передвижная|колесиках</v>
      </c>
      <c r="I1059" s="1"/>
      <c r="J1059" s="1"/>
    </row>
    <row r="1060" spans="1:10" x14ac:dyDescent="0.2">
      <c r="A1060" s="8" t="s">
        <v>494</v>
      </c>
      <c r="B1060" s="7" t="s">
        <v>493</v>
      </c>
      <c r="C1060" s="7" t="s">
        <v>492</v>
      </c>
      <c r="D1060" s="6">
        <v>28100</v>
      </c>
      <c r="E1060" s="5">
        <v>4</v>
      </c>
      <c r="F1060" s="4" t="str">
        <f ca="1">IFERROR(__xludf.DUMMYFUNCTION("LOWER(REGEXREPLACE(B1060&amp;"" ""&amp;C1060,""[^а-яa-z0-9 ]"","" ""))"),"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аркер"&amp;"ов 6 шт    ерный 2 шт    иний 2 шт    расный 2 шт     12  агнитов    истящая жидкость спрей   1 шт")</f>
        <v xml:space="preserve">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v>
      </c>
      <c r="G1060" s="4" t="str">
        <f ca="1">IFERROR(__xludf.DUMMYFUNCTION("TEXTJOIN(""|"",TRUE,UNIQUE(FILTER(SPLIT(F1060,"" ""),LEN(SPLIT(F1060,"" ""))&gt;2)))"),"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amp;"тов|истящая|жидкость|спрей")</f>
        <v>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v>
      </c>
      <c r="I1060" s="1"/>
      <c r="J1060" s="1"/>
    </row>
    <row r="1061" spans="1:10" x14ac:dyDescent="0.2">
      <c r="A1061" s="8" t="s">
        <v>491</v>
      </c>
      <c r="B1061" s="7" t="s">
        <v>490</v>
      </c>
      <c r="C1061" s="7" t="s">
        <v>489</v>
      </c>
      <c r="D1061" s="6">
        <v>277200</v>
      </c>
      <c r="E1061" s="5">
        <v>1</v>
      </c>
      <c r="F1061" s="4" t="str">
        <f ca="1">IFERROR(__xludf.DUMMYFUNCTION("LOWER(REGEXREPLACE(B1061&amp;"" ""&amp;C1061,""[^а-яa-z0-9 ]"","" ""))")," теллаж для горшков  каф для горшков на 20 мест на ножках    20    збука   иний   х х  135х32х113  атериал     ")</f>
        <v xml:space="preserve"> теллаж для горшков  каф для горшков на 20 мест на ножках    20    збука   иний   х х  135х32х113  атериал     </v>
      </c>
      <c r="G1061" s="4" t="str">
        <f ca="1">IFERROR(__xludf.DUMMYFUNCTION("TEXTJOIN(""|"",TRUE,UNIQUE(FILTER(SPLIT(F1061,"" ""),LEN(SPLIT(F1061,"" ""))&gt;2)))"),"теллаж|для|горшков|каф|для|горшков|мест|ножках|збука|иний|135х32х113|атериал")</f>
        <v>теллаж|для|горшков|каф|для|горшков|мест|ножках|збука|иний|135х32х113|атериал</v>
      </c>
      <c r="I1061" s="1"/>
      <c r="J1061" s="1"/>
    </row>
    <row r="1062" spans="1:10" x14ac:dyDescent="0.2">
      <c r="A1062" s="8" t="s">
        <v>488</v>
      </c>
      <c r="B1062" s="7" t="s">
        <v>487</v>
      </c>
      <c r="C1062" s="7" t="s">
        <v>486</v>
      </c>
      <c r="D1062" s="6">
        <v>1352700</v>
      </c>
      <c r="E1062" s="5">
        <v>1</v>
      </c>
      <c r="F1062" s="4" t="str">
        <f ca="1">IFERROR(__xludf.DUMMYFUNCTION("LOWER(REGEXREPLACE(B1062&amp;"" ""&amp;C1062,""[^а-яa-z0-9 ]"","" ""))")," олл шторы  олл шторы белые однотонные   слуги доставки и монтажа")</f>
        <v xml:space="preserve"> олл шторы  олл шторы белые однотонные   слуги доставки и монтажа</v>
      </c>
      <c r="G1062" s="4" t="str">
        <f ca="1">IFERROR(__xludf.DUMMYFUNCTION("TEXTJOIN(""|"",TRUE,UNIQUE(FILTER(SPLIT(F1062,"" ""),LEN(SPLIT(F1062,"" ""))&gt;2)))"),"олл|шторы|олл|шторы|белые|однотонные|слуги|доставки|монтажа")</f>
        <v>олл|шторы|олл|шторы|белые|однотонные|слуги|доставки|монтажа</v>
      </c>
      <c r="I1062" s="1"/>
      <c r="J1062" s="1"/>
    </row>
    <row r="1063" spans="1:10" x14ac:dyDescent="0.2">
      <c r="A1063" s="8" t="s">
        <v>485</v>
      </c>
      <c r="B1063" s="8" t="s">
        <v>484</v>
      </c>
      <c r="C1063" s="7" t="s">
        <v>483</v>
      </c>
      <c r="D1063" s="6">
        <v>2024600</v>
      </c>
      <c r="E1063" s="5">
        <v>1</v>
      </c>
      <c r="F1063" s="4" t="str">
        <f ca="1">IFERROR(__xludf.DUMMYFUNCTION("LOWER(REGEXREPLACE(B1063&amp;"" ""&amp;C1063,""[^а-яa-z0-9 ]"","" ""))")," троительство соляной пещеры  1  еновое предложение на строительство соляной пещеры  1   омплектация  люкс")</f>
        <v xml:space="preserve"> троительство соляной пещеры  1  еновое предложение на строительство соляной пещеры  1   омплектация  люкс</v>
      </c>
      <c r="G1063" s="4" t="str">
        <f ca="1">IFERROR(__xludf.DUMMYFUNCTION("TEXTJOIN(""|"",TRUE,UNIQUE(FILTER(SPLIT(F1063,"" ""),LEN(SPLIT(F1063,""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I1063" s="1"/>
      <c r="J1063" s="1"/>
    </row>
    <row r="1064" spans="1:10" x14ac:dyDescent="0.2">
      <c r="A1064" s="8" t="s">
        <v>482</v>
      </c>
      <c r="B1064" s="8" t="s">
        <v>481</v>
      </c>
      <c r="C1064" s="7" t="s">
        <v>480</v>
      </c>
      <c r="D1064" s="6">
        <v>2077900</v>
      </c>
      <c r="E1064" s="5">
        <v>1</v>
      </c>
      <c r="F1064" s="4" t="str">
        <f ca="1">IFERROR(__xludf.DUMMYFUNCTION("LOWER(REGEXREPLACE(B1064&amp;"" ""&amp;C1064,""[^а-яa-z0-9 ]"","" ""))")," троительство соляной пещеры  2  еновое предложение на строительство соляной пещеры  2   омплектация  люкс")</f>
        <v xml:space="preserve"> троительство соляной пещеры  2  еновое предложение на строительство соляной пещеры  2   омплектация  люкс</v>
      </c>
      <c r="G1064" s="4" t="str">
        <f ca="1">IFERROR(__xludf.DUMMYFUNCTION("TEXTJOIN(""|"",TRUE,UNIQUE(FILTER(SPLIT(F1064,"" ""),LEN(SPLIT(F1064,""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I1064" s="1"/>
      <c r="J1064" s="1"/>
    </row>
    <row r="1065" spans="1:10" x14ac:dyDescent="0.2">
      <c r="A1065" s="8" t="s">
        <v>479</v>
      </c>
      <c r="B1065" s="7" t="s">
        <v>478</v>
      </c>
      <c r="C1065" s="7" t="s">
        <v>467</v>
      </c>
      <c r="D1065" s="6">
        <v>14400</v>
      </c>
      <c r="E1065" s="5">
        <v>4</v>
      </c>
      <c r="F1065" s="4" t="str">
        <f ca="1">IFERROR(__xludf.DUMMYFUNCTION("LOWER(REGEXREPLACE(B1065&amp;"" ""&amp;C1065,""[^а-яa-z0-9 ]"","" ""))")," едро 18л  бъем 18 л  атериал     плластик  ип  едро без крышки  орма  рямоугольная")</f>
        <v xml:space="preserve"> едро 18л  бъем 18 л  атериал     плластик  ип  едро без крышки  орма  рямоугольная</v>
      </c>
      <c r="G1065" s="4" t="str">
        <f ca="1">IFERROR(__xludf.DUMMYFUNCTION("TEXTJOIN(""|"",TRUE,UNIQUE(FILTER(SPLIT(F1065,"" ""),LEN(SPLIT(F1065,"" ""))&gt;2)))"),"едро|18л|бъем|атериал|плластик|едро|без|крышки|орма|рямоугольная")</f>
        <v>едро|18л|бъем|атериал|плластик|едро|без|крышки|орма|рямоугольная</v>
      </c>
      <c r="I1065" s="1"/>
      <c r="J1065" s="1"/>
    </row>
    <row r="1066" spans="1:10" x14ac:dyDescent="0.2">
      <c r="A1066" s="8" t="s">
        <v>477</v>
      </c>
      <c r="B1066" s="7" t="s">
        <v>476</v>
      </c>
      <c r="C1066" s="7" t="s">
        <v>475</v>
      </c>
      <c r="D1066" s="6">
        <v>90000</v>
      </c>
      <c r="E1066" s="5">
        <v>6</v>
      </c>
      <c r="F1066" s="4" t="str">
        <f ca="1">IFERROR(__xludf.DUMMYFUNCTION("LOWER(REGEXREPLACE(B1066&amp;"" ""&amp;C1066,""[^а-яa-z0-9 ]"","" ""))")," вухвед рная тележка  атериа  ластик  аксимальная нагрузка на всю конструкцию 80 кг  оличество поворотных колес 4 шт  оличество ведер 2 шт")</f>
        <v xml:space="preserve"> вухвед рная тележка  атериа  ластик  аксимальная нагрузка на всю конструкцию 80 кг  оличество поворотных колес 4 шт  оличество ведер 2 шт</v>
      </c>
      <c r="G1066" s="4" t="str">
        <f ca="1">IFERROR(__xludf.DUMMYFUNCTION("TEXTJOIN(""|"",TRUE,UNIQUE(FILTER(SPLIT(F1066,"" ""),LEN(SPLIT(F1066,"" ""))&gt;2)))"),"вухвед|рная|тележка|атериа|ластик|аксимальная|нагрузка|всю|конструкцию|оличество|поворотных|колес|оличество|ведер")</f>
        <v>вухвед|рная|тележка|атериа|ластик|аксимальная|нагрузка|всю|конструкцию|оличество|поворотных|колес|оличество|ведер</v>
      </c>
      <c r="I1066" s="1"/>
      <c r="J1066" s="1"/>
    </row>
    <row r="1067" spans="1:10" x14ac:dyDescent="0.2">
      <c r="A1067" s="8" t="s">
        <v>474</v>
      </c>
      <c r="B1067" s="7" t="s">
        <v>473</v>
      </c>
      <c r="C1067" s="7" t="s">
        <v>458</v>
      </c>
      <c r="D1067" s="6">
        <v>18000</v>
      </c>
      <c r="E1067" s="5">
        <v>12</v>
      </c>
      <c r="F1067" s="4" t="str">
        <f ca="1">IFERROR(__xludf.DUMMYFUNCTION("LOWER(REGEXREPLACE(B1067&amp;"" ""&amp;C1067,""[^а-яa-z0-9 ]"","" ""))")," вабра с платформой  лина насадки 40см  ирина насадки 12 см  ысота насадки 1 5 см  лина ручки 130 см")</f>
        <v xml:space="preserve"> вабра с платформой  лина насадки 40см  ирина насадки 12 см  ысота насадки 1 5 см  лина ручки 130 см</v>
      </c>
      <c r="G1067" s="4" t="str">
        <f ca="1">IFERROR(__xludf.DUMMYFUNCTION("TEXTJOIN(""|"",TRUE,UNIQUE(FILTER(SPLIT(F1067,"" ""),LEN(SPLIT(F1067,"" ""))&gt;2)))"),"вабра|платформой|лина|насадки|40см|ирина|насадки|ысота|насадки|лина|ручки|130")</f>
        <v>вабра|платформой|лина|насадки|40см|ирина|насадки|ысота|насадки|лина|ручки|130</v>
      </c>
      <c r="I1067" s="1"/>
      <c r="J1067" s="1"/>
    </row>
    <row r="1068" spans="1:10" x14ac:dyDescent="0.2">
      <c r="A1068" s="8" t="s">
        <v>472</v>
      </c>
      <c r="B1068" s="7" t="s">
        <v>471</v>
      </c>
      <c r="C1068" s="7" t="s">
        <v>470</v>
      </c>
      <c r="D1068" s="6">
        <v>130200</v>
      </c>
      <c r="E1068" s="5">
        <v>3</v>
      </c>
      <c r="F1068" s="4" t="str">
        <f ca="1">IFERROR(__xludf.DUMMYFUNCTION("LOWER(REGEXREPLACE(B1068&amp;"" ""&amp;C1068,""[^а-яa-z0-9 ]"","" ""))")," каф металлический для одежды и инвентаря  каф           размер 1860 500 500 мм")</f>
        <v xml:space="preserve"> каф металлический для одежды и инвентаря  каф           размер 1860 500 500 мм</v>
      </c>
      <c r="G1068" s="4" t="str">
        <f ca="1">IFERROR(__xludf.DUMMYFUNCTION("TEXTJOIN(""|"",TRUE,UNIQUE(FILTER(SPLIT(F1068,"" ""),LEN(SPLIT(F1068,"" ""))&gt;2)))"),"каф|металлический|для|одежды|инвентаря|каф|размер|1860|500|500")</f>
        <v>каф|металлический|для|одежды|инвентаря|каф|размер|1860|500|500</v>
      </c>
      <c r="I1068" s="1"/>
      <c r="J1068" s="1"/>
    </row>
    <row r="1069" spans="1:10" x14ac:dyDescent="0.2">
      <c r="A1069" s="8" t="s">
        <v>469</v>
      </c>
      <c r="B1069" s="7" t="s">
        <v>468</v>
      </c>
      <c r="C1069" s="7" t="s">
        <v>467</v>
      </c>
      <c r="D1069" s="6">
        <v>14400</v>
      </c>
      <c r="E1069" s="5">
        <v>4</v>
      </c>
      <c r="F1069" s="4" t="str">
        <f ca="1">IFERROR(__xludf.DUMMYFUNCTION("LOWER(REGEXREPLACE(B1069&amp;"" ""&amp;C1069,""[^а-яa-z0-9 ]"","" ""))")," едро   бъем 18 л  атериал     плластик  ип  едро без крышки  орма  рямоугольная")</f>
        <v xml:space="preserve"> едро   бъем 18 л  атериал     плластик  ип  едро без крышки  орма  рямоугольная</v>
      </c>
      <c r="G1069" s="4" t="str">
        <f ca="1">IFERROR(__xludf.DUMMYFUNCTION("TEXTJOIN(""|"",TRUE,UNIQUE(FILTER(SPLIT(F1069,"" ""),LEN(SPLIT(F1069,"" ""))&gt;2)))"),"едро|бъем|атериал|плластик|едро|без|крышки|орма|рямоугольная")</f>
        <v>едро|бъем|атериал|плластик|едро|без|крышки|орма|рямоугольная</v>
      </c>
      <c r="I1069" s="1"/>
      <c r="J1069" s="1"/>
    </row>
    <row r="1070" spans="1:10" x14ac:dyDescent="0.2">
      <c r="A1070" s="8" t="s">
        <v>466</v>
      </c>
      <c r="B1070" s="7" t="s">
        <v>465</v>
      </c>
      <c r="C1070" s="7" t="s">
        <v>464</v>
      </c>
      <c r="D1070" s="6">
        <v>22500</v>
      </c>
      <c r="E1070" s="5">
        <v>20</v>
      </c>
      <c r="F1070" s="4" t="str">
        <f ca="1">IFERROR(__xludf.DUMMYFUNCTION("LOWER(REGEXREPLACE(B1070&amp;"" ""&amp;C1070,""[^а-яa-z0-9 ]"","" ""))")," еркало  ирина  см  55  ысота  см  80  одсветка нет")</f>
        <v xml:space="preserve"> еркало  ирина  см  55  ысота  см  80  одсветка нет</v>
      </c>
      <c r="G1070" s="4" t="str">
        <f ca="1">IFERROR(__xludf.DUMMYFUNCTION("TEXTJOIN(""|"",TRUE,UNIQUE(FILTER(SPLIT(F1070,"" ""),LEN(SPLIT(F1070,"" ""))&gt;2)))"),"еркало|ирина|ысота|одсветка|нет")</f>
        <v>еркало|ирина|ысота|одсветка|нет</v>
      </c>
      <c r="I1070" s="1"/>
      <c r="J1070" s="1"/>
    </row>
    <row r="1071" spans="1:10" x14ac:dyDescent="0.2">
      <c r="A1071" s="8" t="s">
        <v>463</v>
      </c>
      <c r="B1071" s="7" t="s">
        <v>462</v>
      </c>
      <c r="C1071" s="7" t="s">
        <v>461</v>
      </c>
      <c r="D1071" s="6">
        <v>8800</v>
      </c>
      <c r="E1071" s="5">
        <v>432</v>
      </c>
      <c r="F1071" s="4" t="str">
        <f ca="1">IFERROR(__xludf.DUMMYFUNCTION("LOWER(REGEXREPLACE(B1071&amp;"" ""&amp;C1071,""[^а-яa-z0-9 ]"","" ""))")," рючки  рючки для хранения полотенец  фартуков   атериал крючка    плав металлов")</f>
        <v xml:space="preserve"> рючки  рючки для хранения полотенец  фартуков   атериал крючка    плав металлов</v>
      </c>
      <c r="G1071" s="4" t="str">
        <f ca="1">IFERROR(__xludf.DUMMYFUNCTION("TEXTJOIN(""|"",TRUE,UNIQUE(FILTER(SPLIT(F1071,"" ""),LEN(SPLIT(F1071,"" ""))&gt;2)))"),"рючки|рючки|для|хранения|полотенец|фартуков|атериал|крючка|плав|металлов")</f>
        <v>рючки|рючки|для|хранения|полотенец|фартуков|атериал|крючка|плав|металлов</v>
      </c>
      <c r="I1071" s="1"/>
      <c r="J1071" s="1"/>
    </row>
    <row r="1072" spans="1:10" x14ac:dyDescent="0.2">
      <c r="A1072" s="8" t="s">
        <v>460</v>
      </c>
      <c r="B1072" s="7" t="s">
        <v>459</v>
      </c>
      <c r="C1072" s="7" t="s">
        <v>458</v>
      </c>
      <c r="D1072" s="6">
        <v>18000</v>
      </c>
      <c r="E1072" s="5">
        <v>4</v>
      </c>
      <c r="F1072" s="4" t="str">
        <f ca="1">IFERROR(__xludf.DUMMYFUNCTION("LOWER(REGEXREPLACE(B1072&amp;"" ""&amp;C1072,""[^а-яa-z0-9 ]"","" ""))")," вабра  лина насадки 40см  ирина насадки 12 см  ысота насадки 1 5 см  лина ручки 130 см")</f>
        <v xml:space="preserve"> вабра  лина насадки 40см  ирина насадки 12 см  ысота насадки 1 5 см  лина ручки 130 см</v>
      </c>
      <c r="G1072" s="4" t="str">
        <f ca="1">IFERROR(__xludf.DUMMYFUNCTION("TEXTJOIN(""|"",TRUE,UNIQUE(FILTER(SPLIT(F1072,"" ""),LEN(SPLIT(F1072,"" ""))&gt;2)))"),"вабра|лина|насадки|40см|ирина|насадки|ысота|насадки|лина|ручки|130")</f>
        <v>вабра|лина|насадки|40см|ирина|насадки|ысота|насадки|лина|ручки|130</v>
      </c>
      <c r="I1072" s="1"/>
      <c r="J1072" s="1"/>
    </row>
    <row r="1073" spans="1:10" x14ac:dyDescent="0.2">
      <c r="A1073" s="8" t="s">
        <v>457</v>
      </c>
      <c r="B1073" s="7" t="s">
        <v>456</v>
      </c>
      <c r="C1073" s="7" t="s">
        <v>455</v>
      </c>
      <c r="D1073" s="6">
        <v>136500</v>
      </c>
      <c r="E1073" s="5">
        <v>1</v>
      </c>
      <c r="F1073" s="4" t="str">
        <f ca="1">IFERROR(__xludf.DUMMYFUNCTION("LOWER(REGEXREPLACE(B1073&amp;"" ""&amp;C1073,""[^а-яa-z0-9 ]"","" ""))")," ресло руководителя  ресло    888 кзам     подл пл 818 1 кзам  крест пл d680 м п  кол   ")</f>
        <v xml:space="preserve"> ресло руководителя  ресло    888 кзам     подл пл 818 1 кзам  крест пл d680 м п  кол   </v>
      </c>
      <c r="G1073" s="4" t="str">
        <f ca="1">IFERROR(__xludf.DUMMYFUNCTION("TEXTJOIN(""|"",TRUE,UNIQUE(FILTER(SPLIT(F1073,"" ""),LEN(SPLIT(F1073,"" ""))&gt;2)))"),"ресло|руководителя|ресло|888|кзам|подл|818|кзам|крест|d680|кол")</f>
        <v>ресло|руководителя|ресло|888|кзам|подл|818|кзам|крест|d680|кол</v>
      </c>
      <c r="I1073" s="1"/>
      <c r="J1073" s="1"/>
    </row>
    <row r="1074" spans="1:10" x14ac:dyDescent="0.2">
      <c r="A1074" s="8" t="s">
        <v>454</v>
      </c>
      <c r="B1074" s="7" t="s">
        <v>453</v>
      </c>
      <c r="C1074" s="9" t="s">
        <v>452</v>
      </c>
      <c r="D1074" s="6">
        <v>4949</v>
      </c>
      <c r="E1074" s="5">
        <v>33</v>
      </c>
      <c r="F1074" s="4" t="str">
        <f ca="1">IFERROR(__xludf.DUMMYFUNCTION("LOWER(REGEXREPLACE(B1074&amp;"" ""&amp;C1074,""[^а-яa-z0-9 ]"","" ""))"),"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f>
        <v xml:space="preserve">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v>
      </c>
      <c r="G1074" s="4" t="str">
        <f ca="1">IFERROR(__xludf.DUMMYFUNCTION("TEXTJOIN(""|"",TRUE,UNIQUE(FILTER(SPLIT(F1074,"" ""),LEN(SPLIT(F1074,"" ""))&gt;2)))"),"испенсер|для|бумажных|полотенец|испенсер|для|бумажных|полотенец|типа|ialli|атериал|пластик|укладка|открывается|ключом|небольшое|окошко|для|контроля|заполнения")</f>
        <v>испенсер|для|бумажных|полотенец|испенсер|для|бумажных|полотенец|типа|ialli|атериал|пластик|укладка|открывается|ключом|небольшое|окошко|для|контроля|заполнения</v>
      </c>
      <c r="I1074" s="1"/>
      <c r="J1074" s="1"/>
    </row>
    <row r="1075" spans="1:10" x14ac:dyDescent="0.2">
      <c r="A1075" s="8" t="s">
        <v>451</v>
      </c>
      <c r="B1075" s="7" t="s">
        <v>450</v>
      </c>
      <c r="C1075" s="9" t="s">
        <v>449</v>
      </c>
      <c r="D1075" s="6">
        <v>8905</v>
      </c>
      <c r="E1075" s="5">
        <v>63</v>
      </c>
      <c r="F1075" s="4" t="str">
        <f ca="1">IFERROR(__xludf.DUMMYFUNCTION("LOWER(REGEXREPLACE(B1075&amp;"" ""&amp;C1075,""[^а-яa-z0-9 ]"","" ""))"),"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f>
        <v xml:space="preserve">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v>
      </c>
      <c r="G1075" s="4" t="str">
        <f ca="1">IFERROR(__xludf.DUMMYFUNCTION("TEXTJOIN(""|"",TRUE,UNIQUE(FILTER(SPLIT(F1075,"" ""),LEN(SPLIT(F1075,"" ""))&gt;2)))"),"испенсер|антивандальный|для|туалетной|бумаги|испенсер|для|туалетной|бумаги|рулонах|типа|umbo|атериал|пластик|ручная|подача|открывается|помощью|ключа")</f>
        <v>испенсер|антивандальный|для|туалетной|бумаги|испенсер|для|туалетной|бумаги|рулонах|типа|umbo|атериал|пластик|ручная|подача|открывается|помощью|ключа</v>
      </c>
      <c r="I1075" s="1"/>
      <c r="J1075" s="1"/>
    </row>
    <row r="1076" spans="1:10" x14ac:dyDescent="0.2">
      <c r="A1076" s="8" t="s">
        <v>448</v>
      </c>
      <c r="B1076" s="7" t="s">
        <v>447</v>
      </c>
      <c r="C1076" s="7" t="s">
        <v>446</v>
      </c>
      <c r="D1076" s="6">
        <v>94500</v>
      </c>
      <c r="E1076" s="5">
        <v>42</v>
      </c>
      <c r="F1076" s="4" t="str">
        <f ca="1">IFERROR(__xludf.DUMMYFUNCTION("LOWER(REGEXREPLACE(B1076&amp;"" ""&amp;C1076,""[^а-яa-z0-9 ]"","" ""))"),"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устойчива"&amp;"я  с безопасно обработанными кромками  подходит для ежедневного использования ")</f>
        <v xml:space="preserve">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v>
      </c>
      <c r="G1076" s="4" t="str">
        <f ca="1">IFERROR(__xludf.DUMMYFUNCTION("TEXTJOIN(""|"",TRUE,UNIQUE(FILTER(SPLIT(F1076,"" ""),LEN(SPLIT(F1076,""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amp;"жедн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v>
      </c>
      <c r="I1076" s="1"/>
      <c r="J1076" s="1"/>
    </row>
    <row r="1077" spans="1:10" x14ac:dyDescent="0.2">
      <c r="A1077" s="8" t="s">
        <v>445</v>
      </c>
      <c r="B1077" s="7" t="s">
        <v>444</v>
      </c>
      <c r="C1077" s="7" t="s">
        <v>443</v>
      </c>
      <c r="D1077" s="6">
        <v>94500</v>
      </c>
      <c r="E1077" s="5">
        <v>31</v>
      </c>
      <c r="F1077" s="4" t="str">
        <f ca="1">IFERROR(__xludf.DUMMYFUNCTION("LOWER(REGEXREPLACE(B1077&amp;"" ""&amp;C1077,""[^а-яa-z0-9 ]"","" ""))"),"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усто"&amp;"йчивая  с безопасно обработанными кромками  подходит для ежедневного использования ")</f>
        <v xml:space="preserve">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v>
      </c>
      <c r="G1077" s="4" t="str">
        <f ca="1">IFERROR(__xludf.DUMMYFUNCTION("TEXTJOIN(""|"",TRUE,UNIQUE(FILTER(SPLIT(F1077,"" ""),LEN(SPLIT(F1077,""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amp;"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v>
      </c>
      <c r="I1077" s="1"/>
      <c r="J1077" s="1"/>
    </row>
    <row r="1078" spans="1:10" x14ac:dyDescent="0.2">
      <c r="A1078" s="8" t="s">
        <v>442</v>
      </c>
      <c r="B1078" s="8" t="s">
        <v>441</v>
      </c>
      <c r="C1078" s="7" t="s">
        <v>440</v>
      </c>
      <c r="D1078" s="6">
        <v>9000</v>
      </c>
      <c r="E1078" s="5">
        <v>190</v>
      </c>
      <c r="F1078" s="4" t="str">
        <f ca="1">IFERROR(__xludf.DUMMYFUNCTION("LOWER(REGEXREPLACE(B1078&amp;"" ""&amp;C1078,""[^а-яa-z0-9 ]"","" ""))")," ягкая подушка  абор подушек для создания мягкой зоны  размер 30х30см")</f>
        <v xml:space="preserve"> ягкая подушка  абор подушек для создания мягкой зоны  размер 30х30см</v>
      </c>
      <c r="G1078" s="4" t="str">
        <f ca="1">IFERROR(__xludf.DUMMYFUNCTION("TEXTJOIN(""|"",TRUE,UNIQUE(FILTER(SPLIT(F1078,"" ""),LEN(SPLIT(F1078,"" ""))&gt;2)))"),"ягкая|подушка|абор|подушек|для|создания|мягкой|зоны|размер|30х30см")</f>
        <v>ягкая|подушка|абор|подушек|для|создания|мягкой|зоны|размер|30х30см</v>
      </c>
      <c r="I1078" s="1"/>
      <c r="J1078" s="1"/>
    </row>
    <row r="1079" spans="1:10" x14ac:dyDescent="0.2">
      <c r="A1079" s="8" t="s">
        <v>439</v>
      </c>
      <c r="B1079" s="8" t="s">
        <v>438</v>
      </c>
      <c r="C1079" s="9" t="s">
        <v>437</v>
      </c>
      <c r="D1079" s="6">
        <v>30343</v>
      </c>
      <c r="E1079" s="5">
        <v>78</v>
      </c>
      <c r="F1079" s="4" t="str">
        <f ca="1">IFERROR(__xludf.DUMMYFUNCTION("LOWER(REGEXREPLACE(B1079&amp;"" ""&amp;C1079,""[^а-яa-z0-9 ]"","" ""))")," камья детская узкая  камья деревянная на металлической основе 1500х300х450 мм")</f>
        <v xml:space="preserve"> камья детская узкая  камья деревянная на металлической основе 1500х300х450 мм</v>
      </c>
      <c r="G1079" s="4" t="str">
        <f ca="1">IFERROR(__xludf.DUMMYFUNCTION("TEXTJOIN(""|"",TRUE,UNIQUE(FILTER(SPLIT(F1079,"" ""),LEN(SPLIT(F1079,"" ""))&gt;2)))"),"камья|детская|узкая|камья|деревянная|металлической|основе|1500х300х450")</f>
        <v>камья|детская|узкая|камья|деревянная|металлической|основе|1500х300х450</v>
      </c>
      <c r="I1079" s="1"/>
      <c r="J1079" s="1"/>
    </row>
    <row r="1080" spans="1:10" x14ac:dyDescent="0.2">
      <c r="A1080" s="8" t="s">
        <v>436</v>
      </c>
      <c r="B1080" s="7" t="s">
        <v>435</v>
      </c>
      <c r="C1080" s="7" t="s">
        <v>434</v>
      </c>
      <c r="D1080" s="6">
        <v>327600</v>
      </c>
      <c r="E1080" s="5">
        <v>1</v>
      </c>
      <c r="F1080" s="4" t="str">
        <f ca="1">IFERROR(__xludf.DUMMYFUNCTION("LOWER(REGEXREPLACE(B1080&amp;"" ""&amp;C1080,""[^а-яa-z0-9 ]"","" ""))"),"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"&amp;"эмоционального напряжения ")</f>
        <v xml:space="preserve">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v>
      </c>
      <c r="G1080" s="4" t="str">
        <f ca="1">IFERROR(__xludf.DUMMYFUNCTION("TEXTJOIN(""|"",TRUE,UNIQUE(FILTER(SPLIT(F1080,"" ""),LEN(SPLIT(F1080,"" ""))&gt;2)))"),"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amp;"ряжения")</f>
        <v>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v>
      </c>
      <c r="I1080" s="1"/>
      <c r="J1080" s="1"/>
    </row>
    <row r="1081" spans="1:10" x14ac:dyDescent="0.2">
      <c r="A1081" s="8" t="s">
        <v>433</v>
      </c>
      <c r="B1081" s="8" t="s">
        <v>432</v>
      </c>
      <c r="C1081" s="7" t="s">
        <v>431</v>
      </c>
      <c r="D1081" s="6">
        <v>157500</v>
      </c>
      <c r="E1081" s="5">
        <v>16</v>
      </c>
      <c r="F1081" s="4" t="str">
        <f ca="1">IFERROR(__xludf.DUMMYFUNCTION("LOWER(REGEXREPLACE(B1081&amp;"" ""&amp;C1081,""[^а-яa-z0-9 ]"","" ""))")," авесной шкаф  каф навесной  двухстворчатый  распашной   атериал              азмеры  800х300х720мм")</f>
        <v xml:space="preserve"> авесной шкаф  каф навесной  двухстворчатый  распашной   атериал              азмеры  800х300х720мм</v>
      </c>
      <c r="G1081" s="4" t="str">
        <f ca="1">IFERROR(__xludf.DUMMYFUNCTION("TEXTJOIN(""|"",TRUE,UNIQUE(FILTER(SPLIT(F1081,"" ""),LEN(SPLIT(F1081,"" ""))&gt;2)))"),"авесной|шкаф|каф|навесной|двухстворчатый|распашной|атериал|азмеры|800х300х720мм")</f>
        <v>авесной|шкаф|каф|навесной|двухстворчатый|распашной|атериал|азмеры|800х300х720мм</v>
      </c>
      <c r="I1081" s="1"/>
      <c r="J1081" s="1"/>
    </row>
    <row r="1082" spans="1:10" x14ac:dyDescent="0.2">
      <c r="A1082" s="8" t="s">
        <v>430</v>
      </c>
      <c r="B1082" s="7" t="s">
        <v>429</v>
      </c>
      <c r="C1082" s="7" t="s">
        <v>428</v>
      </c>
      <c r="D1082" s="6">
        <v>199500</v>
      </c>
      <c r="E1082" s="5">
        <v>2</v>
      </c>
      <c r="F1082" s="4" t="str">
        <f ca="1">IFERROR(__xludf.DUMMYFUNCTION("LOWER(REGEXREPLACE(B1082&amp;"" ""&amp;C1082,""[^а-яa-z0-9 ]"","" ""))")," иван   иван  uick  ab  lim  ofa  лина  1900 мм  ширина  800 мм  высота  850 мм  ")</f>
        <v xml:space="preserve"> иван   иван  uick  ab  lim  ofa  лина  1900 мм  ширина  800 мм  высота  850 мм  </v>
      </c>
      <c r="G1082" s="4" t="str">
        <f ca="1">IFERROR(__xludf.DUMMYFUNCTION("TEXTJOIN(""|"",TRUE,UNIQUE(FILTER(SPLIT(F1082,"" ""),LEN(SPLIT(F1082,"" ""))&gt;2)))"),"иван|иван|uick|lim|ofa|лина|1900|ширина|800|высота|850")</f>
        <v>иван|иван|uick|lim|ofa|лина|1900|ширина|800|высота|850</v>
      </c>
      <c r="I1082" s="1"/>
      <c r="J1082" s="1"/>
    </row>
    <row r="1083" spans="1:10" x14ac:dyDescent="0.2">
      <c r="A1083" s="8" t="s">
        <v>427</v>
      </c>
      <c r="B1083" s="8" t="s">
        <v>426</v>
      </c>
      <c r="C1083" s="7" t="s">
        <v>425</v>
      </c>
      <c r="D1083" s="6">
        <v>735000</v>
      </c>
      <c r="E1083" s="5">
        <v>1</v>
      </c>
      <c r="F1083" s="4" t="str">
        <f ca="1">IFERROR(__xludf.DUMMYFUNCTION("LOWER(REGEXREPLACE(B1083&amp;"" ""&amp;C1083,""[^а-яa-z0-9 ]"","" ""))")," иван руководителя  ирина  мм 1480  лубина  мм 820  ысота  мм 670")</f>
        <v xml:space="preserve"> иван руководителя  ирина  мм 1480  лубина  мм 820  ысота  мм 670</v>
      </c>
      <c r="G1083" s="4" t="str">
        <f ca="1">IFERROR(__xludf.DUMMYFUNCTION("TEXTJOIN(""|"",TRUE,UNIQUE(FILTER(SPLIT(F1083,"" ""),LEN(SPLIT(F1083,"" ""))&gt;2)))"),"иван|руководителя|ирина|1480|лубина|820|ысота|670")</f>
        <v>иван|руководителя|ирина|1480|лубина|820|ысота|670</v>
      </c>
      <c r="I1083" s="1"/>
      <c r="J1083" s="1"/>
    </row>
    <row r="1084" spans="1:10" x14ac:dyDescent="0.2">
      <c r="A1084" s="8" t="s">
        <v>424</v>
      </c>
      <c r="B1084" s="8" t="s">
        <v>423</v>
      </c>
      <c r="C1084" s="7" t="s">
        <v>422</v>
      </c>
      <c r="D1084" s="6">
        <v>42000</v>
      </c>
      <c r="E1084" s="5">
        <v>202</v>
      </c>
      <c r="F1084" s="4" t="str">
        <f ca="1">IFERROR(__xludf.DUMMYFUNCTION("LOWER(REGEXREPLACE(B1084&amp;"" ""&amp;C1084,""[^а-яa-z0-9 ]"","" ""))")," етский стул с спинкой  2 3 лет   етский стул со спинкой для 3 лет  260 200 550 250 мм")</f>
        <v xml:space="preserve"> етский стул с спинкой  2 3 лет   етский стул со спинкой для 3 лет  260 200 550 250 мм</v>
      </c>
      <c r="G1084" s="4" t="str">
        <f ca="1">IFERROR(__xludf.DUMMYFUNCTION("TEXTJOIN(""|"",TRUE,UNIQUE(FILTER(SPLIT(F1084,"" ""),LEN(SPLIT(F1084,"" ""))&gt;2)))"),"етский|стул|спинкой|лет|етский|стул|спинкой|для|лет|260|200|550|250")</f>
        <v>етский|стул|спинкой|лет|етский|стул|спинкой|для|лет|260|200|550|250</v>
      </c>
      <c r="I1084" s="1"/>
      <c r="J1084" s="1"/>
    </row>
    <row r="1085" spans="1:10" x14ac:dyDescent="0.2">
      <c r="A1085" s="8" t="s">
        <v>421</v>
      </c>
      <c r="B1085" s="8" t="s">
        <v>420</v>
      </c>
      <c r="C1085" s="7" t="s">
        <v>419</v>
      </c>
      <c r="D1085" s="6">
        <v>42000</v>
      </c>
      <c r="E1085" s="5">
        <v>194</v>
      </c>
      <c r="F1085" s="4" t="str">
        <f ca="1">IFERROR(__xludf.DUMMYFUNCTION("LOWER(REGEXREPLACE(B1085&amp;"" ""&amp;C1085,""[^а-яa-z0-9 ]"","" ""))")," етский стул с спинкой  4  лет   етский стул со спинкой для 4   300 220 590 270")</f>
        <v xml:space="preserve"> етский стул с спинкой  4  лет   етский стул со спинкой для 4   300 220 590 270</v>
      </c>
      <c r="G1085" s="4" t="str">
        <f ca="1">IFERROR(__xludf.DUMMYFUNCTION("TEXTJOIN(""|"",TRUE,UNIQUE(FILTER(SPLIT(F1085,"" ""),LEN(SPLIT(F1085,"" ""))&gt;2)))"),"етский|стул|спинкой|лет|етский|стул|спинкой|для|300|220|590|270")</f>
        <v>етский|стул|спинкой|лет|етский|стул|спинкой|для|300|220|590|270</v>
      </c>
      <c r="I1085" s="1"/>
      <c r="J1085" s="1"/>
    </row>
    <row r="1086" spans="1:10" x14ac:dyDescent="0.2">
      <c r="A1086" s="8" t="s">
        <v>418</v>
      </c>
      <c r="B1086" s="8" t="s">
        <v>417</v>
      </c>
      <c r="C1086" s="7" t="s">
        <v>416</v>
      </c>
      <c r="D1086" s="6">
        <v>157500</v>
      </c>
      <c r="E1086" s="5">
        <v>3</v>
      </c>
      <c r="F1086" s="4" t="str">
        <f ca="1">IFERROR(__xludf.DUMMYFUNCTION("LOWER(REGEXREPLACE(B1086&amp;"" ""&amp;C1086,""[^а-яa-z0-9 ]"","" ""))")," ардеробная вешалка  ирина 109 см  ысота 179 см  лубина 74 см  атериал  еталл")</f>
        <v xml:space="preserve"> ардеробная вешалка  ирина 109 см  ысота 179 см  лубина 74 см  атериал  еталл</v>
      </c>
      <c r="G1086" s="4" t="str">
        <f ca="1">IFERROR(__xludf.DUMMYFUNCTION("TEXTJOIN(""|"",TRUE,UNIQUE(FILTER(SPLIT(F1086,"" ""),LEN(SPLIT(F1086,"" ""))&gt;2)))"),"ардеробная|вешалка|ирина|109|ысота|179|лубина|атериал|еталл")</f>
        <v>ардеробная|вешалка|ирина|109|ысота|179|лубина|атериал|еталл</v>
      </c>
      <c r="I1086" s="1"/>
      <c r="J1086" s="1"/>
    </row>
    <row r="1087" spans="1:10" x14ac:dyDescent="0.2">
      <c r="A1087" s="8" t="s">
        <v>415</v>
      </c>
      <c r="B1087" s="7" t="s">
        <v>414</v>
      </c>
      <c r="C1087" s="7" t="s">
        <v>413</v>
      </c>
      <c r="D1087" s="6">
        <v>13600</v>
      </c>
      <c r="E1087" s="5">
        <v>5</v>
      </c>
      <c r="F1087" s="4" t="str">
        <f ca="1">IFERROR(__xludf.DUMMYFUNCTION("LOWER(REGEXREPLACE(B1087&amp;"" ""&amp;C1087,""[^а-яa-z0-9 ]"","" ""))")," ровать  гровая или декоративная кровать с комплектом текстильных элементов   спользуется в сюжетно ролевых играх ")</f>
        <v xml:space="preserve"> ровать  гровая или декоративная кровать с комплектом текстильных элементов   спользуется в сюжетно ролевых играх </v>
      </c>
      <c r="G1087" s="4" t="str">
        <f ca="1">IFERROR(__xludf.DUMMYFUNCTION("TEXTJOIN(""|"",TRUE,UNIQUE(FILTER(SPLIT(F1087,"" ""),LEN(SPLIT(F1087,"" ""))&gt;2)))"),"ровать|гровая|или|декоративная|кровать|комплектом|текстильных|элементов|спользуется|сюжетно|ролевых|играх")</f>
        <v>ровать|гровая|или|декоративная|кровать|комплектом|текстильных|элементов|спользуется|сюжетно|ролевых|играх</v>
      </c>
      <c r="I1087" s="1"/>
      <c r="J1087" s="1"/>
    </row>
    <row r="1088" spans="1:10" x14ac:dyDescent="0.2">
      <c r="A1088" s="8" t="s">
        <v>412</v>
      </c>
      <c r="B1088" s="8" t="s">
        <v>411</v>
      </c>
      <c r="C1088" s="7" t="s">
        <v>410</v>
      </c>
      <c r="D1088" s="6">
        <v>420000</v>
      </c>
      <c r="E1088" s="5">
        <v>1</v>
      </c>
      <c r="F1088" s="4" t="str">
        <f ca="1">IFERROR(__xludf.DUMMYFUNCTION("LOWER(REGEXREPLACE(B1088&amp;"" ""&amp;C1088,""[^а-яa-z0-9 ]"","" ""))")," тойка ресепшен  тойка ресепшен прямая   азмеры   ирина  1640 мм   лубина  510 мм   ысота  1150 мм")</f>
        <v xml:space="preserve"> тойка ресепшен  тойка ресепшен прямая   азмеры   ирина  1640 мм   лубина  510 мм   ысота  1150 мм</v>
      </c>
      <c r="G1088" s="4" t="str">
        <f ca="1">IFERROR(__xludf.DUMMYFUNCTION("TEXTJOIN(""|"",TRUE,UNIQUE(FILTER(SPLIT(F1088,"" ""),LEN(SPLIT(F1088,"" ""))&gt;2)))"),"тойка|ресепшен|тойка|ресепшен|прямая|азмеры|ирина|1640|лубина|510|ысота|1150")</f>
        <v>тойка|ресепшен|тойка|ресепшен|прямая|азмеры|ирина|1640|лубина|510|ысота|1150</v>
      </c>
      <c r="I1088" s="1"/>
      <c r="J1088" s="1"/>
    </row>
    <row r="1089" spans="1:10" x14ac:dyDescent="0.2">
      <c r="A1089" s="8" t="s">
        <v>409</v>
      </c>
      <c r="B1089" s="8" t="s">
        <v>408</v>
      </c>
      <c r="C1089" s="7" t="s">
        <v>407</v>
      </c>
      <c r="D1089" s="6">
        <v>6300000</v>
      </c>
      <c r="E1089" s="5">
        <v>1</v>
      </c>
      <c r="F1089" s="4" t="str">
        <f ca="1">IFERROR(__xludf.DUMMYFUNCTION("LOWER(REGEXREPLACE(B1089&amp;"" ""&amp;C1089,""[^а-яa-z0-9 ]"","" ""))")," ценический занавес и карниз  истема горизонтального раздвижного занавеса с электроприводом с пультом дистанционного управления ")</f>
        <v xml:space="preserve"> ценический занавес и карниз  истема горизонтального раздвижного занавеса с электроприводом с пультом дистанционного управления </v>
      </c>
      <c r="G1089" s="4" t="str">
        <f ca="1">IFERROR(__xludf.DUMMYFUNCTION("TEXTJOIN(""|"",TRUE,UNIQUE(FILTER(SPLIT(F1089,"" ""),LEN(SPLIT(F1089,"" ""))&gt;2)))"),"ценический|занавес|карниз|истема|горизонтального|раздвижного|занавеса|электроприводом|пультом|дистанционного|управления")</f>
        <v>ценический|занавес|карниз|истема|горизонтального|раздвижного|занавеса|электроприводом|пультом|дистанционного|управления</v>
      </c>
      <c r="I1089" s="1"/>
      <c r="J1089" s="1"/>
    </row>
    <row r="1090" spans="1:10" x14ac:dyDescent="0.2">
      <c r="A1090" s="8" t="s">
        <v>406</v>
      </c>
      <c r="B1090" s="8" t="s">
        <v>405</v>
      </c>
      <c r="C1090" s="7" t="s">
        <v>404</v>
      </c>
      <c r="D1090" s="6">
        <v>283500</v>
      </c>
      <c r="E1090" s="5">
        <v>1</v>
      </c>
      <c r="F1090" s="4" t="str">
        <f ca="1">IFERROR(__xludf.DUMMYFUNCTION("LOWER(REGEXREPLACE(B1090&amp;"" ""&amp;C1090,""[^а-яa-z0-9 ]"","" ""))")," иван  мягкий   иван  мягкий   3 х местный  с подлокотниками")</f>
        <v xml:space="preserve"> иван  мягкий   иван  мягкий   3 х местный  с подлокотниками</v>
      </c>
      <c r="G1090" s="4" t="str">
        <f ca="1">IFERROR(__xludf.DUMMYFUNCTION("TEXTJOIN(""|"",TRUE,UNIQUE(FILTER(SPLIT(F1090,"" ""),LEN(SPLIT(F1090,"" ""))&gt;2)))"),"иван|мягкий|иван|мягкий|местный|подлокотниками")</f>
        <v>иван|мягкий|иван|мягкий|местный|подлокотниками</v>
      </c>
      <c r="I1090" s="1"/>
      <c r="J1090" s="1"/>
    </row>
    <row r="1091" spans="1:10" x14ac:dyDescent="0.2">
      <c r="A1091" s="8" t="s">
        <v>403</v>
      </c>
      <c r="B1091" s="7" t="s">
        <v>402</v>
      </c>
      <c r="C1091" s="7" t="s">
        <v>401</v>
      </c>
      <c r="D1091" s="6">
        <v>2850000</v>
      </c>
      <c r="E1091" s="5">
        <v>1</v>
      </c>
      <c r="F1091" s="4" t="str">
        <f ca="1">IFERROR(__xludf.DUMMYFUNCTION("LOWER(REGEXREPLACE(B1091&amp;"" ""&amp;C1091,""[^а-яa-z0-9 ]"","" ""))")," ардеробная на 70 мест  ардеробный шкаф для верхней одежды  азмеры  ширина 2 2 м  длина 3 3 м  высота 1 8м   асстояние между крючками  330мм")</f>
        <v xml:space="preserve"> ардеробная на 70 мест  ардеробный шкаф для верхней одежды  азмеры  ширина 2 2 м  длина 3 3 м  высота 1 8м   асстояние между крючками  330мм</v>
      </c>
      <c r="G1091" s="4" t="str">
        <f ca="1">IFERROR(__xludf.DUMMYFUNCTION("TEXTJOIN(""|"",TRUE,UNIQUE(FILTER(SPLIT(F1091,"" ""),LEN(SPLIT(F1091,"" ""))&gt;2)))"),"ардеробная|мест|ардеробный|шкаф|для|верхней|одежды|азмеры|ширина|длина|высота|асстояние|между|крючками|330мм")</f>
        <v>ардеробная|мест|ардеробный|шкаф|для|верхней|одежды|азмеры|ширина|длина|высота|асстояние|между|крючками|330мм</v>
      </c>
      <c r="I1091" s="1"/>
      <c r="J1091" s="1"/>
    </row>
    <row r="1092" spans="1:10" x14ac:dyDescent="0.2">
      <c r="A1092" s="8" t="s">
        <v>400</v>
      </c>
      <c r="B1092" s="7" t="s">
        <v>399</v>
      </c>
      <c r="C1092" s="7" t="s">
        <v>398</v>
      </c>
      <c r="D1092" s="6">
        <v>850000</v>
      </c>
      <c r="E1092" s="5">
        <v>1</v>
      </c>
      <c r="F1092" s="4" t="str">
        <f ca="1">IFERROR(__xludf.DUMMYFUNCTION("LOWER(REGEXREPLACE(B1092&amp;"" ""&amp;C1092,""[^а-яa-z0-9 ]"","" ""))")," осударственная символика  тенд объемный настенный                ")</f>
        <v xml:space="preserve"> осударственная символика  тенд объемный настенный                </v>
      </c>
      <c r="G1092" s="4" t="str">
        <f ca="1">IFERROR(__xludf.DUMMYFUNCTION("TEXTJOIN(""|"",TRUE,UNIQUE(FILTER(SPLIT(F1092,"" ""),LEN(SPLIT(F1092,"" ""))&gt;2)))"),"осударственная|символика|тенд|объемный|настенный")</f>
        <v>осударственная|символика|тенд|объемный|настенный</v>
      </c>
      <c r="I1092" s="1"/>
      <c r="J1092" s="1"/>
    </row>
    <row r="1093" spans="1:10" x14ac:dyDescent="0.2">
      <c r="A1093" s="10" t="s">
        <v>397</v>
      </c>
      <c r="B1093" s="8" t="s">
        <v>396</v>
      </c>
      <c r="C1093" s="9" t="s">
        <v>395</v>
      </c>
      <c r="D1093" s="6">
        <v>30809</v>
      </c>
      <c r="E1093" s="5">
        <v>320</v>
      </c>
      <c r="F1093" s="4" t="str">
        <f ca="1">IFERROR(__xludf.DUMMYFUNCTION("LOWER(REGEXREPLACE(B1093&amp;"" ""&amp;C1093,""[^а-яa-z0-9 ]"","" ""))")," ровать для сна  группы 3    ровать детская односпальная  размеры 1400х600х450мм       16мм  без острых углов")</f>
        <v xml:space="preserve"> ровать для сна  группы 3    ровать детская односпальная  размеры 1400х600х450мм       16мм  без острых углов</v>
      </c>
      <c r="G1093" s="4" t="str">
        <f ca="1">IFERROR(__xludf.DUMMYFUNCTION("TEXTJOIN(""|"",TRUE,UNIQUE(FILTER(SPLIT(F1093,"" ""),LEN(SPLIT(F1093,"" ""))&gt;2)))"),"ровать|для|сна|группы|ровать|детская|односпальная|размеры|1400х600х450мм|16мм|без|острых|углов")</f>
        <v>ровать|для|сна|группы|ровать|детская|односпальная|размеры|1400х600х450мм|16мм|без|острых|углов</v>
      </c>
      <c r="I1093" s="1"/>
      <c r="J1093" s="1"/>
    </row>
    <row r="1094" spans="1:10" x14ac:dyDescent="0.2">
      <c r="A1094" s="8" t="s">
        <v>394</v>
      </c>
      <c r="B1094" s="7" t="s">
        <v>393</v>
      </c>
      <c r="C1094" s="7" t="s">
        <v>392</v>
      </c>
      <c r="D1094" s="6">
        <v>189000</v>
      </c>
      <c r="E1094" s="5">
        <v>1</v>
      </c>
      <c r="F1094" s="4" t="str">
        <f ca="1">IFERROR(__xludf.DUMMYFUNCTION("LOWER(REGEXREPLACE(B1094&amp;"" ""&amp;C1094,""[^а-яa-z0-9 ]"","" ""))")," руглый стол  тол для совместного чтения  обсуждений и игровых занятий   пособствует развитию общения между детьми   атериал        или дерево   иаметр   1000 1200 мм ")</f>
        <v xml:space="preserve"> руглый стол  тол для совместного чтения  обсуждений и игровых занятий   пособствует развитию общения между детьми   атериал        или дерево   иаметр   1000 1200 мм </v>
      </c>
      <c r="G1094" s="4" t="str">
        <f ca="1">IFERROR(__xludf.DUMMYFUNCTION("TEXTJOIN(""|"",TRUE,UNIQUE(FILTER(SPLIT(F1094,"" ""),LEN(SPLIT(F1094,"" ""))&gt;2)))"),"руглый|стол|тол|для|совместного|чтения|обсуждений|игровых|занятий|пособствует|развитию|общения|между|детьми|атериал|или|дерево|иаметр|1000|1200")</f>
        <v>руглый|стол|тол|для|совместного|чтения|обсуждений|игровых|занятий|пособствует|развитию|общения|между|детьми|атериал|или|дерево|иаметр|1000|1200</v>
      </c>
      <c r="I1094" s="1"/>
      <c r="J1094" s="1"/>
    </row>
    <row r="1095" spans="1:10" x14ac:dyDescent="0.2">
      <c r="A1095" s="8" t="s">
        <v>391</v>
      </c>
      <c r="B1095" s="7" t="s">
        <v>390</v>
      </c>
      <c r="C1095" s="7" t="s">
        <v>389</v>
      </c>
      <c r="D1095" s="6">
        <v>105000</v>
      </c>
      <c r="E1095" s="5">
        <v>4</v>
      </c>
      <c r="F1095" s="4" t="str">
        <f ca="1">IFERROR(__xludf.DUMMYFUNCTION("LOWER(REGEXREPLACE(B1095&amp;"" ""&amp;C1095,""[^а-яa-z0-9 ]"","" ""))"),"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"&amp;"для использования в помещениях ")</f>
        <v xml:space="preserve">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v>
      </c>
      <c r="G1095" s="4" t="str">
        <f ca="1">IFERROR(__xludf.DUMMYFUNCTION("TEXTJOIN(""|"",TRUE,UNIQUE(FILTER(SPLIT(F1095,"" ""),LEN(SPLIT(F1095,"" ""))&gt;2)))"),"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amp;"х")</f>
        <v>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v>
      </c>
      <c r="I1095" s="1"/>
      <c r="J1095" s="1"/>
    </row>
    <row r="1096" spans="1:10" x14ac:dyDescent="0.2">
      <c r="A1096" s="8" t="s">
        <v>388</v>
      </c>
      <c r="B1096" s="7" t="s">
        <v>387</v>
      </c>
      <c r="C1096" s="7" t="s">
        <v>386</v>
      </c>
      <c r="D1096" s="6">
        <v>283500</v>
      </c>
      <c r="E1096" s="5">
        <v>3</v>
      </c>
      <c r="F1096" s="4" t="str">
        <f ca="1">IFERROR(__xludf.DUMMYFUNCTION("LOWER(REGEXREPLACE(B1096&amp;"" ""&amp;C1096,""[^а-яa-z0-9 ]"","" ""))")," ушетка процедурная  ушетка предназначена для осмотров  процедур и медицинских манипуляций в медблоке       азмеры 560х1930х670")</f>
        <v xml:space="preserve"> ушетка процедурная  ушетка предназначена для осмотров  процедур и медицинских манипуляций в медблоке       азмеры 560х1930х670</v>
      </c>
      <c r="G1096" s="4" t="str">
        <f ca="1">IFERROR(__xludf.DUMMYFUNCTION("TEXTJOIN(""|"",TRUE,UNIQUE(FILTER(SPLIT(F1096,"" ""),LEN(SPLIT(F1096,"" ""))&gt;2)))"),"ушетка|процедурная|ушетка|предназначена|для|осмотров|процедур|медицинских|манипуляций|медблоке|азмеры|560х1930х670")</f>
        <v>ушетка|процедурная|ушетка|предназначена|для|осмотров|процедур|медицинских|манипуляций|медблоке|азмеры|560х1930х670</v>
      </c>
      <c r="I1096" s="1"/>
      <c r="J1096" s="1"/>
    </row>
    <row r="1097" spans="1:10" x14ac:dyDescent="0.2">
      <c r="A1097" s="8" t="s">
        <v>385</v>
      </c>
      <c r="B1097" s="7" t="s">
        <v>384</v>
      </c>
      <c r="C1097" s="7" t="s">
        <v>383</v>
      </c>
      <c r="D1097" s="6">
        <v>23400</v>
      </c>
      <c r="E1097" s="5">
        <v>325</v>
      </c>
      <c r="F1097" s="4" t="str">
        <f ca="1">IFERROR(__xludf.DUMMYFUNCTION("LOWER(REGEXREPLACE(B1097&amp;"" ""&amp;C1097,""[^а-яa-z0-9 ]"","" ""))"),"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безопасно"&amp;"сть   спользуемые материалы устойчивы к деформации  влаге и подходят для регулярной санитарной обработки ")</f>
        <v xml:space="preserve">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v>
      </c>
      <c r="G1097" s="4" t="str">
        <f ca="1">IFERROR(__xludf.DUMMYFUNCTION("TEXTJOIN(""|"",TRUE,UNIQUE(FILTER(SPLIT(F1097,"" ""),LEN(SPLIT(F1097,"" ""))&gt;2)))"),"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amp;"ы|деформации|влаге|подходят|для|регулярной|санитарной|обработки")</f>
        <v>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v>
      </c>
      <c r="I1097" s="1"/>
      <c r="J1097" s="1"/>
    </row>
    <row r="1098" spans="1:10" x14ac:dyDescent="0.2">
      <c r="A1098" s="8" t="s">
        <v>382</v>
      </c>
      <c r="B1098" s="7" t="s">
        <v>381</v>
      </c>
      <c r="C1098" s="7" t="s">
        <v>380</v>
      </c>
      <c r="D1098" s="6">
        <v>23400</v>
      </c>
      <c r="E1098" s="5">
        <v>20</v>
      </c>
      <c r="F1098" s="4" t="str">
        <f ca="1">IFERROR(__xludf.DUMMYFUNCTION("LOWER(REGEXREPLACE(B1098&amp;"" ""&amp;C1098,""[^а-яa-z0-9 ]"","" ""))")," атрас   азмеры изделия  по параметрам кровати  длина   1400 мм  ширина   600 мм   ипоаллергенный матрас для детской кровати ")</f>
        <v xml:space="preserve"> атрас   азмеры изделия  по параметрам кровати  длина   1400 мм  ширина   600 мм   ипоаллергенный матрас для детской кровати </v>
      </c>
      <c r="G1098" s="4" t="str">
        <f ca="1">IFERROR(__xludf.DUMMYFUNCTION("TEXTJOIN(""|"",TRUE,UNIQUE(FILTER(SPLIT(F1098,"" ""),LEN(SPLIT(F1098,"" ""))&gt;2)))"),"атрас|азмеры|изделия|параметрам|кровати|длина|1400|ширина|600|ипоаллергенный|матрас|для|детской|кровати")</f>
        <v>атрас|азмеры|изделия|параметрам|кровати|длина|1400|ширина|600|ипоаллергенный|матрас|для|детской|кровати</v>
      </c>
      <c r="I1098" s="1"/>
      <c r="J1098" s="1"/>
    </row>
    <row r="1099" spans="1:10" x14ac:dyDescent="0.2">
      <c r="A1099" s="7"/>
      <c r="B1099" s="7" t="s">
        <v>379</v>
      </c>
      <c r="C1099" s="7" t="s">
        <v>378</v>
      </c>
      <c r="D1099" s="6">
        <v>23400</v>
      </c>
      <c r="E1099" s="5">
        <v>5</v>
      </c>
      <c r="F1099" s="4" t="str">
        <f ca="1">IFERROR(__xludf.DUMMYFUNCTION("LOWER(REGEXREPLACE(B1099&amp;"" ""&amp;C1099,""[^а-яa-z0-9 ]"","" ""))")," атрас  группа 2 х лет   азмеры изделия  по параметрам кровати  длина   120 см  ширина   60 см   ипоаллергенный матрас для детской кровати ")</f>
        <v xml:space="preserve"> атрас  группа 2 х лет   азмеры изделия  по параметрам кровати  длина   120 см  ширина   60 см   ипоаллергенный матрас для детской кровати </v>
      </c>
      <c r="G1099" s="4" t="str">
        <f ca="1">IFERROR(__xludf.DUMMYFUNCTION("TEXTJOIN(""|"",TRUE,UNIQUE(FILTER(SPLIT(F1099,"" ""),LEN(SPLIT(F1099,"" ""))&gt;2)))"),"атрас|группа|лет|азмеры|изделия|параметрам|кровати|длина|120|ширина|ипоаллергенный|матрас|для|детской|кровати")</f>
        <v>атрас|группа|лет|азмеры|изделия|параметрам|кровати|длина|120|ширина|ипоаллергенный|матрас|для|детской|кровати</v>
      </c>
      <c r="I1099" s="1"/>
      <c r="J1099" s="1"/>
    </row>
    <row r="1100" spans="1:10" x14ac:dyDescent="0.2">
      <c r="A1100" s="8" t="s">
        <v>377</v>
      </c>
      <c r="B1100" s="7" t="s">
        <v>376</v>
      </c>
      <c r="C1100" s="7" t="s">
        <v>375</v>
      </c>
      <c r="D1100" s="6">
        <v>191300</v>
      </c>
      <c r="E1100" s="5">
        <v>11</v>
      </c>
      <c r="F1100" s="4" t="str">
        <f ca="1">IFERROR(__xludf.DUMMYFUNCTION("LOWER(REGEXREPLACE(B1100&amp;"" ""&amp;C1100,""[^а-яa-z0-9 ]"","" ""))"),"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"&amp;"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обесп"&amp;"ечивая компактное хранение и удобство использования ")</f>
        <v xml:space="preserve">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v>
      </c>
      <c r="G1100" s="4" t="str">
        <f ca="1">IFERROR(__xludf.DUMMYFUNCTION("TEXTJOIN(""|"",TRUE,UNIQUE(FILTER(SPLIT(F1100,"" ""),LEN(SPLIT(F1100,"" ""))&gt;2)))"),"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amp;"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amp;"вания")</f>
        <v>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v>
      </c>
      <c r="I1100" s="1"/>
      <c r="J1100" s="1"/>
    </row>
    <row r="1101" spans="1:10" x14ac:dyDescent="0.2">
      <c r="A1101" s="8" t="s">
        <v>374</v>
      </c>
      <c r="B1101" s="7" t="s">
        <v>373</v>
      </c>
      <c r="C1101" s="7" t="s">
        <v>372</v>
      </c>
      <c r="D1101" s="6">
        <v>231000</v>
      </c>
      <c r="E1101" s="5">
        <v>3</v>
      </c>
      <c r="F1101" s="4" t="str">
        <f ca="1">IFERROR(__xludf.DUMMYFUNCTION("LOWER(REGEXREPLACE(B1101&amp;"" ""&amp;C1101,""[^а-яa-z0-9 ]"","" ""))"),"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f>
        <v xml:space="preserve">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v>
      </c>
      <c r="G1101" s="4" t="str">
        <f ca="1">IFERROR(__xludf.DUMMYFUNCTION("TEXTJOIN(""|"",TRUE,UNIQUE(FILTER(SPLIT(F1101,"" ""),LEN(SPLIT(F1101,"" ""))&gt;2)))"),"одуль|стеллажный|открытыми|полками|для|хранения|материалов|одуль|открытыми|полками|для|хранения|игрушек|абариты|изделия|900|340|700|атериал|корпуса|кромкой")</f>
        <v>одуль|стеллажный|открытыми|полками|для|хранения|материалов|одуль|открытыми|полками|для|хранения|игрушек|абариты|изделия|900|340|700|атериал|корпуса|кромкой</v>
      </c>
      <c r="I1101" s="1"/>
      <c r="J1101" s="1"/>
    </row>
    <row r="1102" spans="1:10" x14ac:dyDescent="0.2">
      <c r="A1102" s="8" t="s">
        <v>371</v>
      </c>
      <c r="B1102" s="7" t="s">
        <v>370</v>
      </c>
      <c r="C1102" s="7" t="s">
        <v>369</v>
      </c>
      <c r="D1102" s="6">
        <v>121800</v>
      </c>
      <c r="E1102" s="5">
        <v>7</v>
      </c>
      <c r="F1102" s="4" t="str">
        <f ca="1">IFERROR(__xludf.DUMMYFUNCTION("LOWER(REGEXREPLACE(B1102&amp;"" ""&amp;C1102,""[^а-яa-z0-9 ]"","" ""))"),"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f>
        <v xml:space="preserve">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v>
      </c>
      <c r="G1102" s="4" t="str">
        <f ca="1">IFERROR(__xludf.DUMMYFUNCTION("TEXTJOIN(""|"",TRUE,UNIQUE(FILTER(SPLIT(F1102,"" ""),LEN(SPLIT(F1102,"" ""))&gt;2)))"),"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f>
        <v>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v>
      </c>
      <c r="I1102" s="1"/>
      <c r="J1102" s="1"/>
    </row>
    <row r="1103" spans="1:10" x14ac:dyDescent="0.2">
      <c r="A1103" s="8" t="s">
        <v>368</v>
      </c>
      <c r="B1103" s="7" t="s">
        <v>367</v>
      </c>
      <c r="C1103" s="7" t="s">
        <v>366</v>
      </c>
      <c r="D1103" s="6">
        <v>52500</v>
      </c>
      <c r="E1103" s="5">
        <v>5</v>
      </c>
      <c r="F1103" s="4" t="str">
        <f ca="1">IFERROR(__xludf.DUMMYFUNCTION("LOWER(REGEXREPLACE(B1103&amp;"" ""&amp;C1103,""[^а-яa-z0-9 ]"","" ""))")," астенная полка для хранения дидактических материалов психолога  репится к стене   азмеры 1000х200х630")</f>
        <v xml:space="preserve"> астенная полка для хранения дидактических материалов психолога  репится к стене   азмеры 1000х200х630</v>
      </c>
      <c r="G1103" s="4" t="str">
        <f ca="1">IFERROR(__xludf.DUMMYFUNCTION("TEXTJOIN(""|"",TRUE,UNIQUE(FILTER(SPLIT(F1103,"" ""),LEN(SPLIT(F1103,"" ""))&gt;2)))"),"астенная|полка|для|хранения|дидактических|материалов|психолога|репится|стене|азмеры|1000х200х630")</f>
        <v>астенная|полка|для|хранения|дидактических|материалов|психолога|репится|стене|азмеры|1000х200х630</v>
      </c>
      <c r="I1103" s="1"/>
      <c r="J1103" s="1"/>
    </row>
    <row r="1104" spans="1:10" x14ac:dyDescent="0.2">
      <c r="A1104" s="8" t="s">
        <v>365</v>
      </c>
      <c r="B1104" s="7" t="s">
        <v>364</v>
      </c>
      <c r="C1104" s="7" t="s">
        <v>363</v>
      </c>
      <c r="D1104" s="6">
        <v>117000</v>
      </c>
      <c r="E1104" s="5">
        <v>1</v>
      </c>
      <c r="F1104" s="4" t="str">
        <f ca="1">IFERROR(__xludf.DUMMYFUNCTION("LOWER(REGEXREPLACE(B1104&amp;"" ""&amp;C1104,""[^а-яa-z0-9 ]"","" ""))"),"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безопасную"&amp;" конструкцию  соответствующую требованиям детских учреждений ")</f>
        <v xml:space="preserve">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v>
      </c>
      <c r="G1104" s="4" t="str">
        <f ca="1">IFERROR(__xludf.DUMMYFUNCTION("TEXTJOIN(""|"",TRUE,UNIQUE(FILTER(SPLIT(F1104,"" ""),LEN(SPLIT(F1104,"" ""))&gt;2)))"),"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amp;"ующую|требованиям|детских|учреждений")</f>
        <v>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v>
      </c>
      <c r="I1104" s="1"/>
      <c r="J1104" s="1"/>
    </row>
    <row r="1105" spans="1:10" x14ac:dyDescent="0.2">
      <c r="A1105" s="8" t="s">
        <v>362</v>
      </c>
      <c r="B1105" s="7" t="s">
        <v>361</v>
      </c>
      <c r="C1105" s="7" t="s">
        <v>360</v>
      </c>
      <c r="D1105" s="6">
        <v>62500</v>
      </c>
      <c r="E1105" s="5">
        <v>1</v>
      </c>
      <c r="F1105" s="4" t="str">
        <f ca="1">IFERROR(__xludf.DUMMYFUNCTION("LOWER(REGEXREPLACE(B1105&amp;"" ""&amp;C1105,""[^а-яa-z0-9 ]"","" ""))"),"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о"&amp;"борудованию ")</f>
        <v xml:space="preserve">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v>
      </c>
      <c r="G1105" s="4" t="str">
        <f ca="1">IFERROR(__xludf.DUMMYFUNCTION("TEXTJOIN(""|"",TRUE,UNIQUE(FILTER(SPLIT(F1105,"" ""),LEN(SPLIT(F1105,"" ""))&gt;2)))"),"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f>
        <v>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v>
      </c>
      <c r="I1105" s="1"/>
      <c r="J1105" s="1"/>
    </row>
    <row r="1106" spans="1:10" x14ac:dyDescent="0.2">
      <c r="A1106" s="8" t="s">
        <v>359</v>
      </c>
      <c r="B1106" s="7" t="s">
        <v>358</v>
      </c>
      <c r="C1106" s="7" t="s">
        <v>357</v>
      </c>
      <c r="D1106" s="6">
        <v>110700</v>
      </c>
      <c r="E1106" s="5">
        <v>2</v>
      </c>
      <c r="F1106" s="4" t="str">
        <f ca="1">IFERROR(__xludf.DUMMYFUNCTION("LOWER(REGEXREPLACE(B1106&amp;"" ""&amp;C1106,""[^а-яa-z0-9 ]"","" ""))"),"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f>
        <v xml:space="preserve">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v>
      </c>
      <c r="G1106" s="4" t="str">
        <f ca="1">IFERROR(__xludf.DUMMYFUNCTION("TEXTJOIN(""|"",TRUE,UNIQUE(FILTER(SPLIT(F1106,"" ""),LEN(SPLIT(F1106,"" ""))&gt;2)))"),"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f>
        <v>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v>
      </c>
      <c r="I1106" s="1"/>
      <c r="J1106" s="1"/>
    </row>
    <row r="1107" spans="1:10" x14ac:dyDescent="0.2">
      <c r="A1107" s="8" t="s">
        <v>356</v>
      </c>
      <c r="B1107" s="7" t="s">
        <v>355</v>
      </c>
      <c r="C1107" s="7" t="s">
        <v>354</v>
      </c>
      <c r="D1107" s="6">
        <v>14400</v>
      </c>
      <c r="E1107" s="5">
        <v>31</v>
      </c>
      <c r="F1107" s="4" t="str">
        <f ca="1">IFERROR(__xludf.DUMMYFUNCTION("LOWER(REGEXREPLACE(B1107&amp;"" ""&amp;C1107,""[^а-яa-z0-9 ]"","" ""))"),"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f>
        <v xml:space="preserve">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v>
      </c>
      <c r="G1107" s="4" t="str">
        <f ca="1">IFERROR(__xludf.DUMMYFUNCTION("TEXTJOIN(""|"",TRUE,UNIQUE(FILTER(SPLIT(F1107,"" ""),LEN(SPLIT(F1107,"" ""))&gt;2)))"),"атяжной|потолок|подсветкой|отолочная|конструкция|встроенной|светодиодной|подсветкой|беспечивает|равномерное|освещение|декоративный|эффект|помещении")</f>
        <v>атяжной|потолок|подсветкой|отолочная|конструкция|встроенной|светодиодной|подсветкой|беспечивает|равномерное|освещение|декоративный|эффект|помещении</v>
      </c>
      <c r="I1107" s="1"/>
      <c r="J1107" s="1"/>
    </row>
    <row r="1108" spans="1:10" x14ac:dyDescent="0.2">
      <c r="A1108" s="8" t="s">
        <v>353</v>
      </c>
      <c r="B1108" s="7" t="s">
        <v>352</v>
      </c>
      <c r="C1108" s="7" t="s">
        <v>351</v>
      </c>
      <c r="D1108" s="6">
        <v>94500</v>
      </c>
      <c r="E1108" s="5">
        <v>1</v>
      </c>
      <c r="F1108" s="4" t="str">
        <f ca="1">IFERROR(__xludf.DUMMYFUNCTION("LOWER(REGEXREPLACE(B1108&amp;"" ""&amp;C1108,""[^а-яa-z0-9 ]"","" ""))")," ткрытая полка  теллаж 8 секций  азмеры 720x390x1820 мм")</f>
        <v xml:space="preserve"> ткрытая полка  теллаж 8 секций  азмеры 720x390x1820 мм</v>
      </c>
      <c r="G1108" s="4" t="str">
        <f ca="1">IFERROR(__xludf.DUMMYFUNCTION("TEXTJOIN(""|"",TRUE,UNIQUE(FILTER(SPLIT(F1108,"" ""),LEN(SPLIT(F1108,"" ""))&gt;2)))"),"ткрытая|полка|теллаж|секций|азмеры|720x390x1820")</f>
        <v>ткрытая|полка|теллаж|секций|азмеры|720x390x1820</v>
      </c>
      <c r="I1108" s="1"/>
      <c r="J1108" s="1"/>
    </row>
    <row r="1109" spans="1:10" x14ac:dyDescent="0.2">
      <c r="A1109" s="8" t="s">
        <v>350</v>
      </c>
      <c r="B1109" s="7" t="s">
        <v>349</v>
      </c>
      <c r="C1109" s="7" t="s">
        <v>348</v>
      </c>
      <c r="D1109" s="6">
        <v>178500</v>
      </c>
      <c r="E1109" s="5">
        <v>11</v>
      </c>
      <c r="F1109" s="4" t="str">
        <f ca="1">IFERROR(__xludf.DUMMYFUNCTION("LOWER(REGEXREPLACE(B1109&amp;"" ""&amp;C1109,""[^а-яa-z0-9 ]"","" ""))")," ткрытые стеллажи с контейнерами  ткрытые стеллажи с контейнерами   азмеры 1800х430х620мм")</f>
        <v xml:space="preserve"> ткрытые стеллажи с контейнерами  ткрытые стеллажи с контейнерами   азмеры 1800х430х620мм</v>
      </c>
      <c r="G1109" s="4" t="str">
        <f ca="1">IFERROR(__xludf.DUMMYFUNCTION("TEXTJOIN(""|"",TRUE,UNIQUE(FILTER(SPLIT(F1109,"" ""),LEN(SPLIT(F1109,"" ""))&gt;2)))"),"ткрытые|стеллажи|контейнерами|ткрытые|стеллажи|контейнерами|азмеры|1800х430х620мм")</f>
        <v>ткрытые|стеллажи|контейнерами|ткрытые|стеллажи|контейнерами|азмеры|1800х430х620мм</v>
      </c>
      <c r="I1109" s="1"/>
      <c r="J1109" s="1"/>
    </row>
    <row r="1110" spans="1:10" x14ac:dyDescent="0.2">
      <c r="A1110" s="8" t="s">
        <v>347</v>
      </c>
      <c r="B1110" s="7" t="s">
        <v>346</v>
      </c>
      <c r="C1110" s="9" t="s">
        <v>345</v>
      </c>
      <c r="D1110" s="6">
        <v>92317</v>
      </c>
      <c r="E1110" s="5">
        <v>134</v>
      </c>
      <c r="F1110" s="4" t="str">
        <f ca="1">IFERROR(__xludf.DUMMYFUNCTION("LOWER(REGEXREPLACE(B1110&amp;"" ""&amp;C1110,""[^а-яa-z0-9 ]"","" ""))")," ткрытый стеллаж   каф стеллаж открытый 2000х300х1000мм   орпус  полки из      16мм  20 ячеек  задняя стенка из     5мм")</f>
        <v xml:space="preserve"> ткрытый стеллаж   каф стеллаж открытый 2000х300х1000мм   орпус  полки из      16мм  20 ячеек  задняя стенка из     5мм</v>
      </c>
      <c r="G1110" s="4" t="str">
        <f ca="1">IFERROR(__xludf.DUMMYFUNCTION("TEXTJOIN(""|"",TRUE,UNIQUE(FILTER(SPLIT(F1110,"" ""),LEN(SPLIT(F1110,"" ""))&gt;2)))"),"ткрытый|стеллаж|каф|стеллаж|открытый|2000х300х1000мм|орпус|полки|16мм|ячеек|задняя|стенка|5мм")</f>
        <v>ткрытый|стеллаж|каф|стеллаж|открытый|2000х300х1000мм|орпус|полки|16мм|ячеек|задняя|стенка|5мм</v>
      </c>
      <c r="I1110" s="1"/>
      <c r="J1110" s="1"/>
    </row>
    <row r="1111" spans="1:10" x14ac:dyDescent="0.2">
      <c r="A1111" s="8" t="s">
        <v>344</v>
      </c>
      <c r="B1111" s="7" t="s">
        <v>343</v>
      </c>
      <c r="C1111" s="7" t="s">
        <v>342</v>
      </c>
      <c r="D1111" s="6">
        <v>94500</v>
      </c>
      <c r="E1111" s="5">
        <v>5</v>
      </c>
      <c r="F1111" s="4" t="str">
        <f ca="1">IFERROR(__xludf.DUMMYFUNCTION("LOWER(REGEXREPLACE(B1111&amp;"" ""&amp;C1111,""[^а-яa-z0-9 ]"","" ""))"),"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аз"&amp;"меры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f>
        <v xml:space="preserve">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v>
      </c>
      <c r="G1111" s="4" t="str">
        <f ca="1">IFERROR(__xludf.DUMMYFUNCTION("TEXTJOIN(""|"",TRUE,UNIQUE(FILTER(SPLIT(F1111,"" ""),LEN(SPLIT(F1111,"" ""))&gt;2)))"),"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amp;"1180|ширина|580|тол|устойчивый|безопасными|округлыми|кромками|рассчитан|ежедневное|использование|детских|учреждениях")</f>
        <v>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v>
      </c>
      <c r="I1111" s="1"/>
      <c r="J1111" s="1"/>
    </row>
    <row r="1112" spans="1:10" x14ac:dyDescent="0.2">
      <c r="A1112" s="8" t="s">
        <v>341</v>
      </c>
      <c r="B1112" s="7" t="s">
        <v>340</v>
      </c>
      <c r="C1112" s="7" t="s">
        <v>339</v>
      </c>
      <c r="D1112" s="6">
        <v>315000</v>
      </c>
      <c r="E1112" s="5">
        <v>0</v>
      </c>
      <c r="F1112" s="4" t="str">
        <f ca="1">IFERROR(__xludf.DUMMYFUNCTION("LOWER(REGEXREPLACE(B1112&amp;"" ""&amp;C1112,""[^а-яa-z0-9 ]"","" ""))"),"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удобног"&amp;"о доступа и безопасного хранения инвентаря ")</f>
        <v xml:space="preserve">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v>
      </c>
      <c r="G1112" s="4" t="str">
        <f ca="1">IFERROR(__xludf.DUMMYFUNCTION("TEXTJOIN(""|"",TRUE,UNIQUE(FILTER(SPLIT(F1112,"" ""),LEN(SPLIT(F1112,"" ""))&gt;2)))"),"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amp;"о|хранения|инвентаря")</f>
        <v>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v>
      </c>
      <c r="I1112" s="1"/>
      <c r="J1112" s="1"/>
    </row>
    <row r="1113" spans="1:10" x14ac:dyDescent="0.2">
      <c r="A1113" s="8" t="s">
        <v>338</v>
      </c>
      <c r="B1113" s="7" t="s">
        <v>337</v>
      </c>
      <c r="C1113" s="7" t="s">
        <v>336</v>
      </c>
      <c r="D1113" s="6">
        <v>17600</v>
      </c>
      <c r="E1113" s="5">
        <v>0</v>
      </c>
      <c r="F1113" s="4" t="str">
        <f ca="1">IFERROR(__xludf.DUMMYFUNCTION("LOWER(REGEXREPLACE(B1113&amp;"" ""&amp;C1113,""[^а-яa-z0-9 ]"","" ""))"),"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защи"&amp;"тными элементами в местах соприкосновения с инструментом ")</f>
        <v xml:space="preserve">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v>
      </c>
      <c r="G1113" s="4" t="str">
        <f ca="1">IFERROR(__xludf.DUMMYFUNCTION("TEXTJOIN(""|"",TRUE,UNIQUE(FILTER(SPLIT(F1113,"" ""),LEN(SPLIT(F1113,"" ""))&gt;2)))"),"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amp;"стах|соприкосновения|инструментом")</f>
        <v>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v>
      </c>
      <c r="I1113" s="1"/>
      <c r="J1113" s="1"/>
    </row>
    <row r="1114" spans="1:10" x14ac:dyDescent="0.2">
      <c r="A1114" s="8" t="s">
        <v>335</v>
      </c>
      <c r="B1114" s="7" t="s">
        <v>334</v>
      </c>
      <c r="C1114" s="7" t="s">
        <v>333</v>
      </c>
      <c r="D1114" s="6">
        <v>136500</v>
      </c>
      <c r="E1114" s="5">
        <v>5</v>
      </c>
      <c r="F1114" s="4" t="str">
        <f ca="1">IFERROR(__xludf.DUMMYFUNCTION("LOWER(REGEXREPLACE(B1114&amp;"" ""&amp;C1114,""[^а-яa-z0-9 ]"","" ""))"),"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f>
        <v xml:space="preserve">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v>
      </c>
      <c r="G1114" s="4" t="str">
        <f ca="1">IFERROR(__xludf.DUMMYFUNCTION("TEXTJOIN(""|"",TRUE,UNIQUE(FILTER(SPLIT(F1114,"" ""),LEN(SPLIT(F1114,"" ""))&gt;2)))"),"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f>
        <v>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v>
      </c>
      <c r="I1114" s="1"/>
      <c r="J1114" s="1"/>
    </row>
    <row r="1115" spans="1:10" x14ac:dyDescent="0.2">
      <c r="A1115" s="8" t="s">
        <v>332</v>
      </c>
      <c r="B1115" s="7" t="s">
        <v>331</v>
      </c>
      <c r="C1115" s="7" t="s">
        <v>330</v>
      </c>
      <c r="D1115" s="6">
        <v>31500</v>
      </c>
      <c r="E1115" s="5">
        <v>20</v>
      </c>
      <c r="F1115" s="4" t="str">
        <f ca="1">IFERROR(__xludf.DUMMYFUNCTION("LOWER(REGEXREPLACE(B1115&amp;"" ""&amp;C1115,""[^а-яa-z0-9 ]"","" ""))"),"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f>
        <v xml:space="preserve">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v>
      </c>
      <c r="G1115" s="4" t="str">
        <f ca="1">IFERROR(__xludf.DUMMYFUNCTION("TEXTJOIN(""|"",TRUE,UNIQUE(FILTER(SPLIT(F1115,"" ""),LEN(SPLIT(F1115,"" ""))&gt;2)))"),"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f>
        <v>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v>
      </c>
      <c r="I1115" s="1"/>
      <c r="J1115" s="1"/>
    </row>
    <row r="1116" spans="1:10" x14ac:dyDescent="0.2">
      <c r="A1116" s="8" t="s">
        <v>329</v>
      </c>
      <c r="B1116" s="7" t="s">
        <v>328</v>
      </c>
      <c r="C1116" s="7" t="s">
        <v>327</v>
      </c>
      <c r="D1116" s="6">
        <v>25200</v>
      </c>
      <c r="E1116" s="5">
        <v>3</v>
      </c>
      <c r="F1116" s="4" t="str">
        <f ca="1">IFERROR(__xludf.DUMMYFUNCTION("LOWER(REGEXREPLACE(B1116&amp;"" ""&amp;C1116,""[^а-яa-z0-9 ]"","" ""))"),"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"&amp;" онструкция устойчивая и безопасная для использования в помещениях     ")</f>
        <v xml:space="preserve">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v>
      </c>
      <c r="G1116" s="4" t="str">
        <f ca="1">IFERROR(__xludf.DUMMYFUNCTION("TEXTJOIN(""|"",TRUE,UNIQUE(FILTER(SPLIT(F1116,"" ""),LEN(SPLIT(F1116,"" ""))&gt;2)))"),"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amp;"ивая|безопасная|для|использования|помещениях")</f>
        <v>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v>
      </c>
      <c r="I1116" s="1"/>
      <c r="J1116" s="1"/>
    </row>
    <row r="1117" spans="1:10" x14ac:dyDescent="0.2">
      <c r="A1117" s="8" t="s">
        <v>326</v>
      </c>
      <c r="B1117" s="7" t="s">
        <v>325</v>
      </c>
      <c r="C1117" s="7" t="s">
        <v>324</v>
      </c>
      <c r="D1117" s="6">
        <v>219200</v>
      </c>
      <c r="E1117" s="5">
        <v>2</v>
      </c>
      <c r="F1117" s="4" t="str">
        <f ca="1">IFERROR(__xludf.DUMMYFUNCTION("LOWER(REGEXREPLACE(B1117&amp;"" ""&amp;C1117,""[^а-яa-z0-9 ]"","" ""))")," одставка vpn7 4  азмеры  800x574x550 мм")</f>
        <v xml:space="preserve"> одставка vpn7 4  азмеры  800x574x550 мм</v>
      </c>
      <c r="G1117" s="4" t="str">
        <f ca="1">IFERROR(__xludf.DUMMYFUNCTION("TEXTJOIN(""|"",TRUE,UNIQUE(FILTER(SPLIT(F1117,"" ""),LEN(SPLIT(F1117,"" ""))&gt;2)))"),"одставка|vpn7|азмеры|800x574x550")</f>
        <v>одставка|vpn7|азмеры|800x574x550</v>
      </c>
      <c r="I1117" s="1"/>
      <c r="J1117" s="1"/>
    </row>
    <row r="1118" spans="1:10" x14ac:dyDescent="0.2">
      <c r="A1118" s="8" t="s">
        <v>323</v>
      </c>
      <c r="B1118" s="7" t="s">
        <v>322</v>
      </c>
      <c r="C1118" s="7" t="s">
        <v>321</v>
      </c>
      <c r="D1118" s="6">
        <v>290300</v>
      </c>
      <c r="E1118" s="5">
        <v>2</v>
      </c>
      <c r="F1118" s="4" t="str">
        <f ca="1">IFERROR(__xludf.DUMMYFUNCTION("LOWER(REGEXREPLACE(B1118&amp;"" ""&amp;C1118,""[^а-яa-z0-9 ]"","" ""))")," одставка vpn7 5  азмеры  1200x574x550 мм")</f>
        <v xml:space="preserve"> одставка vpn7 5  азмеры  1200x574x550 мм</v>
      </c>
      <c r="G1118" s="4" t="str">
        <f ca="1">IFERROR(__xludf.DUMMYFUNCTION("TEXTJOIN(""|"",TRUE,UNIQUE(FILTER(SPLIT(F1118,"" ""),LEN(SPLIT(F1118,"" ""))&gt;2)))"),"одставка|vpn7|азмеры|1200x574x550")</f>
        <v>одставка|vpn7|азмеры|1200x574x550</v>
      </c>
      <c r="I1118" s="1"/>
      <c r="J1118" s="1"/>
    </row>
    <row r="1119" spans="1:10" x14ac:dyDescent="0.2">
      <c r="A1119" s="8" t="s">
        <v>320</v>
      </c>
      <c r="B1119" s="7" t="s">
        <v>319</v>
      </c>
      <c r="C1119" s="7" t="s">
        <v>318</v>
      </c>
      <c r="D1119" s="6">
        <v>156800</v>
      </c>
      <c r="E1119" s="5">
        <v>3</v>
      </c>
      <c r="F1119" s="4" t="str">
        <f ca="1">IFERROR(__xludf.DUMMYFUNCTION("LOWER(REGEXREPLACE(B1119&amp;"" ""&amp;C1119,""[^а-яa-z0-9 ]"","" ""))")," одтоварник ce st50120  ержавеющая сталь 430    перфорированной полкой   араметры  1200x500x300 mm")</f>
        <v xml:space="preserve"> одтоварник ce st50120  ержавеющая сталь 430    перфорированной полкой   араметры  1200x500x300 mm</v>
      </c>
      <c r="G1119" s="4" t="str">
        <f ca="1">IFERROR(__xludf.DUMMYFUNCTION("TEXTJOIN(""|"",TRUE,UNIQUE(FILTER(SPLIT(F1119,"" ""),LEN(SPLIT(F1119,"" ""))&gt;2)))"),"одтоварник|st50120|ержавеющая|сталь|430|перфорированной|полкой|араметры|1200x500x300")</f>
        <v>одтоварник|st50120|ержавеющая|сталь|430|перфорированной|полкой|араметры|1200x500x300</v>
      </c>
      <c r="I1119" s="1"/>
      <c r="J1119" s="1"/>
    </row>
    <row r="1120" spans="1:10" x14ac:dyDescent="0.2">
      <c r="A1120" s="8" t="s">
        <v>317</v>
      </c>
      <c r="B1120" s="7" t="s">
        <v>316</v>
      </c>
      <c r="C1120" s="7" t="s">
        <v>315</v>
      </c>
      <c r="D1120" s="6">
        <v>388200</v>
      </c>
      <c r="E1120" s="5">
        <v>1</v>
      </c>
      <c r="F1120" s="4" t="str">
        <f ca="1">IFERROR(__xludf.DUMMYFUNCTION("LOWER(REGEXREPLACE(B1120&amp;"" ""&amp;C1120,""[^а-яa-z0-9 ]"","" ""))")," олка для вытяжки ce dofr320x40  ержавеющая сталь 430   араметры  3200x400x500 мм")</f>
        <v xml:space="preserve"> олка для вытяжки ce dofr320x40  ержавеющая сталь 430   араметры  3200x400x500 мм</v>
      </c>
      <c r="G1120" s="4" t="str">
        <f ca="1">IFERROR(__xludf.DUMMYFUNCTION("TEXTJOIN(""|"",TRUE,UNIQUE(FILTER(SPLIT(F1120,"" ""),LEN(SPLIT(F1120,"" ""))&gt;2)))"),"олка|для|вытяжки|dofr320x40|ержавеющая|сталь|430|араметры|3200x400x500")</f>
        <v>олка|для|вытяжки|dofr320x40|ержавеющая|сталь|430|араметры|3200x400x500</v>
      </c>
      <c r="I1120" s="1"/>
      <c r="J1120" s="1"/>
    </row>
    <row r="1121" spans="1:10" x14ac:dyDescent="0.2">
      <c r="A1121" s="8" t="s">
        <v>314</v>
      </c>
      <c r="B1121" s="7" t="s">
        <v>313</v>
      </c>
      <c r="C1121" s="7" t="s">
        <v>312</v>
      </c>
      <c r="D1121" s="6">
        <v>252000</v>
      </c>
      <c r="E1121" s="5">
        <v>2</v>
      </c>
      <c r="F1121" s="4" t="str">
        <f ca="1">IFERROR(__xludf.DUMMYFUNCTION("LOWER(REGEXREPLACE(B1121&amp;"" ""&amp;C1121,""[^а-яa-z0-9 ]"","" ""))")," олка для книг  олка предназначена для хранения детской и методической литературы   азмеры   ирина 540 мм  лубина360 мм  ысота 460 мм")</f>
        <v xml:space="preserve"> олка для книг  олка предназначена для хранения детской и методической литературы   азмеры   ирина 540 мм  лубина360 мм  ысота 460 мм</v>
      </c>
      <c r="G1121" s="4" t="str">
        <f ca="1">IFERROR(__xludf.DUMMYFUNCTION("TEXTJOIN(""|"",TRUE,UNIQUE(FILTER(SPLIT(F1121,"" ""),LEN(SPLIT(F1121,"" ""))&gt;2)))"),"олка|для|книг|олка|предназначена|для|хранения|детской|методической|литературы|азмеры|ирина|540|лубина360|ысота|460")</f>
        <v>олка|для|книг|олка|предназначена|для|хранения|детской|методической|литературы|азмеры|ирина|540|лубина360|ысота|460</v>
      </c>
      <c r="I1121" s="1"/>
      <c r="J1121" s="1"/>
    </row>
    <row r="1122" spans="1:10" x14ac:dyDescent="0.2">
      <c r="A1122" s="8" t="s">
        <v>311</v>
      </c>
      <c r="B1122" s="7" t="s">
        <v>310</v>
      </c>
      <c r="C1122" s="7" t="s">
        <v>309</v>
      </c>
      <c r="D1122" s="6">
        <v>126000</v>
      </c>
      <c r="E1122" s="5">
        <v>1</v>
      </c>
      <c r="F1122" s="4" t="str">
        <f ca="1">IFERROR(__xludf.DUMMYFUNCTION("LOWER(REGEXREPLACE(B1122&amp;"" ""&amp;C1122,""[^а-яa-z0-9 ]"","" ""))")," олка книжная настенная  астенная книжная полка   азмеры   ирина 530 мм   лубина120 мм   ысота 800 мм")</f>
        <v xml:space="preserve"> олка книжная настенная  астенная книжная полка   азмеры   ирина 530 мм   лубина120 мм   ысота 800 мм</v>
      </c>
      <c r="G1122" s="4" t="str">
        <f ca="1">IFERROR(__xludf.DUMMYFUNCTION("TEXTJOIN(""|"",TRUE,UNIQUE(FILTER(SPLIT(F1122,"" ""),LEN(SPLIT(F1122,"" ""))&gt;2)))"),"олка|книжная|настенная|астенная|книжная|полка|азмеры|ирина|530|лубина120|ысота|800")</f>
        <v>олка|книжная|настенная|астенная|книжная|полка|азмеры|ирина|530|лубина120|ысота|800</v>
      </c>
      <c r="I1122" s="1"/>
      <c r="J1122" s="1"/>
    </row>
    <row r="1123" spans="1:10" x14ac:dyDescent="0.2">
      <c r="A1123" s="8" t="s">
        <v>308</v>
      </c>
      <c r="B1123" s="7" t="s">
        <v>307</v>
      </c>
      <c r="C1123" s="7" t="s">
        <v>306</v>
      </c>
      <c r="D1123" s="6">
        <v>72300</v>
      </c>
      <c r="E1123" s="5">
        <v>1</v>
      </c>
      <c r="F1123" s="4" t="str">
        <f ca="1">IFERROR(__xludf.DUMMYFUNCTION("LOWER(REGEXREPLACE(B1123&amp;"" ""&amp;C1123,""[^а-яa-z0-9 ]"","" ""))")," олка настенная ce dr140x30  ержавеющая сталь 430   динарная   араметры  1400x300x40 мм")</f>
        <v xml:space="preserve"> олка настенная ce dr140x30  ержавеющая сталь 430   динарная   араметры  1400x300x40 мм</v>
      </c>
      <c r="G1123" s="4" t="str">
        <f ca="1">IFERROR(__xludf.DUMMYFUNCTION("TEXTJOIN(""|"",TRUE,UNIQUE(FILTER(SPLIT(F1123,"" ""),LEN(SPLIT(F1123,"" ""))&gt;2)))"),"олка|настенная|dr140x30|ержавеющая|сталь|430|динарная|араметры|1400x300x40")</f>
        <v>олка|настенная|dr140x30|ержавеющая|сталь|430|динарная|араметры|1400x300x40</v>
      </c>
      <c r="I1123" s="1"/>
      <c r="J1123" s="1"/>
    </row>
    <row r="1124" spans="1:10" x14ac:dyDescent="0.2">
      <c r="A1124" s="8" t="s">
        <v>305</v>
      </c>
      <c r="B1124" s="7" t="s">
        <v>304</v>
      </c>
      <c r="C1124" s="7" t="s">
        <v>303</v>
      </c>
      <c r="D1124" s="6">
        <v>74700</v>
      </c>
      <c r="E1124" s="5">
        <v>3</v>
      </c>
      <c r="F1124" s="4" t="str">
        <f ca="1">IFERROR(__xludf.DUMMYFUNCTION("LOWER(REGEXREPLACE(B1124&amp;"" ""&amp;C1124,""[^а-яa-z0-9 ]"","" ""))")," олка настенная ce dr150x30  ержавеющая сталь 430   азмеры 1500х300х40 мм")</f>
        <v xml:space="preserve"> олка настенная ce dr150x30  ержавеющая сталь 430   азмеры 1500х300х40 мм</v>
      </c>
      <c r="G1124" s="4" t="str">
        <f ca="1">IFERROR(__xludf.DUMMYFUNCTION("TEXTJOIN(""|"",TRUE,UNIQUE(FILTER(SPLIT(F1124,"" ""),LEN(SPLIT(F1124,"" ""))&gt;2)))"),"олка|настенная|dr150x30|ержавеющая|сталь|430|азмеры|1500х300х40")</f>
        <v>олка|настенная|dr150x30|ержавеющая|сталь|430|азмеры|1500х300х40</v>
      </c>
      <c r="I1124" s="1"/>
      <c r="J1124" s="1"/>
    </row>
    <row r="1125" spans="1:10" x14ac:dyDescent="0.2">
      <c r="A1125" s="8" t="s">
        <v>302</v>
      </c>
      <c r="B1125" s="7" t="s">
        <v>301</v>
      </c>
      <c r="C1125" s="7" t="s">
        <v>300</v>
      </c>
      <c r="D1125" s="6">
        <v>83300</v>
      </c>
      <c r="E1125" s="5">
        <v>3</v>
      </c>
      <c r="F1125" s="4" t="str">
        <f ca="1">IFERROR(__xludf.DUMMYFUNCTION("LOWER(REGEXREPLACE(B1125&amp;"" ""&amp;C1125,""[^а-яa-z0-9 ]"","" ""))")," олка настенная ce dr180x30  ержавеющая сталь 430   динарная   араметры  1800x300x40 мм ")</f>
        <v xml:space="preserve"> олка настенная ce dr180x30  ержавеющая сталь 430   динарная   араметры  1800x300x40 мм </v>
      </c>
      <c r="G1125" s="4" t="str">
        <f ca="1">IFERROR(__xludf.DUMMYFUNCTION("TEXTJOIN(""|"",TRUE,UNIQUE(FILTER(SPLIT(F1125,"" ""),LEN(SPLIT(F1125,"" ""))&gt;2)))"),"олка|настенная|dr180x30|ержавеющая|сталь|430|динарная|араметры|1800x300x40")</f>
        <v>олка|настенная|dr180x30|ержавеющая|сталь|430|динарная|араметры|1800x300x40</v>
      </c>
      <c r="I1125" s="1"/>
      <c r="J1125" s="1"/>
    </row>
    <row r="1126" spans="1:10" x14ac:dyDescent="0.2">
      <c r="A1126" s="8" t="s">
        <v>299</v>
      </c>
      <c r="B1126" s="7" t="s">
        <v>298</v>
      </c>
      <c r="C1126" s="7" t="s">
        <v>297</v>
      </c>
      <c r="D1126" s="6">
        <v>73500</v>
      </c>
      <c r="E1126" s="5">
        <v>5</v>
      </c>
      <c r="F1126" s="4" t="str">
        <f ca="1">IFERROR(__xludf.DUMMYFUNCTION("LOWER(REGEXREPLACE(B1126&amp;"" ""&amp;C1126,""[^а-яa-z0-9 ]"","" ""))"),"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не"&amp;"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ис"&amp;"тиранию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индивид"&amp;"уальной работы и релаксации ")</f>
        <v xml:space="preserve">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v>
      </c>
      <c r="G1126" s="4" t="str">
        <f ca="1">IFERROR(__xludf.DUMMYFUNCTION("TEXTJOIN(""|"",TRUE,UNIQUE(FILTER(SPLIT(F1126,"" ""),LEN(SPLIT(F1126,"" ""))&gt;2)))"),"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amp;"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amp;"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f>
        <v>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v>
      </c>
      <c r="I1126" s="1"/>
      <c r="J1126" s="1"/>
    </row>
    <row r="1127" spans="1:10" x14ac:dyDescent="0.2">
      <c r="A1127" s="8" t="s">
        <v>296</v>
      </c>
      <c r="B1127" s="7" t="s">
        <v>295</v>
      </c>
      <c r="C1127" s="7" t="s">
        <v>294</v>
      </c>
      <c r="D1127" s="6">
        <v>84000</v>
      </c>
      <c r="E1127" s="5">
        <v>2</v>
      </c>
      <c r="F1127" s="4" t="str">
        <f ca="1">IFERROR(__xludf.DUMMYFUNCTION("LOWER(REGEXREPLACE(B1127&amp;"" ""&amp;C1127,""[^а-яa-z0-9 ]"","" ""))"),"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ткань"&amp;"  ксфорд  чехол съ мный   вет   ж лтый ")</f>
        <v xml:space="preserve">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v>
      </c>
      <c r="G1127" s="4" t="str">
        <f ca="1">IFERROR(__xludf.DUMMYFUNCTION("TEXTJOIN(""|"",TRUE,UNIQUE(FILTER(SPLIT(F1127,"" ""),LEN(SPLIT(F1127,"" ""))&gt;2)))"),"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f>
        <v>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v>
      </c>
      <c r="I1127" s="1"/>
      <c r="J1127" s="1"/>
    </row>
    <row r="1128" spans="1:10" x14ac:dyDescent="0.2">
      <c r="A1128" s="8" t="s">
        <v>293</v>
      </c>
      <c r="B1128" s="7" t="s">
        <v>292</v>
      </c>
      <c r="C1128" s="7" t="s">
        <v>291</v>
      </c>
      <c r="D1128" s="6">
        <v>224100</v>
      </c>
      <c r="E1128" s="5">
        <v>1</v>
      </c>
      <c r="F1128" s="4" t="str">
        <f ca="1">IFERROR(__xludf.DUMMYFUNCTION("LOWER(REGEXREPLACE(B1128&amp;"" ""&amp;C1128,""[^а-яa-z0-9 ]"","" ""))")," ервисная полка двухуровневая ce sr2180x40  ержавеющая сталь 430  2 х уровневая  азмеры  1800x400x700 мм")</f>
        <v xml:space="preserve"> ервисная полка двухуровневая ce sr2180x40  ержавеющая сталь 430  2 х уровневая  азмеры  1800x400x700 мм</v>
      </c>
      <c r="G1128" s="4" t="str">
        <f ca="1">IFERROR(__xludf.DUMMYFUNCTION("TEXTJOIN(""|"",TRUE,UNIQUE(FILTER(SPLIT(F1128,"" ""),LEN(SPLIT(F1128,"" ""))&gt;2)))"),"ервисная|полка|двухуровневая|sr2180x40|ержавеющая|сталь|430|уровневая|азмеры|1800x400x700")</f>
        <v>ервисная|полка|двухуровневая|sr2180x40|ержавеющая|сталь|430|уровневая|азмеры|1800x400x700</v>
      </c>
      <c r="I1128" s="1"/>
      <c r="J1128" s="1"/>
    </row>
    <row r="1129" spans="1:10" x14ac:dyDescent="0.2">
      <c r="A1129" s="8" t="s">
        <v>290</v>
      </c>
      <c r="B1129" s="7" t="s">
        <v>289</v>
      </c>
      <c r="C1129" s="7" t="s">
        <v>288</v>
      </c>
      <c r="D1129" s="6">
        <v>168000</v>
      </c>
      <c r="E1129" s="5">
        <v>4</v>
      </c>
      <c r="F1129" s="4" t="str">
        <f ca="1">IFERROR(__xludf.DUMMYFUNCTION("LOWER(REGEXREPLACE(B1129&amp;"" ""&amp;C1129,""[^а-яa-z0-9 ]"","" ""))")," теллаж  открытый   теллаж   азмеры 900 340 700 мм")</f>
        <v xml:space="preserve"> теллаж  открытый   теллаж   азмеры 900 340 700 мм</v>
      </c>
      <c r="G1129" s="4" t="str">
        <f ca="1">IFERROR(__xludf.DUMMYFUNCTION("TEXTJOIN(""|"",TRUE,UNIQUE(FILTER(SPLIT(F1129,"" ""),LEN(SPLIT(F1129,"" ""))&gt;2)))"),"теллаж|открытый|теллаж|азмеры|900|340|700")</f>
        <v>теллаж|открытый|теллаж|азмеры|900|340|700</v>
      </c>
      <c r="I1129" s="1"/>
      <c r="J1129" s="1"/>
    </row>
    <row r="1130" spans="1:10" x14ac:dyDescent="0.2">
      <c r="A1130" s="8" t="s">
        <v>287</v>
      </c>
      <c r="B1130" s="7" t="s">
        <v>286</v>
      </c>
      <c r="C1130" s="7" t="s">
        <v>285</v>
      </c>
      <c r="D1130" s="6">
        <v>483000</v>
      </c>
      <c r="E1130" s="5">
        <v>2</v>
      </c>
      <c r="F1130" s="4" t="str">
        <f ca="1">IFERROR(__xludf.DUMMYFUNCTION("LOWER(REGEXREPLACE(B1130&amp;"" ""&amp;C1130,""[^а-яa-z0-9 ]"","" ""))")," теллаж детский игровой с выкатными ящиками  акрытый стеллаж   сть 4 секции с закрывающимися дверцами и 2 выдвижных ящика   азмер  730х434х1148 мм    х х   ")</f>
        <v xml:space="preserve"> теллаж детский игровой с выкатными ящиками  акрытый стеллаж   сть 4 секции с закрывающимися дверцами и 2 выдвижных ящика   азмер  730х434х1148 мм    х х   </v>
      </c>
      <c r="G1130" s="4" t="str">
        <f ca="1">IFERROR(__xludf.DUMMYFUNCTION("TEXTJOIN(""|"",TRUE,UNIQUE(FILTER(SPLIT(F1130,"" ""),LEN(SPLIT(F1130,"" ""))&gt;2)))"),"теллаж|детский|игровой|выкатными|ящиками|акрытый|стеллаж|сть|секции|закрывающимися|дверцами|выдвижных|ящика|азмер|730х434х1148")</f>
        <v>теллаж|детский|игровой|выкатными|ящиками|акрытый|стеллаж|сть|секции|закрывающимися|дверцами|выдвижных|ящика|азмер|730х434х1148</v>
      </c>
      <c r="I1130" s="1"/>
      <c r="J1130" s="1"/>
    </row>
    <row r="1131" spans="1:10" x14ac:dyDescent="0.2">
      <c r="A1131" s="8" t="s">
        <v>284</v>
      </c>
      <c r="B1131" s="7" t="s">
        <v>283</v>
      </c>
      <c r="C1131" s="7" t="s">
        <v>282</v>
      </c>
      <c r="D1131" s="6">
        <v>163800</v>
      </c>
      <c r="E1131" s="5">
        <v>1</v>
      </c>
      <c r="F1131" s="4" t="str">
        <f ca="1">IFERROR(__xludf.DUMMYFUNCTION("LOWER(REGEXREPLACE(B1131&amp;"" ""&amp;C1131,""[^а-яa-z0-9 ]"","" ""))")," теллаж для дидактических материалов  азмеры   ирина 1000 мм  глубина 300 мм  высота 1280 мм")</f>
        <v xml:space="preserve"> теллаж для дидактических материалов  азмеры   ирина 1000 мм  глубина 300 мм  высота 1280 мм</v>
      </c>
      <c r="G1131" s="4" t="str">
        <f ca="1">IFERROR(__xludf.DUMMYFUNCTION("TEXTJOIN(""|"",TRUE,UNIQUE(FILTER(SPLIT(F1131,"" ""),LEN(SPLIT(F1131,"" ""))&gt;2)))"),"теллаж|для|дидактических|материалов|азмеры|ирина|1000|глубина|300|высота|1280")</f>
        <v>теллаж|для|дидактических|материалов|азмеры|ирина|1000|глубина|300|высота|1280</v>
      </c>
      <c r="I1131" s="1"/>
      <c r="J1131" s="1"/>
    </row>
    <row r="1132" spans="1:10" x14ac:dyDescent="0.2">
      <c r="A1132" s="8" t="s">
        <v>281</v>
      </c>
      <c r="B1132" s="7" t="s">
        <v>280</v>
      </c>
      <c r="C1132" s="7" t="s">
        <v>279</v>
      </c>
      <c r="D1132" s="6">
        <v>73500</v>
      </c>
      <c r="E1132" s="5">
        <v>8</v>
      </c>
      <c r="F1132" s="4" t="str">
        <f ca="1">IFERROR(__xludf.DUMMYFUNCTION("LOWER(REGEXREPLACE(B1132&amp;"" ""&amp;C1132,""[^а-яa-z0-9 ]"","" ""))"),"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f>
        <v xml:space="preserve">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v>
      </c>
      <c r="G1132" s="4" t="str">
        <f ca="1">IFERROR(__xludf.DUMMYFUNCTION("TEXTJOIN(""|"",TRUE,UNIQUE(FILTER(SPLIT(F1132,"" ""),LEN(SPLIT(F1132,"" ""))&gt;2)))"),"теллаж|металлический|еталлический|стеллаж|предназначен|для|хранения|инвентаря|материалов|тличается|прочностью|устойчивостью|долговечностью|азмеры|2500х1000х600")</f>
        <v>теллаж|металлический|еталлический|стеллаж|предназначен|для|хранения|инвентаря|материалов|тличается|прочностью|устойчивостью|долговечностью|азмеры|2500х1000х600</v>
      </c>
      <c r="I1132" s="1"/>
      <c r="J1132" s="1"/>
    </row>
    <row r="1133" spans="1:10" x14ac:dyDescent="0.2">
      <c r="A1133" s="8" t="s">
        <v>278</v>
      </c>
      <c r="B1133" s="7" t="s">
        <v>277</v>
      </c>
      <c r="C1133" s="7" t="s">
        <v>276</v>
      </c>
      <c r="D1133" s="6">
        <v>328200</v>
      </c>
      <c r="E1133" s="5">
        <v>1</v>
      </c>
      <c r="F1133" s="4" t="str">
        <f ca="1">IFERROR(__xludf.DUMMYFUNCTION("LOWER(REGEXREPLACE(B1133&amp;"" ""&amp;C1133,""[^а-яa-z0-9 ]"","" ""))")," теллаж ce ir120x40x180  ержавеющая сталь 430    4 сплошными полками   азмеры  1200x400x1800 мм")</f>
        <v xml:space="preserve"> теллаж ce ir120x40x180  ержавеющая сталь 430    4 сплошными полками   азмеры  1200x400x1800 мм</v>
      </c>
      <c r="G1133" s="4" t="str">
        <f ca="1">IFERROR(__xludf.DUMMYFUNCTION("TEXTJOIN(""|"",TRUE,UNIQUE(FILTER(SPLIT(F1133,"" ""),LEN(SPLIT(F1133,"" ""))&gt;2)))"),"теллаж|ir120x40x180|ержавеющая|сталь|430|сплошными|полками|азмеры|1200x400x1800")</f>
        <v>теллаж|ir120x40x180|ержавеющая|сталь|430|сплошными|полками|азмеры|1200x400x1800</v>
      </c>
      <c r="I1133" s="1"/>
      <c r="J1133" s="1"/>
    </row>
    <row r="1134" spans="1:10" x14ac:dyDescent="0.2">
      <c r="A1134" s="8" t="s">
        <v>275</v>
      </c>
      <c r="B1134" s="7" t="s">
        <v>274</v>
      </c>
      <c r="C1134" s="7" t="s">
        <v>273</v>
      </c>
      <c r="D1134" s="6">
        <v>354000</v>
      </c>
      <c r="E1134" s="5">
        <v>1</v>
      </c>
      <c r="F1134" s="4" t="str">
        <f ca="1">IFERROR(__xludf.DUMMYFUNCTION("LOWER(REGEXREPLACE(B1134&amp;"" ""&amp;C1134,""[^а-яa-z0-9 ]"","" ""))")," теллаж ce ir120x50x180  ержавеющая сталь 430    4 сплошными полками   азмеры  1200x500x1800 мм")</f>
        <v xml:space="preserve"> теллаж ce ir120x50x180  ержавеющая сталь 430    4 сплошными полками   азмеры  1200x500x1800 мм</v>
      </c>
      <c r="G1134" s="4" t="str">
        <f ca="1">IFERROR(__xludf.DUMMYFUNCTION("TEXTJOIN(""|"",TRUE,UNIQUE(FILTER(SPLIT(F1134,"" ""),LEN(SPLIT(F1134,"" ""))&gt;2)))"),"теллаж|ir120x50x180|ержавеющая|сталь|430|сплошными|полками|азмеры|1200x500x1800")</f>
        <v>теллаж|ir120x50x180|ержавеющая|сталь|430|сплошными|полками|азмеры|1200x500x1800</v>
      </c>
      <c r="I1134" s="1"/>
      <c r="J1134" s="1"/>
    </row>
    <row r="1135" spans="1:10" x14ac:dyDescent="0.2">
      <c r="A1135" s="8" t="s">
        <v>272</v>
      </c>
      <c r="B1135" s="7" t="s">
        <v>271</v>
      </c>
      <c r="C1135" s="7" t="s">
        <v>270</v>
      </c>
      <c r="D1135" s="6">
        <v>344200</v>
      </c>
      <c r="E1135" s="5">
        <v>1</v>
      </c>
      <c r="F1135" s="4" t="str">
        <f ca="1">IFERROR(__xludf.DUMMYFUNCTION("LOWER(REGEXREPLACE(B1135&amp;"" ""&amp;C1135,""[^а-яa-z0-9 ]"","" ""))")," теллаж ce ir130x40x180  ержавеющая сталь 430    4 сплошными полками   азмеры  1300x400x1800 мм")</f>
        <v xml:space="preserve"> теллаж ce ir130x40x180  ержавеющая сталь 430    4 сплошными полками   азмеры  1300x400x1800 мм</v>
      </c>
      <c r="G1135" s="4" t="str">
        <f ca="1">IFERROR(__xludf.DUMMYFUNCTION("TEXTJOIN(""|"",TRUE,UNIQUE(FILTER(SPLIT(F1135,"" ""),LEN(SPLIT(F1135,"" ""))&gt;2)))"),"теллаж|ir130x40x180|ержавеющая|сталь|430|сплошными|полками|азмеры|1300x400x1800")</f>
        <v>теллаж|ir130x40x180|ержавеющая|сталь|430|сплошными|полками|азмеры|1300x400x1800</v>
      </c>
      <c r="I1135" s="1"/>
      <c r="J1135" s="1"/>
    </row>
    <row r="1136" spans="1:10" x14ac:dyDescent="0.2">
      <c r="A1136" s="8" t="s">
        <v>269</v>
      </c>
      <c r="B1136" s="7" t="s">
        <v>268</v>
      </c>
      <c r="C1136" s="7" t="s">
        <v>267</v>
      </c>
      <c r="D1136" s="6">
        <v>380900</v>
      </c>
      <c r="E1136" s="5">
        <v>11</v>
      </c>
      <c r="F1136" s="4" t="str">
        <f ca="1">IFERROR(__xludf.DUMMYFUNCTION("LOWER(REGEXREPLACE(B1136&amp;"" ""&amp;C1136,""[^а-яa-z0-9 ]"","" ""))")," теллаж ce ir140x50x180  ержавеющая сталь 430    4 сплошными полками   азмеры  1400x500x1800 мм")</f>
        <v xml:space="preserve"> теллаж ce ir140x50x180  ержавеющая сталь 430    4 сплошными полками   азмеры  1400x500x1800 мм</v>
      </c>
      <c r="G1136" s="4" t="str">
        <f ca="1">IFERROR(__xludf.DUMMYFUNCTION("TEXTJOIN(""|"",TRUE,UNIQUE(FILTER(SPLIT(F1136,"" ""),LEN(SPLIT(F1136,"" ""))&gt;2)))"),"теллаж|ir140x50x180|ержавеющая|сталь|430|сплошными|полками|азмеры|1400x500x1800")</f>
        <v>теллаж|ir140x50x180|ержавеющая|сталь|430|сплошными|полками|азмеры|1400x500x1800</v>
      </c>
      <c r="I1136" s="1"/>
      <c r="J1136" s="1"/>
    </row>
    <row r="1137" spans="1:10" x14ac:dyDescent="0.2">
      <c r="A1137" s="8" t="s">
        <v>266</v>
      </c>
      <c r="B1137" s="7" t="s">
        <v>265</v>
      </c>
      <c r="C1137" s="7" t="s">
        <v>264</v>
      </c>
      <c r="D1137" s="6">
        <v>416400</v>
      </c>
      <c r="E1137" s="5">
        <v>2</v>
      </c>
      <c r="F1137" s="4" t="str">
        <f ca="1">IFERROR(__xludf.DUMMYFUNCTION("LOWER(REGEXREPLACE(B1137&amp;"" ""&amp;C1137,""[^а-яa-z0-9 ]"","" ""))")," теллаж ce ir170x50x180  ержавеющая сталь 430    4 сплошными полками   азмеры  1700x500x1800 мм")</f>
        <v xml:space="preserve"> теллаж ce ir170x50x180  ержавеющая сталь 430    4 сплошными полками   азмеры  1700x500x1800 мм</v>
      </c>
      <c r="G1137" s="4" t="str">
        <f ca="1">IFERROR(__xludf.DUMMYFUNCTION("TEXTJOIN(""|"",TRUE,UNIQUE(FILTER(SPLIT(F1137,"" ""),LEN(SPLIT(F1137,"" ""))&gt;2)))"),"теллаж|ir170x50x180|ержавеющая|сталь|430|сплошными|полками|азмеры|1700x500x1800")</f>
        <v>теллаж|ir170x50x180|ержавеющая|сталь|430|сплошными|полками|азмеры|1700x500x1800</v>
      </c>
      <c r="I1137" s="1"/>
      <c r="J1137" s="1"/>
    </row>
    <row r="1138" spans="1:10" x14ac:dyDescent="0.2">
      <c r="A1138" s="8" t="s">
        <v>263</v>
      </c>
      <c r="B1138" s="7" t="s">
        <v>262</v>
      </c>
      <c r="C1138" s="7" t="s">
        <v>261</v>
      </c>
      <c r="D1138" s="6">
        <v>428700</v>
      </c>
      <c r="E1138" s="5">
        <v>4</v>
      </c>
      <c r="F1138" s="4" t="str">
        <f ca="1">IFERROR(__xludf.DUMMYFUNCTION("LOWER(REGEXREPLACE(B1138&amp;"" ""&amp;C1138,""[^а-яa-z0-9 ]"","" ""))")," теллаж ce ir180x50x180  ержавеющая сталь 430    4 сплошными полками   азмеры  1800x500x1800 мм")</f>
        <v xml:space="preserve"> теллаж ce ir180x50x180  ержавеющая сталь 430    4 сплошными полками   азмеры  1800x500x1800 мм</v>
      </c>
      <c r="G1138" s="4" t="str">
        <f ca="1">IFERROR(__xludf.DUMMYFUNCTION("TEXTJOIN(""|"",TRUE,UNIQUE(FILTER(SPLIT(F1138,"" ""),LEN(SPLIT(F1138,"" ""))&gt;2)))"),"теллаж|ir180x50x180|ержавеющая|сталь|430|сплошными|полками|азмеры|1800x500x1800")</f>
        <v>теллаж|ir180x50x180|ержавеющая|сталь|430|сплошными|полками|азмеры|1800x500x1800</v>
      </c>
      <c r="I1138" s="1"/>
      <c r="J1138" s="1"/>
    </row>
    <row r="1139" spans="1:10" x14ac:dyDescent="0.2">
      <c r="A1139" s="8" t="s">
        <v>260</v>
      </c>
      <c r="B1139" s="7" t="s">
        <v>259</v>
      </c>
      <c r="C1139" s="7" t="s">
        <v>258</v>
      </c>
      <c r="D1139" s="6">
        <v>115500</v>
      </c>
      <c r="E1139" s="5">
        <v>5</v>
      </c>
      <c r="F1139" s="4" t="str">
        <f ca="1">IFERROR(__xludf.DUMMYFUNCTION("LOWER(REGEXREPLACE(B1139&amp;"" ""&amp;C1139,""[^а-яa-z0-9 ]"","" ""))"),"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f>
        <v xml:space="preserve">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v>
      </c>
      <c r="G1139" s="4" t="str">
        <f ca="1">IFERROR(__xludf.DUMMYFUNCTION("TEXTJOIN(""|"",TRUE,UNIQUE(FILTER(SPLIT(F1139,"" ""),LEN(SPLIT(F1139,"" ""))&gt;2)))"),"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f>
        <v>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v>
      </c>
      <c r="I1139" s="1"/>
      <c r="J1139" s="1"/>
    </row>
    <row r="1140" spans="1:10" x14ac:dyDescent="0.2">
      <c r="A1140" s="8" t="s">
        <v>257</v>
      </c>
      <c r="B1140" s="7" t="s">
        <v>256</v>
      </c>
      <c r="C1140" s="7" t="s">
        <v>255</v>
      </c>
      <c r="D1140" s="6">
        <v>21000</v>
      </c>
      <c r="E1140" s="5">
        <v>1</v>
      </c>
      <c r="F1140" s="4" t="str">
        <f ca="1">IFERROR(__xludf.DUMMYFUNCTION("LOWER(REGEXREPLACE(B1140&amp;"" ""&amp;C1140,""[^а-яa-z0-9 ]"","" ""))")," тенд для поделок  тенд предназначен для демонстрации детских поделок и творческих работ   азмер 1550 740 мм  используется в групповых помещениях и коридорах     ")</f>
        <v xml:space="preserve"> тенд для поделок  тенд предназначен для демонстрации детских поделок и творческих работ   азмер 1550 740 мм  используется в групповых помещениях и коридорах     </v>
      </c>
      <c r="G1140" s="4" t="str">
        <f ca="1">IFERROR(__xludf.DUMMYFUNCTION("TEXTJOIN(""|"",TRUE,UNIQUE(FILTER(SPLIT(F1140,"" ""),LEN(SPLIT(F1140,"" ""))&gt;2)))"),"тенд|для|поделок|тенд|предназначен|для|демонстрации|детских|поделок|творческих|работ|азмер|1550|740|используется|групповых|помещениях|коридорах")</f>
        <v>тенд|для|поделок|тенд|предназначен|для|демонстрации|детских|поделок|творческих|работ|азмер|1550|740|используется|групповых|помещениях|коридорах</v>
      </c>
      <c r="I1140" s="1"/>
      <c r="J1140" s="1"/>
    </row>
    <row r="1141" spans="1:10" x14ac:dyDescent="0.2">
      <c r="A1141" s="8" t="s">
        <v>254</v>
      </c>
      <c r="B1141" s="7" t="s">
        <v>253</v>
      </c>
      <c r="C1141" s="7" t="s">
        <v>252</v>
      </c>
      <c r="D1141" s="6">
        <v>49100</v>
      </c>
      <c r="E1141" s="5">
        <v>10</v>
      </c>
      <c r="F1141" s="4" t="str">
        <f ca="1">IFERROR(__xludf.DUMMYFUNCTION("LOWER(REGEXREPLACE(B1141&amp;"" ""&amp;C1141,""[^а-яa-z0-9 ]"","" ""))"),"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f>
        <v xml:space="preserve">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v>
      </c>
      <c r="G1141" s="4" t="str">
        <f ca="1">IFERROR(__xludf.DUMMYFUNCTION("TEXTJOIN(""|"",TRUE,UNIQUE(FILTER(SPLIT(F1141,"" ""),LEN(SPLIT(F1141,"" ""))&gt;2)))"),"тойка|для|цветов|одставка|для|размещения|комнатных|растений|редназначена|для|организации|зел|ных|зон|помещении|устойчивая|безопасная|использовании")</f>
        <v>тойка|для|цветов|одставка|для|размещения|комнатных|растений|редназначена|для|организации|зел|ных|зон|помещении|устойчивая|безопасная|использовании</v>
      </c>
      <c r="I1141" s="1"/>
      <c r="J1141" s="1"/>
    </row>
    <row r="1142" spans="1:10" x14ac:dyDescent="0.2">
      <c r="A1142" s="8" t="s">
        <v>251</v>
      </c>
      <c r="B1142" s="7" t="s">
        <v>250</v>
      </c>
      <c r="C1142" s="7" t="s">
        <v>249</v>
      </c>
      <c r="D1142" s="6">
        <v>283500</v>
      </c>
      <c r="E1142" s="5">
        <v>3</v>
      </c>
      <c r="F1142" s="4" t="str">
        <f ca="1">IFERROR(__xludf.DUMMYFUNCTION("LOWER(REGEXREPLACE(B1142&amp;"" ""&amp;C1142,""[^а-яa-z0-9 ]"","" ""))")," тол  ростой стол без полок  предназначен для раскладывания и размещения предметов  материалов и принадлежностей в образовательной среде  1200x750x750   х х   ")</f>
        <v xml:space="preserve"> тол  ростой стол без полок  предназначен для раскладывания и размещения предметов  материалов и принадлежностей в образовательной среде  1200x750x750   х х   </v>
      </c>
      <c r="G1142" s="4" t="str">
        <f ca="1">IFERROR(__xludf.DUMMYFUNCTION("TEXTJOIN(""|"",TRUE,UNIQUE(FILTER(SPLIT(F1142,"" ""),LEN(SPLIT(F1142,"" ""))&gt;2)))"),"тол|ростой|стол|без|полок|предназначен|для|раскладывания|размещения|предметов|материалов|принадлежностей|образовательной|среде|1200x750x750")</f>
        <v>тол|ростой|стол|без|полок|предназначен|для|раскладывания|размещения|предметов|материалов|принадлежностей|образовательной|среде|1200x750x750</v>
      </c>
      <c r="I1142" s="1"/>
      <c r="J1142" s="1"/>
    </row>
    <row r="1143" spans="1:10" x14ac:dyDescent="0.2">
      <c r="A1143" s="8" t="s">
        <v>248</v>
      </c>
      <c r="B1143" s="7" t="s">
        <v>247</v>
      </c>
      <c r="C1143" s="7" t="s">
        <v>246</v>
      </c>
      <c r="D1143" s="6">
        <v>262100</v>
      </c>
      <c r="E1143" s="5">
        <v>2</v>
      </c>
      <c r="F1143" s="4" t="str">
        <f ca="1">IFERROR(__xludf.DUMMYFUNCTION("LOWER(REGEXREPLACE(B1143&amp;"" ""&amp;C1143,""[^а-яa-z0-9 ]"","" ""))")," тол 1 полка ce tc1100x70  ержавеющая сталь 430    одной полкой и  бортиком   араметры  1000x700x850 мм")</f>
        <v xml:space="preserve"> тол 1 полка ce tc1100x70  ержавеющая сталь 430    одной полкой и  бортиком   араметры  1000x700x850 мм</v>
      </c>
      <c r="G1143" s="4" t="str">
        <f ca="1">IFERROR(__xludf.DUMMYFUNCTION("TEXTJOIN(""|"",TRUE,UNIQUE(FILTER(SPLIT(F1143,"" ""),LEN(SPLIT(F1143,"" ""))&gt;2)))"),"тол|полка|tc1100x70|ержавеющая|сталь|430|одной|полкой|бортиком|араметры|1000x700x850")</f>
        <v>тол|полка|tc1100x70|ержавеющая|сталь|430|одной|полкой|бортиком|араметры|1000x700x850</v>
      </c>
      <c r="I1143" s="1"/>
      <c r="J1143" s="1"/>
    </row>
    <row r="1144" spans="1:10" x14ac:dyDescent="0.2">
      <c r="A1144" s="8" t="s">
        <v>245</v>
      </c>
      <c r="B1144" s="7" t="s">
        <v>244</v>
      </c>
      <c r="C1144" s="7" t="s">
        <v>243</v>
      </c>
      <c r="D1144" s="6">
        <v>269400</v>
      </c>
      <c r="E1144" s="5">
        <v>1</v>
      </c>
      <c r="F1144" s="4" t="str">
        <f ca="1">IFERROR(__xludf.DUMMYFUNCTION("LOWER(REGEXREPLACE(B1144&amp;"" ""&amp;C1144,""[^а-яa-z0-9 ]"","" ""))")," тол 1 полка ce tc1110x70  ержавеющая сталь 430    одной полкой и бортиком   араметры  1100x700x850 мм")</f>
        <v xml:space="preserve"> тол 1 полка ce tc1110x70  ержавеющая сталь 430    одной полкой и бортиком   араметры  1100x700x850 мм</v>
      </c>
      <c r="G1144" s="4" t="str">
        <f ca="1">IFERROR(__xludf.DUMMYFUNCTION("TEXTJOIN(""|"",TRUE,UNIQUE(FILTER(SPLIT(F1144,"" ""),LEN(SPLIT(F1144,"" ""))&gt;2)))"),"тол|полка|tc1110x70|ержавеющая|сталь|430|одной|полкой|бортиком|араметры|1100x700x850")</f>
        <v>тол|полка|tc1110x70|ержавеющая|сталь|430|одной|полкой|бортиком|араметры|1100x700x850</v>
      </c>
      <c r="I1144" s="1"/>
      <c r="J1144" s="1"/>
    </row>
    <row r="1145" spans="1:10" x14ac:dyDescent="0.2">
      <c r="A1145" s="8" t="s">
        <v>242</v>
      </c>
      <c r="B1145" s="7" t="s">
        <v>241</v>
      </c>
      <c r="C1145" s="7" t="s">
        <v>240</v>
      </c>
      <c r="D1145" s="6">
        <v>378000</v>
      </c>
      <c r="E1145" s="5">
        <v>1</v>
      </c>
      <c r="F1145" s="4" t="str">
        <f ca="1">IFERROR(__xludf.DUMMYFUNCTION("LOWER(REGEXREPLACE(B1145&amp;"" ""&amp;C1145,""[^а-яa-z0-9 ]"","" ""))"),"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помещения"&amp;"х ")</f>
        <v xml:space="preserve">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v>
      </c>
      <c r="G1145" s="4" t="str">
        <f ca="1">IFERROR(__xludf.DUMMYFUNCTION("TEXTJOIN(""|"",TRUE,UNIQUE(FILTER(SPLIT(F1145,"" ""),LEN(SPLIT(F1145,"" ""))&gt;2)))"),"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f>
        <v>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v>
      </c>
      <c r="I1145" s="1"/>
      <c r="J1145" s="1"/>
    </row>
    <row r="1146" spans="1:10" x14ac:dyDescent="0.2">
      <c r="A1146" s="8" t="s">
        <v>239</v>
      </c>
      <c r="B1146" s="7" t="s">
        <v>238</v>
      </c>
      <c r="C1146" s="7" t="s">
        <v>237</v>
      </c>
      <c r="D1146" s="6">
        <v>276800</v>
      </c>
      <c r="E1146" s="5">
        <v>1</v>
      </c>
      <c r="F1146" s="4" t="str">
        <f ca="1">IFERROR(__xludf.DUMMYFUNCTION("LOWER(REGEXREPLACE(B1146&amp;"" ""&amp;C1146,""[^а-яa-z0-9 ]"","" ""))")," тол 1 полка ce tc1120x70  ержавеющая сталь      430    одной полкой и бортиком   араметры  1200x700x850 мм")</f>
        <v xml:space="preserve"> тол 1 полка ce tc1120x70  ержавеющая сталь      430    одной полкой и бортиком   араметры  1200x700x850 мм</v>
      </c>
      <c r="G1146" s="4" t="str">
        <f ca="1">IFERROR(__xludf.DUMMYFUNCTION("TEXTJOIN(""|"",TRUE,UNIQUE(FILTER(SPLIT(F1146,"" ""),LEN(SPLIT(F1146,"" ""))&gt;2)))"),"тол|полка|tc1120x70|ержавеющая|сталь|430|одной|полкой|бортиком|араметры|1200x700x850")</f>
        <v>тол|полка|tc1120x70|ержавеющая|сталь|430|одной|полкой|бортиком|араметры|1200x700x850</v>
      </c>
      <c r="I1146" s="1"/>
      <c r="J1146" s="1"/>
    </row>
    <row r="1147" spans="1:10" x14ac:dyDescent="0.2">
      <c r="A1147" s="8" t="s">
        <v>236</v>
      </c>
      <c r="B1147" s="7" t="s">
        <v>235</v>
      </c>
      <c r="C1147" s="7" t="s">
        <v>234</v>
      </c>
      <c r="D1147" s="6">
        <v>289000</v>
      </c>
      <c r="E1147" s="5">
        <v>1</v>
      </c>
      <c r="F1147" s="4" t="str">
        <f ca="1">IFERROR(__xludf.DUMMYFUNCTION("LOWER(REGEXREPLACE(B1147&amp;"" ""&amp;C1147,""[^а-яa-z0-9 ]"","" ""))")," тол 1 полка ce tc1130x70  ержавеющая сталь 430    одной полкой и бортиком   араметры  1300x700x850 мм")</f>
        <v xml:space="preserve"> тол 1 полка ce tc1130x70  ержавеющая сталь 430    одной полкой и бортиком   араметры  1300x700x850 мм</v>
      </c>
      <c r="G1147" s="4" t="str">
        <f ca="1">IFERROR(__xludf.DUMMYFUNCTION("TEXTJOIN(""|"",TRUE,UNIQUE(FILTER(SPLIT(F1147,"" ""),LEN(SPLIT(F1147,"" ""))&gt;2)))"),"тол|полка|tc1130x70|ержавеющая|сталь|430|одной|полкой|бортиком|араметры|1300x700x850")</f>
        <v>тол|полка|tc1130x70|ержавеющая|сталь|430|одной|полкой|бортиком|араметры|1300x700x850</v>
      </c>
      <c r="I1147" s="1"/>
      <c r="J1147" s="1"/>
    </row>
    <row r="1148" spans="1:10" x14ac:dyDescent="0.2">
      <c r="A1148" s="8" t="s">
        <v>233</v>
      </c>
      <c r="B1148" s="7" t="s">
        <v>232</v>
      </c>
      <c r="C1148" s="7" t="s">
        <v>231</v>
      </c>
      <c r="D1148" s="6">
        <v>297600</v>
      </c>
      <c r="E1148" s="5">
        <v>1</v>
      </c>
      <c r="F1148" s="4" t="str">
        <f ca="1">IFERROR(__xludf.DUMMYFUNCTION("LOWER(REGEXREPLACE(B1148&amp;"" ""&amp;C1148,""[^а-яa-z0-9 ]"","" ""))")," тол 1 полка ce tc1140x70  ержавеющая сталь      430    одной полкой и бортиком   араметры  1400x700x850 мм")</f>
        <v xml:space="preserve"> тол 1 полка ce tc1140x70  ержавеющая сталь      430    одной полкой и бортиком   араметры  1400x700x850 мм</v>
      </c>
      <c r="G1148" s="4" t="str">
        <f ca="1">IFERROR(__xludf.DUMMYFUNCTION("TEXTJOIN(""|"",TRUE,UNIQUE(FILTER(SPLIT(F1148,"" ""),LEN(SPLIT(F1148,"" ""))&gt;2)))"),"тол|полка|tc1140x70|ержавеющая|сталь|430|одной|полкой|бортиком|араметры|1400x700x850")</f>
        <v>тол|полка|tc1140x70|ержавеющая|сталь|430|одной|полкой|бортиком|араметры|1400x700x850</v>
      </c>
      <c r="I1148" s="1"/>
      <c r="J1148" s="1"/>
    </row>
    <row r="1149" spans="1:10" x14ac:dyDescent="0.2">
      <c r="A1149" s="8" t="s">
        <v>230</v>
      </c>
      <c r="B1149" s="7" t="s">
        <v>229</v>
      </c>
      <c r="C1149" s="7" t="s">
        <v>228</v>
      </c>
      <c r="D1149" s="6">
        <v>307400</v>
      </c>
      <c r="E1149" s="5">
        <v>1</v>
      </c>
      <c r="F1149" s="4" t="str">
        <f ca="1">IFERROR(__xludf.DUMMYFUNCTION("LOWER(REGEXREPLACE(B1149&amp;"" ""&amp;C1149,""[^а-яa-z0-9 ]"","" ""))")," тол 1 полка ce tc1150x70  ержавеющая сталь      430    одной полкой и бортиком   араметры  1500x700x850 мм")</f>
        <v xml:space="preserve"> тол 1 полка ce tc1150x70  ержавеющая сталь      430    одной полкой и бортиком   араметры  1500x700x850 мм</v>
      </c>
      <c r="G1149" s="4" t="str">
        <f ca="1">IFERROR(__xludf.DUMMYFUNCTION("TEXTJOIN(""|"",TRUE,UNIQUE(FILTER(SPLIT(F1149,"" ""),LEN(SPLIT(F1149,"" ""))&gt;2)))"),"тол|полка|tc1150x70|ержавеющая|сталь|430|одной|полкой|бортиком|араметры|1500x700x850")</f>
        <v>тол|полка|tc1150x70|ержавеющая|сталь|430|одной|полкой|бортиком|араметры|1500x700x850</v>
      </c>
      <c r="I1149" s="1"/>
      <c r="J1149" s="1"/>
    </row>
    <row r="1150" spans="1:10" x14ac:dyDescent="0.2">
      <c r="A1150" s="8" t="s">
        <v>227</v>
      </c>
      <c r="B1150" s="7" t="s">
        <v>226</v>
      </c>
      <c r="C1150" s="7" t="s">
        <v>225</v>
      </c>
      <c r="D1150" s="6">
        <v>338000</v>
      </c>
      <c r="E1150" s="5">
        <v>1</v>
      </c>
      <c r="F1150" s="4" t="str">
        <f ca="1">IFERROR(__xludf.DUMMYFUNCTION("LOWER(REGEXREPLACE(B1150&amp;"" ""&amp;C1150,""[^а-яa-z0-9 ]"","" ""))")," тол 1 полка ce tc1180x70  ержавеющая сталь      430    одной полкой и бортиком   араметры  1800x700x850 мм")</f>
        <v xml:space="preserve"> тол 1 полка ce tc1180x70  ержавеющая сталь      430    одной полкой и бортиком   араметры  1800x700x850 мм</v>
      </c>
      <c r="G1150" s="4" t="str">
        <f ca="1">IFERROR(__xludf.DUMMYFUNCTION("TEXTJOIN(""|"",TRUE,UNIQUE(FILTER(SPLIT(F1150,"" ""),LEN(SPLIT(F1150,"" ""))&gt;2)))"),"тол|полка|tc1180x70|ержавеющая|сталь|430|одной|полкой|бортиком|араметры|1800x700x850")</f>
        <v>тол|полка|tc1180x70|ержавеющая|сталь|430|одной|полкой|бортиком|араметры|1800x700x850</v>
      </c>
      <c r="I1150" s="1"/>
      <c r="J1150" s="1"/>
    </row>
    <row r="1151" spans="1:10" x14ac:dyDescent="0.2">
      <c r="A1151" s="8" t="s">
        <v>224</v>
      </c>
      <c r="B1151" s="7" t="s">
        <v>223</v>
      </c>
      <c r="C1151" s="7" t="s">
        <v>222</v>
      </c>
      <c r="D1151" s="6">
        <v>641800</v>
      </c>
      <c r="E1151" s="5">
        <v>1</v>
      </c>
      <c r="F1151" s="4" t="str">
        <f ca="1">IFERROR(__xludf.DUMMYFUNCTION("LOWER(REGEXREPLACE(B1151&amp;"" ""&amp;C1151,""[^а-яa-z0-9 ]"","" ""))")," тол верх пэ ce tcp180x70  ержавеющая сталь 430   олщина полиэтилена  4 см   ез полки  с бортиком   араметры  1800x700x850 мм")</f>
        <v xml:space="preserve"> тол верх пэ ce tcp180x70  ержавеющая сталь 430   олщина полиэтилена  4 см   ез полки  с бортиком   араметры  1800x700x850 мм</v>
      </c>
      <c r="G1151" s="4" t="str">
        <f ca="1">IFERROR(__xludf.DUMMYFUNCTION("TEXTJOIN(""|"",TRUE,UNIQUE(FILTER(SPLIT(F1151,"" ""),LEN(SPLIT(F1151,"" ""))&gt;2)))"),"тол|верх|tcp180x70|ержавеющая|сталь|430|олщина|полиэтилена|полки|бортиком|араметры|1800x700x850")</f>
        <v>тол|верх|tcp180x70|ержавеющая|сталь|430|олщина|полиэтилена|полки|бортиком|араметры|1800x700x850</v>
      </c>
      <c r="I1151" s="1"/>
      <c r="J1151" s="1"/>
    </row>
    <row r="1152" spans="1:10" x14ac:dyDescent="0.2">
      <c r="A1152" s="8" t="s">
        <v>221</v>
      </c>
      <c r="B1152" s="7" t="s">
        <v>220</v>
      </c>
      <c r="C1152" s="7" t="s">
        <v>219</v>
      </c>
      <c r="D1152" s="6">
        <v>31500</v>
      </c>
      <c r="E1152" s="5">
        <v>13</v>
      </c>
      <c r="F1152" s="4" t="str">
        <f ca="1">IFERROR(__xludf.DUMMYFUNCTION("LOWER(REGEXREPLACE(B1152&amp;"" ""&amp;C1152,""[^а-яa-z0-9 ]"","" ""))"),"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ле"&amp;"гко очищается ")</f>
        <v xml:space="preserve">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v>
      </c>
      <c r="G1152" s="4" t="str">
        <f ca="1">IFERROR(__xludf.DUMMYFUNCTION("TEXTJOIN(""|"",TRUE,UNIQUE(FILTER(SPLIT(F1152,"" ""),LEN(SPLIT(F1152,"" ""))&gt;2)))"),"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f>
        <v>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v>
      </c>
      <c r="I1152" s="1"/>
      <c r="J1152" s="1"/>
    </row>
    <row r="1153" spans="1:10" x14ac:dyDescent="0.2">
      <c r="A1153" s="8" t="s">
        <v>218</v>
      </c>
      <c r="B1153" s="7" t="s">
        <v>217</v>
      </c>
      <c r="C1153" s="7" t="s">
        <v>216</v>
      </c>
      <c r="D1153" s="6">
        <v>303700</v>
      </c>
      <c r="E1153" s="5">
        <v>1</v>
      </c>
      <c r="F1153" s="4" t="str">
        <f ca="1">IFERROR(__xludf.DUMMYFUNCTION("LOWER(REGEXREPLACE(B1153&amp;"" ""&amp;C1153,""[^а-яa-z0-9 ]"","" ""))")," тол для грязной посуды ce tbs100x75  ержавеющая сталь      430    воронкой для отходов  без полки   араметры  1000x700x850 мм")</f>
        <v xml:space="preserve"> тол для грязной посуды ce tbs100x75  ержавеющая сталь      430    воронкой для отходов  без полки   араметры  1000x700x850 мм</v>
      </c>
      <c r="G1153" s="4" t="str">
        <f ca="1">IFERROR(__xludf.DUMMYFUNCTION("TEXTJOIN(""|"",TRUE,UNIQUE(FILTER(SPLIT(F1153,"" ""),LEN(SPLIT(F1153,"" ""))&gt;2)))"),"тол|для|грязной|посуды|tbs100x75|ержавеющая|сталь|430|воронкой|для|отходов|без|полки|араметры|1000x700x850")</f>
        <v>тол|для|грязной|посуды|tbs100x75|ержавеющая|сталь|430|воронкой|для|отходов|без|полки|араметры|1000x700x850</v>
      </c>
      <c r="I1153" s="1"/>
      <c r="J1153" s="1"/>
    </row>
    <row r="1154" spans="1:10" x14ac:dyDescent="0.2">
      <c r="A1154" s="8" t="s">
        <v>215</v>
      </c>
      <c r="B1154" s="7" t="s">
        <v>214</v>
      </c>
      <c r="C1154" s="7" t="s">
        <v>213</v>
      </c>
      <c r="D1154" s="6">
        <v>283500</v>
      </c>
      <c r="E1154" s="5">
        <v>10</v>
      </c>
      <c r="F1154" s="4" t="str">
        <f ca="1">IFERROR(__xludf.DUMMYFUNCTION("LOWER(REGEXREPLACE(B1154&amp;"" ""&amp;C1154,""[^а-яa-z0-9 ]"","" ""))")," тол для кабинета  азмеры  1500 600 750 мм  умба предназначена для хранения бумаги  документации и методических материалов   снащена выдвижными ящиками")</f>
        <v xml:space="preserve"> тол для кабинета  азмеры  1500 600 750 мм  умба предназначена для хранения бумаги  документации и методических материалов   снащена выдвижными ящиками</v>
      </c>
      <c r="G1154" s="4" t="str">
        <f ca="1">IFERROR(__xludf.DUMMYFUNCTION("TEXTJOIN(""|"",TRUE,UNIQUE(FILTER(SPLIT(F1154,"" ""),LEN(SPLIT(F1154,"" ""))&gt;2)))"),"тол|для|кабинета|азмеры|1500|600|750|умба|предназначена|для|хранения|бумаги|документации|методических|материалов|снащена|выдвижными|ящиками")</f>
        <v>тол|для|кабинета|азмеры|1500|600|750|умба|предназначена|для|хранения|бумаги|документации|методических|материалов|снащена|выдвижными|ящиками</v>
      </c>
      <c r="I1154" s="1"/>
      <c r="J1154" s="1"/>
    </row>
    <row r="1155" spans="1:10" x14ac:dyDescent="0.2">
      <c r="A1155" s="8" t="s">
        <v>212</v>
      </c>
      <c r="B1155" s="7" t="s">
        <v>211</v>
      </c>
      <c r="C1155" s="7" t="s">
        <v>210</v>
      </c>
      <c r="D1155" s="6">
        <v>586700</v>
      </c>
      <c r="E1155" s="5">
        <v>1</v>
      </c>
      <c r="F1155" s="4" t="str">
        <f ca="1">IFERROR(__xludf.DUMMYFUNCTION("LOWER(REGEXREPLACE(B1155&amp;"" ""&amp;C1155,""[^а-яa-z0-9 ]"","" ""))"),"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отс"&amp;"ерстием для отходов  габариты  1200х80х850 мм")</f>
        <v xml:space="preserve">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v>
      </c>
      <c r="G1155" s="4" t="str">
        <f ca="1">IFERROR(__xludf.DUMMYFUNCTION("TEXTJOIN(""|"",TRUE,UNIQUE(FILTER(SPLIT(F1155,"" ""),LEN(SPLIT(F1155,"" ""))&gt;2)))"),"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amp;"850")</f>
        <v>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v>
      </c>
      <c r="I1155" s="1"/>
      <c r="J1155" s="1"/>
    </row>
    <row r="1156" spans="1:10" x14ac:dyDescent="0.2">
      <c r="A1156" s="8" t="s">
        <v>209</v>
      </c>
      <c r="B1156" s="7" t="s">
        <v>208</v>
      </c>
      <c r="C1156" s="7" t="s">
        <v>207</v>
      </c>
      <c r="D1156" s="6">
        <v>105000</v>
      </c>
      <c r="E1156" s="5">
        <v>1</v>
      </c>
      <c r="F1156" s="4" t="str">
        <f ca="1">IFERROR(__xludf.DUMMYFUNCTION("LOWER(REGEXREPLACE(B1156&amp;"" ""&amp;C1156,""[^а-яa-z0-9 ]"","" ""))"),"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f>
        <v xml:space="preserve">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v>
      </c>
      <c r="G1156" s="4" t="str">
        <f ca="1">IFERROR(__xludf.DUMMYFUNCTION("TEXTJOIN(""|"",TRUE,UNIQUE(FILTER(SPLIT(F1156,"" ""),LEN(SPLIT(F1156,"" ""))&gt;2)))"),"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f>
        <v>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v>
      </c>
      <c r="I1156" s="1"/>
      <c r="J1156" s="1"/>
    </row>
    <row r="1157" spans="1:10" x14ac:dyDescent="0.2">
      <c r="A1157" s="8" t="s">
        <v>206</v>
      </c>
      <c r="B1157" s="7" t="s">
        <v>205</v>
      </c>
      <c r="C1157" s="7" t="s">
        <v>204</v>
      </c>
      <c r="D1157" s="6">
        <v>434800</v>
      </c>
      <c r="E1157" s="5">
        <v>2</v>
      </c>
      <c r="F1157" s="4" t="str">
        <f ca="1">IFERROR(__xludf.DUMMYFUNCTION("LOWER(REGEXREPLACE(B1157&amp;"" ""&amp;C1157,""[^а-яa-z0-9 ]"","" ""))")," тол для мытья овощей ce tsy120x70  ержавеющая сталь      430   аковина для мытья и сушки   араметры  1200x700x850 мм")</f>
        <v xml:space="preserve"> тол для мытья овощей ce tsy120x70  ержавеющая сталь      430   аковина для мытья и сушки   араметры  1200x700x850 мм</v>
      </c>
      <c r="G1157" s="4" t="str">
        <f ca="1">IFERROR(__xludf.DUMMYFUNCTION("TEXTJOIN(""|"",TRUE,UNIQUE(FILTER(SPLIT(F1157,"" ""),LEN(SPLIT(F1157,"" ""))&gt;2)))"),"тол|для|мытья|овощей|tsy120x70|ержавеющая|сталь|430|аковина|для|мытья|сушки|араметры|1200x700x850")</f>
        <v>тол|для|мытья|овощей|tsy120x70|ержавеющая|сталь|430|аковина|для|мытья|сушки|араметры|1200x700x850</v>
      </c>
      <c r="I1157" s="1"/>
      <c r="J1157" s="1"/>
    </row>
    <row r="1158" spans="1:10" x14ac:dyDescent="0.2">
      <c r="A1158" s="8" t="s">
        <v>203</v>
      </c>
      <c r="B1158" s="7" t="s">
        <v>202</v>
      </c>
      <c r="C1158" s="7" t="s">
        <v>201</v>
      </c>
      <c r="D1158" s="6">
        <v>514400</v>
      </c>
      <c r="E1158" s="5">
        <v>1</v>
      </c>
      <c r="F1158" s="4" t="str">
        <f ca="1">IFERROR(__xludf.DUMMYFUNCTION("LOWER(REGEXREPLACE(B1158&amp;"" ""&amp;C1158,""[^а-яa-z0-9 ]"","" ""))")," тол для обработки рыбы ce tbh120x70  ержавеющая сталь      430   аковина для мытья и сушки  c полиэтиленовой доской для резки   араметры  1200x700x850 мм")</f>
        <v xml:space="preserve"> тол для обработки рыбы ce tbh120x70  ержавеющая сталь      430   аковина для мытья и сушки  c полиэтиленовой доской для резки   араметры  1200x700x850 мм</v>
      </c>
      <c r="G1158" s="4" t="str">
        <f ca="1">IFERROR(__xludf.DUMMYFUNCTION("TEXTJOIN(""|"",TRUE,UNIQUE(FILTER(SPLIT(F1158,"" ""),LEN(SPLIT(F1158,"" ""))&gt;2)))"),"тол|для|обработки|рыбы|tbh120x70|ержавеющая|сталь|430|аковина|для|мытья|сушки|полиэтиленовой|доской|для|резки|араметры|1200x700x850")</f>
        <v>тол|для|обработки|рыбы|tbh120x70|ержавеющая|сталь|430|аковина|для|мытья|сушки|полиэтиленовой|доской|для|резки|араметры|1200x700x850</v>
      </c>
      <c r="I1158" s="1"/>
      <c r="J1158" s="1"/>
    </row>
    <row r="1159" spans="1:10" x14ac:dyDescent="0.2">
      <c r="A1159" s="8" t="s">
        <v>200</v>
      </c>
      <c r="B1159" s="7" t="s">
        <v>199</v>
      </c>
      <c r="C1159" s="7" t="s">
        <v>198</v>
      </c>
      <c r="D1159" s="6">
        <v>252000</v>
      </c>
      <c r="E1159" s="5">
        <v>1</v>
      </c>
      <c r="F1159" s="4" t="str">
        <f ca="1">IFERROR(__xludf.DUMMYFUNCTION("LOWER(REGEXREPLACE(B1159&amp;"" ""&amp;C1159,""[^а-яa-z0-9 ]"","" ""))"),"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становл"&amp;"ен на кол сных опорах диаметром 50 мм   атериал        16 мм   се углы скруглены ")</f>
        <v xml:space="preserve">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v>
      </c>
      <c r="G1159" s="4" t="str">
        <f ca="1">IFERROR(__xludf.DUMMYFUNCTION("TEXTJOIN(""|"",TRUE,UNIQUE(FILTER(SPLIT(F1159,"" ""),LEN(SPLIT(F1159,"" ""))&gt;2)))"),"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amp;"тром|атериал|углы|скруглены")</f>
        <v>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v>
      </c>
      <c r="I1159" s="1"/>
      <c r="J1159" s="1"/>
    </row>
    <row r="1160" spans="1:10" x14ac:dyDescent="0.2">
      <c r="A1160" s="8" t="s">
        <v>197</v>
      </c>
      <c r="B1160" s="7" t="s">
        <v>196</v>
      </c>
      <c r="C1160" s="7" t="s">
        <v>195</v>
      </c>
      <c r="D1160" s="6">
        <v>113300</v>
      </c>
      <c r="E1160" s="5">
        <v>3</v>
      </c>
      <c r="F1160" s="4" t="str">
        <f ca="1">IFERROR(__xludf.DUMMYFUNCTION("LOWER(REGEXREPLACE(B1160&amp;"" ""&amp;C1160,""[^а-яa-z0-9 ]"","" ""))")," тол инструментальный  тол используется для размещения медицинских инструментов и расходных материалов   600х400х860 мм ")</f>
        <v xml:space="preserve"> тол инструментальный  тол используется для размещения медицинских инструментов и расходных материалов   600х400х860 мм </v>
      </c>
      <c r="G1160" s="4" t="str">
        <f ca="1">IFERROR(__xludf.DUMMYFUNCTION("TEXTJOIN(""|"",TRUE,UNIQUE(FILTER(SPLIT(F1160,"" ""),LEN(SPLIT(F1160,"" ""))&gt;2)))"),"тол|инструментальный|тол|используется|для|размещения|медицинских|инструментов|расходных|материалов|600х400х860")</f>
        <v>тол|инструментальный|тол|используется|для|размещения|медицинских|инструментов|расходных|материалов|600х400х860</v>
      </c>
      <c r="I1160" s="1"/>
      <c r="J1160" s="1"/>
    </row>
    <row r="1161" spans="1:10" x14ac:dyDescent="0.2">
      <c r="A1161" s="8" t="s">
        <v>194</v>
      </c>
      <c r="B1161" s="7" t="s">
        <v>193</v>
      </c>
      <c r="C1161" s="7" t="s">
        <v>192</v>
      </c>
      <c r="D1161" s="6">
        <v>402900</v>
      </c>
      <c r="E1161" s="5">
        <v>1</v>
      </c>
      <c r="F1161" s="4" t="str">
        <f ca="1">IFERROR(__xludf.DUMMYFUNCTION("LOWER(REGEXREPLACE(B1161&amp;"" ""&amp;C1161,""[^а-яa-z0-9 ]"","" ""))")," тол на роликах ce tch120x60  ержавеющая сталь      430    полкой и 4 колесами   араметры  1200x600x850 ммй")</f>
        <v xml:space="preserve"> тол на роликах ce tch120x60  ержавеющая сталь      430    полкой и 4 колесами   араметры  1200x600x850 ммй</v>
      </c>
      <c r="G1161" s="4" t="str">
        <f ca="1">IFERROR(__xludf.DUMMYFUNCTION("TEXTJOIN(""|"",TRUE,UNIQUE(FILTER(SPLIT(F1161,"" ""),LEN(SPLIT(F1161,"" ""))&gt;2)))"),"тол|роликах|tch120x60|ержавеющая|сталь|430|полкой|колесами|араметры|1200x600x850|ммй")</f>
        <v>тол|роликах|tch120x60|ержавеющая|сталь|430|полкой|колесами|араметры|1200x600x850|ммй</v>
      </c>
      <c r="I1161" s="1"/>
      <c r="J1161" s="1"/>
    </row>
    <row r="1162" spans="1:10" x14ac:dyDescent="0.2">
      <c r="A1162" s="8" t="s">
        <v>191</v>
      </c>
      <c r="B1162" s="7" t="s">
        <v>190</v>
      </c>
      <c r="C1162" s="7" t="s">
        <v>189</v>
      </c>
      <c r="D1162" s="6">
        <v>503400</v>
      </c>
      <c r="E1162" s="5">
        <v>1</v>
      </c>
      <c r="F1162" s="4" t="str">
        <f ca="1">IFERROR(__xludf.DUMMYFUNCTION("LOWER(REGEXREPLACE(B1162&amp;"" ""&amp;C1162,""[^а-яa-z0-9 ]"","" ""))")," тол на роликах ce tch180x70  ержавеющая сталь      430    полкой и 4 колесами   араметры  1800x700x850 мм")</f>
        <v xml:space="preserve"> тол на роликах ce tch180x70  ержавеющая сталь      430    полкой и 4 колесами   араметры  1800x700x850 мм</v>
      </c>
      <c r="G1162" s="4" t="str">
        <f ca="1">IFERROR(__xludf.DUMMYFUNCTION("TEXTJOIN(""|"",TRUE,UNIQUE(FILTER(SPLIT(F1162,"" ""),LEN(SPLIT(F1162,"" ""))&gt;2)))"),"тол|роликах|tch180x70|ержавеющая|сталь|430|полкой|колесами|араметры|1800x700x850")</f>
        <v>тол|роликах|tch180x70|ержавеющая|сталь|430|полкой|колесами|араметры|1800x700x850</v>
      </c>
      <c r="I1162" s="1"/>
      <c r="J1162" s="1"/>
    </row>
    <row r="1163" spans="1:10" x14ac:dyDescent="0.2">
      <c r="A1163" s="8" t="s">
        <v>188</v>
      </c>
      <c r="B1163" s="7" t="s">
        <v>187</v>
      </c>
      <c r="C1163" s="7" t="s">
        <v>186</v>
      </c>
      <c r="D1163" s="6">
        <v>252000</v>
      </c>
      <c r="E1163" s="5">
        <v>1</v>
      </c>
      <c r="F1163" s="4" t="str">
        <f ca="1">IFERROR(__xludf.DUMMYFUNCTION("LOWER(REGEXREPLACE(B1163&amp;"" ""&amp;C1163,""[^а-яa-z0-9 ]"","" ""))"),"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f>
        <v xml:space="preserve">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v>
      </c>
      <c r="G1163" s="4" t="str">
        <f ca="1">IFERROR(__xludf.DUMMYFUNCTION("TEXTJOIN(""|"",TRUE,UNIQUE(FILTER(SPLIT(F1163,"" ""),LEN(SPLIT(F1163,"" ""))&gt;2)))"),"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f>
        <v>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v>
      </c>
      <c r="I1163" s="1"/>
      <c r="J1163" s="1"/>
    </row>
    <row r="1164" spans="1:10" x14ac:dyDescent="0.2">
      <c r="A1164" s="8" t="s">
        <v>185</v>
      </c>
      <c r="B1164" s="7" t="s">
        <v>184</v>
      </c>
      <c r="C1164" s="7" t="s">
        <v>183</v>
      </c>
      <c r="D1164" s="6">
        <v>471500</v>
      </c>
      <c r="E1164" s="5">
        <v>1</v>
      </c>
      <c r="F1164" s="4" t="str">
        <f ca="1">IFERROR(__xludf.DUMMYFUNCTION("LOWER(REGEXREPLACE(B1164&amp;"" ""&amp;C1164,""[^а-яa-z0-9 ]"","" ""))")," тол подачи посудомойки ce tbg100x75  ержавеющая сталь      430    одной  раковиной без полки   ойка  50x40x25 см   араметры  1000x750x850 мм")</f>
        <v xml:space="preserve"> тол подачи посудомойки ce tbg100x75  ержавеющая сталь      430    одной  раковиной без полки   ойка  50x40x25 см   араметры  1000x750x850 мм</v>
      </c>
      <c r="G1164" s="4" t="str">
        <f ca="1">IFERROR(__xludf.DUMMYFUNCTION("TEXTJOIN(""|"",TRUE,UNIQUE(FILTER(SPLIT(F1164,"" ""),LEN(SPLIT(F1164,"" ""))&gt;2)))"),"тол|подачи|посудомойки|tbg100x75|ержавеющая|сталь|430|одной|раковиной|без|полки|ойка|50x40x25|араметры|1000x750x850")</f>
        <v>тол|подачи|посудомойки|tbg100x75|ержавеющая|сталь|430|одной|раковиной|без|полки|ойка|50x40x25|араметры|1000x750x850</v>
      </c>
      <c r="I1164" s="1"/>
      <c r="J1164" s="1"/>
    </row>
    <row r="1165" spans="1:10" x14ac:dyDescent="0.2">
      <c r="A1165" s="8" t="s">
        <v>182</v>
      </c>
      <c r="B1165" s="7" t="s">
        <v>181</v>
      </c>
      <c r="C1165" s="7" t="s">
        <v>180</v>
      </c>
      <c r="D1165" s="6">
        <v>12817</v>
      </c>
      <c r="E1165" s="5">
        <v>21</v>
      </c>
      <c r="F1165" s="4" t="str">
        <f ca="1">IFERROR(__xludf.DUMMYFUNCTION("LOWER(REGEXREPLACE(B1165&amp;"" ""&amp;C1165,""[^а-яa-z0-9 ]"","" ""))")," кустическая система  icrolab   106  10 т  2 5 т 2 5 т   выход 2     вход 3 5  ini ack")</f>
        <v xml:space="preserve"> кустическая система  icrolab   106  10 т  2 5 т 2 5 т   выход 2     вход 3 5  ini ack</v>
      </c>
      <c r="G1165" s="4" t="str">
        <f ca="1">IFERROR(__xludf.DUMMYFUNCTION("TEXTJOIN(""|"",TRUE,UNIQUE(FILTER(SPLIT(F1165,"" ""),LEN(SPLIT(F1165,"" ""))&gt;2)))"),"кустическая|система|icrolab|106|выход|вход|ini|ack")</f>
        <v>кустическая|система|icrolab|106|выход|вход|ini|ack</v>
      </c>
      <c r="I1165" s="1"/>
      <c r="J1165" s="1"/>
    </row>
    <row r="1166" spans="1:10" x14ac:dyDescent="0.2">
      <c r="A1166" s="8" t="s">
        <v>179</v>
      </c>
      <c r="B1166" s="7" t="s">
        <v>178</v>
      </c>
      <c r="C1166" s="7" t="s">
        <v>177</v>
      </c>
      <c r="D1166" s="6">
        <v>11900</v>
      </c>
      <c r="E1166" s="5">
        <v>35</v>
      </c>
      <c r="F1166" s="4" t="str">
        <f ca="1">IFERROR(__xludf.DUMMYFUNCTION("LOWER(REGEXREPLACE(B1166&amp;"" ""&amp;C1166,""[^а-яa-z0-9 ]"","" ""))")," арнитура  арнитура  4 ech    35")</f>
        <v xml:space="preserve"> арнитура  арнитура  4 ech    35</v>
      </c>
      <c r="G1166" s="4" t="str">
        <f ca="1">IFERROR(__xludf.DUMMYFUNCTION("TEXTJOIN(""|"",TRUE,UNIQUE(FILTER(SPLIT(F1166,"" ""),LEN(SPLIT(F1166,"" ""))&gt;2)))"),"арнитура|арнитура|ech")</f>
        <v>арнитура|арнитура|ech</v>
      </c>
      <c r="I1166" s="1"/>
      <c r="J1166" s="1"/>
    </row>
    <row r="1167" spans="1:10" x14ac:dyDescent="0.2">
      <c r="A1167" s="8" t="s">
        <v>176</v>
      </c>
      <c r="B1167" s="7" t="s">
        <v>175</v>
      </c>
      <c r="C1167" s="7" t="s">
        <v>174</v>
      </c>
      <c r="D1167" s="6">
        <v>615700</v>
      </c>
      <c r="E1167" s="5">
        <v>1</v>
      </c>
      <c r="F1167" s="4" t="str">
        <f ca="1">IFERROR(__xludf.DUMMYFUNCTION("LOWER(REGEXREPLACE(B1167&amp;"" ""&amp;C1167,""[^а-яa-z0-9 ]"","" ""))"),"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f>
        <v xml:space="preserve">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v>
      </c>
      <c r="G1167" s="4" t="str">
        <f ca="1">IFERROR(__xludf.DUMMYFUNCTION("TEXTJOIN(""|"",TRUE,UNIQUE(FILTER(SPLIT(F1167,"" ""),LEN(SPLIT(F1167,"" ""))&gt;2)))"),"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f>
        <v>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v>
      </c>
      <c r="I1167" s="1"/>
      <c r="J1167" s="1"/>
    </row>
    <row r="1168" spans="1:10" x14ac:dyDescent="0.2">
      <c r="A1168" s="8" t="s">
        <v>173</v>
      </c>
      <c r="B1168" s="8" t="s">
        <v>172</v>
      </c>
      <c r="C1168" s="7" t="s">
        <v>171</v>
      </c>
      <c r="D1168" s="6">
        <v>1800000</v>
      </c>
      <c r="E1168" s="5">
        <v>7</v>
      </c>
      <c r="F1168" s="4" t="str">
        <f ca="1">IFERROR(__xludf.DUMMYFUNCTION("LOWER(REGEXREPLACE(B1168&amp;"" ""&amp;C1168,""[^а-яa-z0-9 ]"","" ""))"),"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"&amp;"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демонстр"&amp;"ационных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распоз"&amp;"нает жесты для вращения 3  объектов  увеличения 3  объектов   ")</f>
        <v xml:space="preserve">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v>
      </c>
      <c r="G1168" s="4" t="str">
        <f ca="1">IFERROR(__xludf.DUMMYFUNCTION("TEXTJOIN(""|"",TRUE,UNIQUE(FILTER(SPLIT(F1168,"" ""),LEN(SPLIT(F1168,"" ""))&gt;2)))"),"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amp;"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amp;"|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f>
        <v>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v>
      </c>
      <c r="I1168" s="1"/>
      <c r="J1168" s="1"/>
    </row>
    <row r="1169" spans="1:10" x14ac:dyDescent="0.2">
      <c r="A1169" s="8" t="s">
        <v>170</v>
      </c>
      <c r="B1169" s="7" t="s">
        <v>169</v>
      </c>
      <c r="C1169" s="7" t="s">
        <v>168</v>
      </c>
      <c r="D1169" s="6">
        <v>1735100</v>
      </c>
      <c r="E1169" s="5">
        <v>1</v>
      </c>
      <c r="F1169" s="4" t="str">
        <f ca="1">IFERROR(__xludf.DUMMYFUNCTION("LOWER(REGEXREPLACE(B1169&amp;"" ""&amp;C1169,""[^а-яa-z0-9 ]"","" ""))")," артофелечистка pat 650t  местимость  5 10 кг   ластиковый редуктор  380     ощность  0 55 к т   азмеры  48x76x102 см")</f>
        <v xml:space="preserve"> артофелечистка pat 650t  местимость  5 10 кг   ластиковый редуктор  380     ощность  0 55 к т   азмеры  48x76x102 см</v>
      </c>
      <c r="G1169" s="4" t="str">
        <f ca="1">IFERROR(__xludf.DUMMYFUNCTION("TEXTJOIN(""|"",TRUE,UNIQUE(FILTER(SPLIT(F1169,"" ""),LEN(SPLIT(F1169,"" ""))&gt;2)))"),"артофелечистка|pat|650t|местимость|ластиковый|редуктор|380|ощность|азмеры|48x76x102")</f>
        <v>артофелечистка|pat|650t|местимость|ластиковый|редуктор|380|ощность|азмеры|48x76x102</v>
      </c>
      <c r="I1169" s="1"/>
      <c r="J1169" s="1"/>
    </row>
    <row r="1170" spans="1:10" x14ac:dyDescent="0.2">
      <c r="A1170" s="8" t="s">
        <v>167</v>
      </c>
      <c r="B1170" s="7" t="s">
        <v>166</v>
      </c>
      <c r="C1170" s="7" t="s">
        <v>165</v>
      </c>
      <c r="D1170" s="6">
        <v>3988700</v>
      </c>
      <c r="E1170" s="5">
        <v>1</v>
      </c>
      <c r="F1170" s="4" t="str">
        <f ca="1">IFERROR(__xludf.DUMMYFUNCTION("LOWER(REGEXREPLACE(B1170&amp;"" ""&amp;C1170,""[^а-яa-z0-9 ]"","" ""))")," отел варочный электрический vpe7 23  бъем  80 л  0 55 м3 15 к т 400     азмеры  700 800 850 мм")</f>
        <v xml:space="preserve"> отел варочный электрический vpe7 23  бъем  80 л  0 55 м3 15 к т 400     азмеры  700 800 850 мм</v>
      </c>
      <c r="G1170" s="4" t="str">
        <f ca="1">IFERROR(__xludf.DUMMYFUNCTION("TEXTJOIN(""|"",TRUE,UNIQUE(FILTER(SPLIT(F1170,"" ""),LEN(SPLIT(F1170,"" ""))&gt;2)))"),"отел|варочный|электрический|vpe7|бъем|400|азмеры|700|800|850")</f>
        <v>отел|варочный|электрический|vpe7|бъем|400|азмеры|700|800|850</v>
      </c>
      <c r="I1170" s="1"/>
      <c r="J1170" s="1"/>
    </row>
    <row r="1171" spans="1:10" x14ac:dyDescent="0.2">
      <c r="A1171" s="8" t="s">
        <v>164</v>
      </c>
      <c r="B1171" s="7" t="s">
        <v>163</v>
      </c>
      <c r="C1171" s="7" t="s">
        <v>162</v>
      </c>
      <c r="D1171" s="6">
        <v>51000</v>
      </c>
      <c r="E1171" s="5">
        <v>13</v>
      </c>
      <c r="F1171" s="4" t="str">
        <f ca="1">IFERROR(__xludf.DUMMYFUNCTION("LOWER(REGEXREPLACE(B1171&amp;"" ""&amp;C1171,""[^а-яa-z0-9 ]"","" ""))")," улер  улер для воды      qua 1")</f>
        <v xml:space="preserve"> улер  улер для воды      qua 1</v>
      </c>
      <c r="G1171" s="4" t="str">
        <f ca="1">IFERROR(__xludf.DUMMYFUNCTION("TEXTJOIN(""|"",TRUE,UNIQUE(FILTER(SPLIT(F1171,"" ""),LEN(SPLIT(F1171,"" ""))&gt;2)))"),"улер|улер|для|воды|qua")</f>
        <v>улер|улер|для|воды|qua</v>
      </c>
      <c r="I1171" s="1"/>
      <c r="J1171" s="1"/>
    </row>
    <row r="1172" spans="1:10" x14ac:dyDescent="0.2">
      <c r="A1172" s="8" t="s">
        <v>161</v>
      </c>
      <c r="B1172" s="7" t="s">
        <v>160</v>
      </c>
      <c r="C1172" s="7" t="s">
        <v>159</v>
      </c>
      <c r="D1172" s="6">
        <v>62900</v>
      </c>
      <c r="E1172" s="5">
        <v>1</v>
      </c>
      <c r="F1172" s="4" t="str">
        <f ca="1">IFERROR(__xludf.DUMMYFUNCTION("LOWER(REGEXREPLACE(B1172&amp;"" ""&amp;C1172,""[^а-яa-z0-9 ]"","" ""))"),"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ср"&amp;"еде ")</f>
        <v xml:space="preserve">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v>
      </c>
      <c r="G1172" s="4" t="str">
        <f ca="1">IFERROR(__xludf.DUMMYFUNCTION("TEXTJOIN(""|"",TRUE,UNIQUE(FILTER(SPLIT(F1172,"" ""),LEN(SPLIT(F1172,"" ""))&gt;2)))"),"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f>
        <v>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v>
      </c>
      <c r="I1172" s="1"/>
      <c r="J1172" s="1"/>
    </row>
    <row r="1173" spans="1:10" x14ac:dyDescent="0.2">
      <c r="A1173" s="8" t="s">
        <v>158</v>
      </c>
      <c r="B1173" s="8" t="s">
        <v>157</v>
      </c>
      <c r="C1173" s="7" t="s">
        <v>156</v>
      </c>
      <c r="D1173" s="6">
        <v>176800</v>
      </c>
      <c r="E1173" s="5">
        <v>1</v>
      </c>
      <c r="F1173" s="4" t="str">
        <f ca="1">IFERROR(__xludf.DUMMYFUNCTION("LOWER(REGEXREPLACE(B1173&amp;"" ""&amp;C1173,""[^а-яa-z0-9 ]"","" ""))")," обильная стойка  обильная стойка для интерактивной панели на кол сах   иагональ экрана 75 дюймов  ")</f>
        <v xml:space="preserve"> обильная стойка  обильная стойка для интерактивной панели на кол сах   иагональ экрана 75 дюймов  </v>
      </c>
      <c r="G1173" s="4" t="str">
        <f ca="1">IFERROR(__xludf.DUMMYFUNCTION("TEXTJOIN(""|"",TRUE,UNIQUE(FILTER(SPLIT(F1173,"" ""),LEN(SPLIT(F1173,"" ""))&gt;2)))"),"обильная|стойка|обильная|стойка|для|интерактивной|панели|кол|сах|иагональ|экрана|дюймов")</f>
        <v>обильная|стойка|обильная|стойка|для|интерактивной|панели|кол|сах|иагональ|экрана|дюймов</v>
      </c>
      <c r="I1173" s="1"/>
      <c r="J1173" s="1"/>
    </row>
    <row r="1174" spans="1:10" x14ac:dyDescent="0.2">
      <c r="A1174" s="8" t="s">
        <v>155</v>
      </c>
      <c r="B1174" s="7" t="s">
        <v>154</v>
      </c>
      <c r="C1174" s="7" t="s">
        <v>153</v>
      </c>
      <c r="D1174" s="6">
        <v>1363300</v>
      </c>
      <c r="E1174" s="5">
        <v>1</v>
      </c>
      <c r="F1174" s="4" t="str">
        <f ca="1">IFERROR(__xludf.DUMMYFUNCTION("LOWER(REGEXREPLACE(B1174&amp;"" ""&amp;C1174,""[^а-яa-z0-9 ]"","" ""))")," ашина для резки овощей seb 210m  местимость  300 кг час   астольный  5 ножей  220     ощность  0 37 к т   азмеры  27x88x108 см")</f>
        <v xml:space="preserve"> ашина для резки овощей seb 210m  местимость  300 кг час   астольный  5 ножей  220     ощность  0 37 к т   азмеры  27x88x108 см</v>
      </c>
      <c r="G1174" s="4" t="str">
        <f ca="1">IFERROR(__xludf.DUMMYFUNCTION("TEXTJOIN(""|"",TRUE,UNIQUE(FILTER(SPLIT(F1174,"" ""),LEN(SPLIT(F1174,"" ""))&gt;2)))"),"ашина|для|резки|овощей|seb|210m|местимость|300|час|астольный|ножей|220|ощность|азмеры|27x88x108")</f>
        <v>ашина|для|резки|овощей|seb|210m|местимость|300|час|астольный|ножей|220|ощность|азмеры|27x88x108</v>
      </c>
      <c r="I1174" s="1"/>
      <c r="J1174" s="1"/>
    </row>
    <row r="1175" spans="1:10" x14ac:dyDescent="0.2">
      <c r="A1175" s="8" t="s">
        <v>152</v>
      </c>
      <c r="B1175" s="7" t="s">
        <v>151</v>
      </c>
      <c r="C1175" s="7" t="s">
        <v>150</v>
      </c>
      <c r="D1175" s="6">
        <v>62900</v>
      </c>
      <c r="E1175" s="5">
        <v>1</v>
      </c>
      <c r="F1175" s="4" t="str">
        <f ca="1">IFERROR(__xludf.DUMMYFUNCTION("LOWER(REGEXREPLACE(B1175&amp;"" ""&amp;C1175,""[^а-яa-z0-9 ]"","" ""))"),"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по"&amp;"рций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"&amp;"оснащена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f>
        <v xml:space="preserve">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v>
      </c>
      <c r="G1175" s="4" t="str">
        <f ca="1">IFERROR(__xludf.DUMMYFUNCTION("TEXTJOIN(""|"",TRUE,UNIQUE(FILTER(SPLIT(F1175,"" ""),LEN(SPLIT(F1175,"" ""))&gt;2)))"),"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amp;"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amp;"мопроизвольное|открывание|стройство|устанавливается|устойчивую|поверхность|подключается|сети|220|используется|взрослыми|сотрудниками")</f>
        <v>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v>
      </c>
      <c r="I1175" s="1"/>
      <c r="J1175" s="1"/>
    </row>
    <row r="1176" spans="1:10" x14ac:dyDescent="0.2">
      <c r="A1176" s="8" t="s">
        <v>149</v>
      </c>
      <c r="B1176" s="7" t="s">
        <v>148</v>
      </c>
      <c r="C1176" s="7" t="s">
        <v>147</v>
      </c>
      <c r="D1176" s="6">
        <v>510100</v>
      </c>
      <c r="E1176" s="5">
        <v>2</v>
      </c>
      <c r="F1176" s="4" t="str">
        <f ca="1">IFERROR(__xludf.DUMMYFUNCTION("LOWER(REGEXREPLACE(B1176&amp;"" ""&amp;C1176,""[^а-яa-z0-9 ]"","" ""))"),"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з"&amp;"вука и ограничение уровня громкости в соответствии с требованиями   орпус выполнен без острых углов и рассчитан на стационарное использование ")</f>
        <v xml:space="preserve">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v>
      </c>
      <c r="G1176" s="4" t="str">
        <f ca="1">IFERROR(__xludf.DUMMYFUNCTION("TEXTJOIN(""|"",TRUE,UNIQUE(FILTER(SPLIT(F1176,"" ""),LEN(SPLIT(F1176,"" ""))&gt;2)))"),"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amp;"я|громкости|соответствии|требованиями|орпус|выполнен|без|острых|углов|рассчитан|стационарное|использование")</f>
        <v>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v>
      </c>
      <c r="I1176" s="1"/>
      <c r="J1176" s="1"/>
    </row>
    <row r="1177" spans="1:10" x14ac:dyDescent="0.2">
      <c r="A1177" s="8" t="s">
        <v>146</v>
      </c>
      <c r="B1177" s="7" t="s">
        <v>145</v>
      </c>
      <c r="C1177" s="7" t="s">
        <v>144</v>
      </c>
      <c r="D1177" s="6">
        <v>255000</v>
      </c>
      <c r="E1177" s="5">
        <v>1</v>
      </c>
      <c r="F1177" s="4" t="str">
        <f ca="1">IFERROR(__xludf.DUMMYFUNCTION("LOWER(REGEXREPLACE(B1177&amp;"" ""&amp;C1177,""[^а-яa-z0-9 ]"","" ""))"),"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отд"&amp;"ельной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з"&amp;"ащиты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"&amp;"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f>
        <v xml:space="preserve">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v>
      </c>
      <c r="G1177" s="4" t="str">
        <f ca="1">IFERROR(__xludf.DUMMYFUNCTION("TEXTJOIN(""|"",TRUE,UNIQUE(FILTER(SPLIT(F1177,"" ""),LEN(SPLIT(F1177,"" ""))&gt;2)))"),"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amp;"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amp;"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amp;"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f>
        <v>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v>
      </c>
      <c r="I1177" s="1"/>
      <c r="J1177" s="1"/>
    </row>
    <row r="1178" spans="1:10" x14ac:dyDescent="0.2">
      <c r="A1178" s="8" t="s">
        <v>143</v>
      </c>
      <c r="B1178" s="7" t="s">
        <v>142</v>
      </c>
      <c r="C1178" s="7" t="s">
        <v>141</v>
      </c>
      <c r="D1178" s="6">
        <v>149259</v>
      </c>
      <c r="E1178" s="5">
        <v>1</v>
      </c>
      <c r="F1178" s="4" t="str">
        <f ca="1">IFERROR(__xludf.DUMMYFUNCTION("LOWER(REGEXREPLACE(B1178&amp;"" ""&amp;C1178,""[^а-яa-z0-9 ]"","" ""))"),"         pson  2110   4  15 ppm 1440 x 720 dpi            tray 150")</f>
        <v xml:space="preserve">         pson  2110   4  15 ppm 1440 x 720 dpi            tray 150</v>
      </c>
      <c r="G1178" s="4" t="str">
        <f ca="1">IFERROR(__xludf.DUMMYFUNCTION("TEXTJOIN(""|"",TRUE,UNIQUE(FILTER(SPLIT(F1178,"" ""),LEN(SPLIT(F1178,"" ""))&gt;2)))"),"pson|2110|ppm|1440|720|dpi|tray|150")</f>
        <v>pson|2110|ppm|1440|720|dpi|tray|150</v>
      </c>
      <c r="I1178" s="1"/>
      <c r="J1178" s="1"/>
    </row>
    <row r="1179" spans="1:10" x14ac:dyDescent="0.2">
      <c r="A1179" s="7"/>
      <c r="B1179" s="7"/>
      <c r="C1179" s="7" t="s">
        <v>140</v>
      </c>
      <c r="D1179" s="6">
        <v>149259</v>
      </c>
      <c r="E1179" s="5">
        <v>1</v>
      </c>
      <c r="F1179" s="4" t="str">
        <f ca="1">IFERROR(__xludf.DUMMYFUNCTION("LOWER(REGEXREPLACE(B1179&amp;"" ""&amp;C1179,""[^а-яa-z0-9 ]"","" ""))"),"      pson  2110   4  15 ppm 1440 x 720 dpi            tray 151")</f>
        <v xml:space="preserve">      pson  2110   4  15 ppm 1440 x 720 dpi            tray 151</v>
      </c>
      <c r="G1179" s="4" t="str">
        <f ca="1">IFERROR(__xludf.DUMMYFUNCTION("TEXTJOIN(""|"",TRUE,UNIQUE(FILTER(SPLIT(F1179,"" ""),LEN(SPLIT(F1179,"" ""))&gt;2)))"),"pson|2110|ppm|1440|720|dpi|tray|151")</f>
        <v>pson|2110|ppm|1440|720|dpi|tray|151</v>
      </c>
      <c r="I1179" s="1"/>
      <c r="J1179" s="1"/>
    </row>
    <row r="1180" spans="1:10" x14ac:dyDescent="0.2">
      <c r="A1180" s="7"/>
      <c r="B1180" s="7"/>
      <c r="C1180" s="7" t="s">
        <v>139</v>
      </c>
      <c r="D1180" s="6">
        <v>149259</v>
      </c>
      <c r="E1180" s="5">
        <v>1</v>
      </c>
      <c r="F1180" s="4" t="str">
        <f ca="1">IFERROR(__xludf.DUMMYFUNCTION("LOWER(REGEXREPLACE(B1180&amp;"" ""&amp;C1180,""[^а-яa-z0-9 ]"","" ""))"),"      pson  2110   4  15 ppm 1440 x 720 dpi            tray 152")</f>
        <v xml:space="preserve">      pson  2110   4  15 ppm 1440 x 720 dpi            tray 152</v>
      </c>
      <c r="G1180" s="4" t="str">
        <f ca="1">IFERROR(__xludf.DUMMYFUNCTION("TEXTJOIN(""|"",TRUE,UNIQUE(FILTER(SPLIT(F1180,"" ""),LEN(SPLIT(F1180,"" ""))&gt;2)))"),"pson|2110|ppm|1440|720|dpi|tray|152")</f>
        <v>pson|2110|ppm|1440|720|dpi|tray|152</v>
      </c>
      <c r="I1180" s="1"/>
      <c r="J1180" s="1"/>
    </row>
    <row r="1181" spans="1:10" x14ac:dyDescent="0.2">
      <c r="A1181" s="7"/>
      <c r="B1181" s="7"/>
      <c r="C1181" s="7" t="s">
        <v>138</v>
      </c>
      <c r="D1181" s="6">
        <v>149259</v>
      </c>
      <c r="E1181" s="5">
        <v>1</v>
      </c>
      <c r="F1181" s="4" t="str">
        <f ca="1">IFERROR(__xludf.DUMMYFUNCTION("LOWER(REGEXREPLACE(B1181&amp;"" ""&amp;C1181,""[^а-яa-z0-9 ]"","" ""))"),"      pson  2110   4  15 ppm 1440 x 720 dpi            tray 153")</f>
        <v xml:space="preserve">      pson  2110   4  15 ppm 1440 x 720 dpi            tray 153</v>
      </c>
      <c r="G1181" s="4" t="str">
        <f ca="1">IFERROR(__xludf.DUMMYFUNCTION("TEXTJOIN(""|"",TRUE,UNIQUE(FILTER(SPLIT(F1181,"" ""),LEN(SPLIT(F1181,"" ""))&gt;2)))"),"pson|2110|ppm|1440|720|dpi|tray|153")</f>
        <v>pson|2110|ppm|1440|720|dpi|tray|153</v>
      </c>
      <c r="I1181" s="1"/>
      <c r="J1181" s="1"/>
    </row>
    <row r="1182" spans="1:10" x14ac:dyDescent="0.2">
      <c r="A1182" s="7"/>
      <c r="B1182" s="7"/>
      <c r="C1182" s="7" t="s">
        <v>137</v>
      </c>
      <c r="D1182" s="6">
        <v>149259</v>
      </c>
      <c r="E1182" s="5">
        <v>1</v>
      </c>
      <c r="F1182" s="4" t="str">
        <f ca="1">IFERROR(__xludf.DUMMYFUNCTION("LOWER(REGEXREPLACE(B1182&amp;"" ""&amp;C1182,""[^а-яa-z0-9 ]"","" ""))"),"      pson  2110   4  15 ppm 1440 x 720 dpi            tray 154")</f>
        <v xml:space="preserve">      pson  2110   4  15 ppm 1440 x 720 dpi            tray 154</v>
      </c>
      <c r="G1182" s="4" t="str">
        <f ca="1">IFERROR(__xludf.DUMMYFUNCTION("TEXTJOIN(""|"",TRUE,UNIQUE(FILTER(SPLIT(F1182,"" ""),LEN(SPLIT(F1182,"" ""))&gt;2)))"),"pson|2110|ppm|1440|720|dpi|tray|154")</f>
        <v>pson|2110|ppm|1440|720|dpi|tray|154</v>
      </c>
      <c r="I1182" s="1"/>
      <c r="J1182" s="1"/>
    </row>
    <row r="1183" spans="1:10" x14ac:dyDescent="0.2">
      <c r="A1183" s="8" t="s">
        <v>136</v>
      </c>
      <c r="B1183" s="7" t="s">
        <v>135</v>
      </c>
      <c r="C1183" s="7" t="s">
        <v>134</v>
      </c>
      <c r="D1183" s="6">
        <v>477540</v>
      </c>
      <c r="E1183" s="5">
        <v>8</v>
      </c>
      <c r="F1183" s="4" t="str">
        <f ca="1">IFERROR(__xludf.DUMMYFUNCTION("LOWER(REGEXREPLACE(B1183&amp;"" ""&amp;C1183,""[^а-яa-z0-9 ]"","" ""))")," оноблок   оноблок  vtech  40   ntel   ore  i3 10100 частота 3 60 4 30   z 4 ядра 8 потоков   ntel     raphics 630         4 8           256    indows 10 11")</f>
        <v xml:space="preserve"> оноблок   оноблок  vtech  40   ntel   ore  i3 10100 частота 3 60 4 30   z 4 ядра 8 потоков   ntel     raphics 630         4 8           256    indows 10 11</v>
      </c>
      <c r="G1183" s="4" t="str">
        <f ca="1">IFERROR(__xludf.DUMMYFUNCTION("TEXTJOIN(""|"",TRUE,UNIQUE(FILTER(SPLIT(F1183,"" ""),LEN(SPLIT(F1183,"" ""))&gt;2)))"),"оноблок|оноблок|vtech|ntel|ore|10100|частота|ядра|потоков|ntel|raphics|630|256|indows")</f>
        <v>оноблок|оноблок|vtech|ntel|ore|10100|частота|ядра|потоков|ntel|raphics|630|256|indows</v>
      </c>
      <c r="I1183" s="1"/>
      <c r="J1183" s="1"/>
    </row>
    <row r="1184" spans="1:10" x14ac:dyDescent="0.2">
      <c r="A1184" s="8" t="s">
        <v>133</v>
      </c>
      <c r="B1184" s="8" t="s">
        <v>132</v>
      </c>
      <c r="C1184" s="7" t="s">
        <v>131</v>
      </c>
      <c r="D1184" s="6">
        <v>255000</v>
      </c>
      <c r="E1184" s="5">
        <v>2</v>
      </c>
      <c r="F1184" s="4" t="str">
        <f ca="1">IFERROR(__xludf.DUMMYFUNCTION("LOWER(REGEXREPLACE(B1184&amp;"" ""&amp;C1184,""[^а-яa-z0-9 ]"","" ""))"),"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музыкальн"&amp;"ых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f>
        <v xml:space="preserve">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v>
      </c>
      <c r="G1184" s="4" t="str">
        <f ca="1">IFERROR(__xludf.DUMMYFUNCTION("TEXTJOIN(""|"",TRUE,UNIQUE(FILTER(SPLIT(F1184,"" ""),LEN(SPLIT(F1184,"" ""))&gt;2)))"),"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amp;"в|подвижных|игр|мероприятий|онструкция|обеспечивает|мобильность|устойчивость|удобство|перемещения|ксплуатируется|взрослыми|сотрудниками")</f>
        <v>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v>
      </c>
      <c r="I1184" s="1"/>
      <c r="J1184" s="1"/>
    </row>
    <row r="1185" spans="1:10" x14ac:dyDescent="0.2">
      <c r="A1185" s="8" t="s">
        <v>130</v>
      </c>
      <c r="B1185" s="7" t="s">
        <v>129</v>
      </c>
      <c r="C1185" s="7" t="s">
        <v>128</v>
      </c>
      <c r="D1185" s="6">
        <v>1487200</v>
      </c>
      <c r="E1185" s="5">
        <v>1</v>
      </c>
      <c r="F1185" s="4" t="str">
        <f ca="1">IFERROR(__xludf.DUMMYFUNCTION("LOWER(REGEXREPLACE(B1185&amp;"" ""&amp;C1185,""[^а-яa-z0-9 ]"","" ""))")," ясорубка epa 22t  ромированный   o 22   местимость  400кг  380     ощность  1 1 k    азмеры 36x78x52 см")</f>
        <v xml:space="preserve"> ясорубка epa 22t  ромированный   o 22   местимость  400кг  380     ощность  1 1 k    азмеры 36x78x52 см</v>
      </c>
      <c r="G1185" s="4" t="str">
        <f ca="1">IFERROR(__xludf.DUMMYFUNCTION("TEXTJOIN(""|"",TRUE,UNIQUE(FILTER(SPLIT(F1185,"" ""),LEN(SPLIT(F1185,"" ""))&gt;2)))"),"ясорубка|epa|22t|ромированный|местимость|400кг|380|ощность|азмеры|36x78x52")</f>
        <v>ясорубка|epa|22t|ромированный|местимость|400кг|380|ощность|азмеры|36x78x52</v>
      </c>
      <c r="I1185" s="1"/>
      <c r="J1185" s="1"/>
    </row>
    <row r="1186" spans="1:10" x14ac:dyDescent="0.2">
      <c r="A1186" s="8" t="s">
        <v>127</v>
      </c>
      <c r="B1186" s="7" t="s">
        <v>126</v>
      </c>
      <c r="C1186" s="7" t="s">
        <v>125</v>
      </c>
      <c r="D1186" s="6">
        <v>5100</v>
      </c>
      <c r="E1186" s="5">
        <v>5</v>
      </c>
      <c r="F1186" s="4" t="str">
        <f ca="1">IFERROR(__xludf.DUMMYFUNCTION("LOWER(REGEXREPLACE(B1186&amp;"" ""&amp;C1186,""[^а-яa-z0-9 ]"","" ""))"),"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и"&amp;" безопасное восприятие звука ")</f>
        <v xml:space="preserve">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v>
      </c>
      <c r="G1186" s="4" t="str">
        <f ca="1">IFERROR(__xludf.DUMMYFUNCTION("TEXTJOIN(""|"",TRUE,UNIQUE(FILTER(SPLIT(F1186,"" ""),LEN(SPLIT(F1186,"" ""))&gt;2)))"),"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amp;"сприятие|звука")</f>
        <v>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v>
      </c>
      <c r="I1186" s="1"/>
      <c r="J1186" s="1"/>
    </row>
    <row r="1187" spans="1:10" x14ac:dyDescent="0.2">
      <c r="A1187" s="8" t="s">
        <v>124</v>
      </c>
      <c r="B1187" s="7" t="s">
        <v>123</v>
      </c>
      <c r="C1187" s="7" t="s">
        <v>122</v>
      </c>
      <c r="D1187" s="6">
        <v>732186</v>
      </c>
      <c r="E1187" s="5">
        <v>20</v>
      </c>
      <c r="F1187" s="4" t="str">
        <f ca="1">IFERROR(__xludf.DUMMYFUNCTION("LOWER(REGEXREPLACE(B1187&amp;"" ""&amp;C1187,""[^а-яa-z0-9 ]"","" ""))")," оутбук  оутбук       1502      ore i7 1355  15 6     8   256        ntel            am  11 ro")</f>
        <v xml:space="preserve"> оутбук  оутбук       1502      ore i7 1355  15 6     8   256        ntel            am  11 ro</v>
      </c>
      <c r="G1187" s="4" t="str">
        <f ca="1">IFERROR(__xludf.DUMMYFUNCTION("TEXTJOIN(""|"",TRUE,UNIQUE(FILTER(SPLIT(F1187,"" ""),LEN(SPLIT(F1187,"" ""))&gt;2)))"),"оутбук|оутбук|1502|ore|1355|256|ntel")</f>
        <v>оутбук|оутбук|1502|ore|1355|256|ntel</v>
      </c>
      <c r="I1187" s="1"/>
      <c r="J1187" s="1"/>
    </row>
    <row r="1188" spans="1:10" x14ac:dyDescent="0.2">
      <c r="A1188" s="8" t="s">
        <v>121</v>
      </c>
      <c r="B1188" s="7" t="s">
        <v>120</v>
      </c>
      <c r="C1188" s="7" t="s">
        <v>119</v>
      </c>
      <c r="D1188" s="6">
        <v>25800</v>
      </c>
      <c r="E1188" s="5">
        <v>4</v>
      </c>
      <c r="F1188" s="4" t="str">
        <f ca="1">IFERROR(__xludf.DUMMYFUNCTION("LOWER(REGEXREPLACE(B1188&amp;"" ""&amp;C1188,""[^а-яa-z0-9 ]"","" ""))")," свещение для вытяжки ce dla90  ержавеющая сталь 430  0 03 к т    араметры  880x30x40 mm")</f>
        <v xml:space="preserve"> свещение для вытяжки ce dla90  ержавеющая сталь 430  0 03 к т    араметры  880x30x40 mm</v>
      </c>
      <c r="G1188" s="4" t="str">
        <f ca="1">IFERROR(__xludf.DUMMYFUNCTION("TEXTJOIN(""|"",TRUE,UNIQUE(FILTER(SPLIT(F1188,"" ""),LEN(SPLIT(F1188,"" ""))&gt;2)))"),"свещение|для|вытяжки|dla90|ержавеющая|сталь|430|араметры|880x30x40")</f>
        <v>свещение|для|вытяжки|dla90|ержавеющая|сталь|430|араметры|880x30x40</v>
      </c>
      <c r="I1188" s="1"/>
      <c r="J1188" s="1"/>
    </row>
    <row r="1189" spans="1:10" x14ac:dyDescent="0.2">
      <c r="A1189" s="8" t="s">
        <v>118</v>
      </c>
      <c r="B1189" s="7" t="s">
        <v>117</v>
      </c>
      <c r="C1189" s="7" t="s">
        <v>116</v>
      </c>
      <c r="D1189" s="6">
        <v>161900</v>
      </c>
      <c r="E1189" s="5">
        <v>26</v>
      </c>
      <c r="F1189" s="4" t="str">
        <f ca="1">IFERROR(__xludf.DUMMYFUNCTION("LOWER(REGEXREPLACE(B1189&amp;"" ""&amp;C1189,""[^а-яa-z0-9 ]"","" ""))")," чиститель воздуха  чиститель воздуха  martmi  ir  urifier  2 ")</f>
        <v xml:space="preserve"> чиститель воздуха  чиститель воздуха  martmi  ir  urifier  2 </v>
      </c>
      <c r="G1189" s="4" t="str">
        <f ca="1">IFERROR(__xludf.DUMMYFUNCTION("TEXTJOIN(""|"",TRUE,UNIQUE(FILTER(SPLIT(F1189,"" ""),LEN(SPLIT(F1189,"" ""))&gt;2)))"),"чиститель|воздуха|чиститель|воздуха|martmi|urifier")</f>
        <v>чиститель|воздуха|чиститель|воздуха|martmi|urifier</v>
      </c>
      <c r="I1189" s="1"/>
      <c r="J1189" s="1"/>
    </row>
    <row r="1190" spans="1:10" x14ac:dyDescent="0.2">
      <c r="A1190" s="8" t="s">
        <v>115</v>
      </c>
      <c r="B1190" s="7" t="s">
        <v>114</v>
      </c>
      <c r="C1190" s="7" t="s">
        <v>113</v>
      </c>
      <c r="D1190" s="6">
        <v>542300</v>
      </c>
      <c r="E1190" s="5">
        <v>1</v>
      </c>
      <c r="F1190" s="4" t="str">
        <f ca="1">IFERROR(__xludf.DUMMYFUNCTION("LOWER(REGEXREPLACE(B1190&amp;"" ""&amp;C1190,""[^а-яa-z0-9 ]"","" ""))")," арогенератор с утюгом baby 1 8  учная подача воды   бъем  1 8 л  230 1 50  ц   азмеры  400x230x320 мм")</f>
        <v xml:space="preserve"> арогенератор с утюгом baby 1 8  учная подача воды   бъем  1 8 л  230 1 50  ц   азмеры  400x230x320 мм</v>
      </c>
      <c r="G1190" s="4" t="str">
        <f ca="1">IFERROR(__xludf.DUMMYFUNCTION("TEXTJOIN(""|"",TRUE,UNIQUE(FILTER(SPLIT(F1190,"" ""),LEN(SPLIT(F1190,"" ""))&gt;2)))"),"арогенератор|утюгом|baby|учная|подача|воды|бъем|230|азмеры|400x230x320")</f>
        <v>арогенератор|утюгом|baby|учная|подача|воды|бъем|230|азмеры|400x230x320</v>
      </c>
      <c r="I1190" s="1"/>
      <c r="J1190" s="1"/>
    </row>
    <row r="1191" spans="1:10" x14ac:dyDescent="0.2">
      <c r="A1191" s="8" t="s">
        <v>112</v>
      </c>
      <c r="B1191" s="7" t="s">
        <v>111</v>
      </c>
      <c r="C1191" s="7" t="s">
        <v>110</v>
      </c>
      <c r="D1191" s="6">
        <v>12790000</v>
      </c>
      <c r="E1191" s="5">
        <v>1</v>
      </c>
      <c r="F1191" s="4" t="str">
        <f ca="1">IFERROR(__xludf.DUMMYFUNCTION("LOWER(REGEXREPLACE(B1191&amp;"" ""&amp;C1191,""[^а-яa-z0-9 ]"","" ""))"),"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f>
        <v xml:space="preserve">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v>
      </c>
      <c r="G1191" s="4" t="str">
        <f ca="1">IFERROR(__xludf.DUMMYFUNCTION("TEXTJOIN(""|"",TRUE,UNIQUE(FILTER(SPLIT(F1191,"" ""),LEN(SPLIT(F1191,"" ""))&gt;2)))"),"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f>
        <v>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v>
      </c>
      <c r="I1191" s="1"/>
      <c r="J1191" s="1"/>
    </row>
    <row r="1192" spans="1:10" x14ac:dyDescent="0.2">
      <c r="A1192" s="8" t="s">
        <v>109</v>
      </c>
      <c r="B1192" s="7" t="s">
        <v>108</v>
      </c>
      <c r="C1192" s="7" t="s">
        <v>107</v>
      </c>
      <c r="D1192" s="6">
        <v>2021600</v>
      </c>
      <c r="E1192" s="5">
        <v>2</v>
      </c>
      <c r="F1192" s="4" t="str">
        <f ca="1">IFERROR(__xludf.DUMMYFUNCTION("LOWER(REGEXREPLACE(B1192&amp;"" ""&amp;C1192,""[^а-яa-z0-9 ]"","" ""))")," лита электрическая vpe7 07 6 конфорок  0 84 м3   ощность  15 6 к т 400     абариты  1200х700х300 мм")</f>
        <v xml:space="preserve"> лита электрическая vpe7 07 6 конфорок  0 84 м3   ощность  15 6 к т 400     абариты  1200х700х300 мм</v>
      </c>
      <c r="G1192" s="4" t="str">
        <f ca="1">IFERROR(__xludf.DUMMYFUNCTION("TEXTJOIN(""|"",TRUE,UNIQUE(FILTER(SPLIT(F1192,"" ""),LEN(SPLIT(F1192,"" ""))&gt;2)))"),"лита|электрическая|vpe7|конфорок|ощность|400|абариты|1200х700х300")</f>
        <v>лита|электрическая|vpe7|конфорок|ощность|400|абариты|1200х700х300</v>
      </c>
      <c r="I1192" s="1"/>
      <c r="J1192" s="1"/>
    </row>
    <row r="1193" spans="1:10" x14ac:dyDescent="0.2">
      <c r="A1193" s="8" t="s">
        <v>106</v>
      </c>
      <c r="B1193" s="7" t="s">
        <v>105</v>
      </c>
      <c r="C1193" s="7" t="s">
        <v>104</v>
      </c>
      <c r="D1193" s="6">
        <v>2129700</v>
      </c>
      <c r="E1193" s="5">
        <v>1</v>
      </c>
      <c r="F1193" s="4" t="str">
        <f ca="1">IFERROR(__xludf.DUMMYFUNCTION("LOWER(REGEXREPLACE(B1193&amp;"" ""&amp;C1193,""[^а-яa-z0-9 ]"","" ""))"),"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родо"&amp;"лжительность программ  1  1 5 и 2 мин    роизводительность  1000 тарелок час  40 корзин час")</f>
        <v xml:space="preserve">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v>
      </c>
      <c r="G1193" s="4" t="str">
        <f ca="1">IFERROR(__xludf.DUMMYFUNCTION("TEXTJOIN(""|"",TRUE,UNIQUE(FILTER(SPLIT(F1193,"" ""),LEN(SPLIT(F1193,"" ""))&gt;2)))"),"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amp;"ь|1000|тарелок|час|корзин|час")</f>
        <v>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v>
      </c>
      <c r="I1193" s="1"/>
      <c r="J1193" s="1"/>
    </row>
    <row r="1194" spans="1:10" x14ac:dyDescent="0.2">
      <c r="A1194" s="8" t="s">
        <v>103</v>
      </c>
      <c r="B1194" s="7" t="s">
        <v>102</v>
      </c>
      <c r="C1194" s="9" t="s">
        <v>101</v>
      </c>
      <c r="D1194" s="6">
        <v>153106</v>
      </c>
      <c r="E1194" s="5">
        <v>13</v>
      </c>
      <c r="F1194" s="4" t="str">
        <f ca="1">IFERROR(__xludf.DUMMYFUNCTION("LOWER(REGEXREPLACE(B1194&amp;"" ""&amp;C1194,""[^а-яa-z0-9 ]"","" ""))")," ылесос  ылесос индустриальный")</f>
        <v xml:space="preserve"> ылесос  ылесос индустриальный</v>
      </c>
      <c r="G1194" s="4" t="str">
        <f ca="1">IFERROR(__xludf.DUMMYFUNCTION("TEXTJOIN(""|"",TRUE,UNIQUE(FILTER(SPLIT(F1194,"" ""),LEN(SPLIT(F1194,"" ""))&gt;2)))"),"ылесос|ылесос|индустриальный")</f>
        <v>ылесос|ылесос|индустриальный</v>
      </c>
      <c r="I1194" s="1"/>
      <c r="J1194" s="1"/>
    </row>
    <row r="1195" spans="1:10" x14ac:dyDescent="0.2">
      <c r="A1195" s="8" t="s">
        <v>100</v>
      </c>
      <c r="B1195" s="7" t="s">
        <v>99</v>
      </c>
      <c r="C1195" s="7" t="s">
        <v>98</v>
      </c>
      <c r="D1195" s="6">
        <v>88400</v>
      </c>
      <c r="E1195" s="5">
        <v>45</v>
      </c>
      <c r="F1195" s="4" t="str">
        <f ca="1">IFERROR(__xludf.DUMMYFUNCTION("LOWER(REGEXREPLACE(B1195&amp;"" ""&amp;C1195,""[^а-яa-z0-9 ]"","" ""))")," ециркулятор                                         2х15     825х155х130мм  без подставки   асса без упаковки  кг  7")</f>
        <v xml:space="preserve"> ециркулятор                                         2х15     825х155х130мм  без подставки   асса без упаковки  кг  7</v>
      </c>
      <c r="G1195" s="4" t="str">
        <f ca="1">IFERROR(__xludf.DUMMYFUNCTION("TEXTJOIN(""|"",TRUE,UNIQUE(FILTER(SPLIT(F1195,"" ""),LEN(SPLIT(F1195,"" ""))&gt;2)))"),"ециркулятор|2х15|825х155х130мм|без|подставки|асса|без|упаковки")</f>
        <v>ециркулятор|2х15|825х155х130мм|без|подставки|асса|без|упаковки</v>
      </c>
      <c r="I1195" s="1"/>
      <c r="J1195" s="1"/>
    </row>
    <row r="1196" spans="1:10" x14ac:dyDescent="0.2">
      <c r="A1196" s="8" t="s">
        <v>97</v>
      </c>
      <c r="B1196" s="7" t="s">
        <v>96</v>
      </c>
      <c r="C1196" s="7" t="s">
        <v>95</v>
      </c>
      <c r="D1196" s="6">
        <v>5415</v>
      </c>
      <c r="E1196" s="5">
        <v>60</v>
      </c>
      <c r="F1196" s="4" t="str">
        <f ca="1">IFERROR(__xludf.DUMMYFUNCTION("LOWER(REGEXREPLACE(B1196&amp;"" ""&amp;C1196,""[^а-яa-z0-9 ]"","" ""))")," етевой фильтр 5 м   етевой фильтр  rip  ite  uper 6      6 розеток  5м")</f>
        <v xml:space="preserve"> етевой фильтр 5 м   етевой фильтр  rip  ite  uper 6      6 розеток  5м</v>
      </c>
      <c r="G1196" s="4" t="str">
        <f ca="1">IFERROR(__xludf.DUMMYFUNCTION("TEXTJOIN(""|"",TRUE,UNIQUE(FILTER(SPLIT(F1196,"" ""),LEN(SPLIT(F1196,"" ""))&gt;2)))"),"етевой|фильтр|етевой|фильтр|rip|ite|uper|розеток")</f>
        <v>етевой|фильтр|етевой|фильтр|rip|ite|uper|розеток</v>
      </c>
      <c r="I1196" s="1"/>
      <c r="J1196" s="1"/>
    </row>
    <row r="1197" spans="1:10" x14ac:dyDescent="0.2">
      <c r="A1197" s="8" t="s">
        <v>94</v>
      </c>
      <c r="B1197" s="7" t="s">
        <v>93</v>
      </c>
      <c r="C1197" s="7" t="s">
        <v>92</v>
      </c>
      <c r="D1197" s="6">
        <v>3143000</v>
      </c>
      <c r="E1197" s="5">
        <v>1</v>
      </c>
      <c r="F1197" s="4" t="str">
        <f ca="1">IFERROR(__xludf.DUMMYFUNCTION("LOWER(REGEXREPLACE(B1197&amp;"" ""&amp;C1197,""[^а-яa-z0-9 ]"","" ""))")," коворода опрокидываемая электрическая vpe7 22  емпература  50 230     бъем  50 л    ощность  7 2 к т   апряжение  400     абариты  700x800x850 мм")</f>
        <v xml:space="preserve"> коворода опрокидываемая электрическая vpe7 22  емпература  50 230     бъем  50 л    ощность  7 2 к т   апряжение  400     абариты  700x800x850 мм</v>
      </c>
      <c r="G1197" s="4" t="str">
        <f ca="1">IFERROR(__xludf.DUMMYFUNCTION("TEXTJOIN(""|"",TRUE,UNIQUE(FILTER(SPLIT(F1197,"" ""),LEN(SPLIT(F1197,"" ""))&gt;2)))"),"коворода|опрокидываемая|электрическая|vpe7|емпература|230|бъем|ощность|апряжение|400|абариты|700x800x850")</f>
        <v>коворода|опрокидываемая|электрическая|vpe7|емпература|230|бъем|ощность|апряжение|400|абариты|700x800x850</v>
      </c>
      <c r="I1197" s="1"/>
      <c r="J1197" s="1"/>
    </row>
    <row r="1198" spans="1:10" x14ac:dyDescent="0.2">
      <c r="A1198" s="8" t="s">
        <v>91</v>
      </c>
      <c r="B1198" s="7" t="s">
        <v>90</v>
      </c>
      <c r="C1198" s="7" t="s">
        <v>89</v>
      </c>
      <c r="D1198" s="6">
        <v>919100</v>
      </c>
      <c r="E1198" s="5">
        <v>1</v>
      </c>
      <c r="F1198" s="4" t="str">
        <f ca="1">IFERROR(__xludf.DUMMYFUNCTION("LOWER(REGEXREPLACE(B1198&amp;"" ""&amp;C1198,""[^а-яa-z0-9 ]"","" ""))"),"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f>
        <v xml:space="preserve">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v>
      </c>
      <c r="G1198" s="4" t="str">
        <f ca="1">IFERROR(__xludf.DUMMYFUNCTION("TEXTJOIN(""|"",TRUE,UNIQUE(FILTER(SPLIT(F1198,"" ""),LEN(SPLIT(F1198,"" ""))&gt;2)))"),"лайсер|250|орпус|нержавеющей|стали|зготовлен|анодированного|алюминия|иаметр|лезвия|250|лектрическое|подключение|220|ощность|азмеры|535x475x490")</f>
        <v>лайсер|250|орпус|нержавеющей|стали|зготовлен|анодированного|алюминия|иаметр|лезвия|250|лектрическое|подключение|220|ощность|азмеры|535x475x490</v>
      </c>
      <c r="I1198" s="1"/>
      <c r="J1198" s="1"/>
    </row>
    <row r="1199" spans="1:10" x14ac:dyDescent="0.2">
      <c r="A1199" s="8" t="s">
        <v>88</v>
      </c>
      <c r="B1199" s="7" t="s">
        <v>87</v>
      </c>
      <c r="C1199" s="7" t="s">
        <v>86</v>
      </c>
      <c r="D1199" s="6">
        <v>231000</v>
      </c>
      <c r="E1199" s="5">
        <v>3</v>
      </c>
      <c r="F1199" s="4" t="str">
        <f ca="1">IFERROR(__xludf.DUMMYFUNCTION("LOWER(REGEXREPLACE(B1199&amp;"" ""&amp;C1199,""[^а-яa-z0-9 ]"","" ""))")," терилизатор ножей vbs 10  местимость  10 ножей  0 02 к т   230     льтрафиолет   аймер 0 90 мин   азмеры  500x117x600мм")</f>
        <v xml:space="preserve"> терилизатор ножей vbs 10  местимость  10 ножей  0 02 к т   230     льтрафиолет   аймер 0 90 мин   азмеры  500x117x600мм</v>
      </c>
      <c r="G1199" s="4" t="str">
        <f ca="1">IFERROR(__xludf.DUMMYFUNCTION("TEXTJOIN(""|"",TRUE,UNIQUE(FILTER(SPLIT(F1199,"" ""),LEN(SPLIT(F1199,"" ""))&gt;2)))"),"терилизатор|ножей|vbs|местимость|ножей|230|льтрафиолет|аймер|мин|азмеры|500x117x600мм")</f>
        <v>терилизатор|ножей|vbs|местимость|ножей|230|льтрафиолет|аймер|мин|азмеры|500x117x600мм</v>
      </c>
      <c r="I1199" s="1"/>
      <c r="J1199" s="1"/>
    </row>
    <row r="1200" spans="1:10" x14ac:dyDescent="0.2">
      <c r="A1200" s="8" t="s">
        <v>85</v>
      </c>
      <c r="B1200" s="7" t="s">
        <v>84</v>
      </c>
      <c r="C1200" s="7" t="s">
        <v>83</v>
      </c>
      <c r="D1200" s="6">
        <v>676600</v>
      </c>
      <c r="E1200" s="5">
        <v>1</v>
      </c>
      <c r="F1200" s="4" t="str">
        <f ca="1">IFERROR(__xludf.DUMMYFUNCTION("LOWER(REGEXREPLACE(B1200&amp;"" ""&amp;C1200,""[^а-яa-z0-9 ]"","" ""))"),"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менее"&amp;" 94 38 см   редусмотрена регулировка угла наклона и складная конструкция   ассчитана на пользователей с массой тела до 90 кг ")</f>
        <v xml:space="preserve">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v>
      </c>
      <c r="G1200" s="4" t="str">
        <f ca="1">IFERROR(__xludf.DUMMYFUNCTION("TEXTJOIN(""|"",TRUE,UNIQUE(FILTER(SPLIT(F1200,"" ""),LEN(SPLIT(F1200,"" ""))&gt;2)))"),"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amp;"а|складная|конструкция|ассчитана|пользователей|массой|тела")</f>
        <v>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v>
      </c>
      <c r="I1200" s="1"/>
      <c r="J1200" s="1"/>
    </row>
    <row r="1201" spans="1:10" x14ac:dyDescent="0.2">
      <c r="A1201" s="8" t="s">
        <v>82</v>
      </c>
      <c r="B1201" s="7" t="s">
        <v>81</v>
      </c>
      <c r="C1201" s="7"/>
      <c r="D1201" s="6">
        <v>7357700</v>
      </c>
      <c r="E1201" s="5">
        <v>1</v>
      </c>
      <c r="F1201" s="4" t="str">
        <f ca="1">IFERROR(__xludf.DUMMYFUNCTION("LOWER(REGEXREPLACE(B1201&amp;"" ""&amp;C1201,""[^а-яa-z0-9 ]"","" ""))")," тиральная машина   сушильная машина qps10 ")</f>
        <v xml:space="preserve"> тиральная машина   сушильная машина qps10 </v>
      </c>
      <c r="G1201" s="4" t="str">
        <f ca="1">IFERROR(__xludf.DUMMYFUNCTION("TEXTJOIN(""|"",TRUE,UNIQUE(FILTER(SPLIT(F1201,"" ""),LEN(SPLIT(F1201,"" ""))&gt;2)))"),"тиральная|машина|сушильная|машина|qps10")</f>
        <v>тиральная|машина|сушильная|машина|qps10</v>
      </c>
      <c r="I1201" s="1"/>
      <c r="J1201" s="1"/>
    </row>
    <row r="1202" spans="1:10" x14ac:dyDescent="0.2">
      <c r="A1202" s="8" t="s">
        <v>80</v>
      </c>
      <c r="B1202" s="7" t="s">
        <v>79</v>
      </c>
      <c r="C1202" s="7" t="s">
        <v>78</v>
      </c>
      <c r="D1202" s="6">
        <v>18428500</v>
      </c>
      <c r="E1202" s="5">
        <v>1</v>
      </c>
      <c r="F1202" s="4" t="str">
        <f ca="1">IFERROR(__xludf.DUMMYFUNCTION("LOWER(REGEXREPLACE(B1202&amp;"" ""&amp;C1202,""[^а-яa-z0-9 ]"","" ""))"),"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"&amp;"z 3 h  ")</f>
        <v xml:space="preserve">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v>
      </c>
      <c r="G1202" s="4" t="str">
        <f ca="1">IFERROR(__xludf.DUMMYFUNCTION("TEXTJOIN(""|"",TRUE,UNIQUE(FILTER(SPLIT(F1202,"" ""),LEN(SPLIT(F1202,"" ""))&gt;2)))"),"тиральная|машина|240|местимость|бъем|барабана|240|актор|400|иаметр|барабана|750|бороты|стирки|rpm|бороты|отжима|980|rpm|100|горячая|вода|нагрев|лектрический|нагрев|380|415")</f>
        <v>тиральная|машина|240|местимость|бъем|барабана|240|актор|400|иаметр|барабана|750|бороты|стирки|rpm|бороты|отжима|980|rpm|100|горячая|вода|нагрев|лектрический|нагрев|380|415</v>
      </c>
      <c r="I1202" s="1"/>
      <c r="J1202" s="1"/>
    </row>
    <row r="1203" spans="1:10" x14ac:dyDescent="0.2">
      <c r="A1203" s="8" t="s">
        <v>77</v>
      </c>
      <c r="B1203" s="7" t="s">
        <v>76</v>
      </c>
      <c r="C1203" s="7" t="s">
        <v>75</v>
      </c>
      <c r="D1203" s="6">
        <v>6783700</v>
      </c>
      <c r="E1203" s="5">
        <v>1</v>
      </c>
      <c r="F1203" s="4" t="str">
        <f ca="1">IFERROR(__xludf.DUMMYFUNCTION("LOWER(REGEXREPLACE(B1203&amp;"" ""&amp;C1203,""[^а-яa-z0-9 ]"","" ""))"),"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f>
        <v xml:space="preserve">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v>
      </c>
      <c r="G1203" s="4" t="str">
        <f ca="1">IFERROR(__xludf.DUMMYFUNCTION("TEXTJOIN(""|"",TRUE,UNIQUE(FILTER(SPLIT(F1203,"" ""),LEN(SPLIT(F1203,"" ""))&gt;2)))"),"ушильная|машина|местимость|бъем|барабана|530|иаметр|барабана|930|редняя|скорость|сушки|384|мин|лектрическая|мощность|380|415|фазы|азмеры|1975x965x1270")</f>
        <v>ушильная|машина|местимость|бъем|барабана|530|иаметр|барабана|930|редняя|скорость|сушки|384|мин|лектрическая|мощность|380|415|фазы|азмеры|1975x965x1270</v>
      </c>
      <c r="I1203" s="1"/>
      <c r="J1203" s="1"/>
    </row>
    <row r="1204" spans="1:10" x14ac:dyDescent="0.2">
      <c r="A1204" s="8" t="s">
        <v>74</v>
      </c>
      <c r="B1204" s="7" t="s">
        <v>73</v>
      </c>
      <c r="C1204" s="7" t="s">
        <v>72</v>
      </c>
      <c r="D1204" s="6">
        <v>15624600</v>
      </c>
      <c r="E1204" s="5">
        <v>1</v>
      </c>
      <c r="F1204" s="4" t="str">
        <f ca="1">IFERROR(__xludf.DUMMYFUNCTION("LOWER(REGEXREPLACE(B1204&amp;"" ""&amp;C1204,""[^а-яa-z0-9 ]"","" ""))"),"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кг"&amp;" ч")</f>
        <v xml:space="preserve">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v>
      </c>
      <c r="G1204" s="4" t="str">
        <f ca="1">IFERROR(__xludf.DUMMYFUNCTION("TEXTJOIN(""|"",TRUE,UNIQUE(FILTER(SPLIT(F1204,"" ""),LEN(SPLIT(F1204,"" ""))&gt;2)))"),"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f>
        <v>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v>
      </c>
      <c r="I1204" s="1"/>
      <c r="J1204" s="1"/>
    </row>
    <row r="1205" spans="1:10" x14ac:dyDescent="0.2">
      <c r="A1205" s="8" t="s">
        <v>71</v>
      </c>
      <c r="B1205" s="7" t="s">
        <v>70</v>
      </c>
      <c r="C1205" s="7" t="s">
        <v>69</v>
      </c>
      <c r="D1205" s="6">
        <v>1487200</v>
      </c>
      <c r="E1205" s="5">
        <v>1</v>
      </c>
      <c r="F1205" s="4" t="str">
        <f ca="1">IFERROR(__xludf.DUMMYFUNCTION("LOWER(REGEXREPLACE(B1205&amp;"" ""&amp;C1205,""[^а-яa-z0-9 ]"","" ""))")," естомес hym 600t  местимость  мука вода   25 кг   20 л   отел  o600x290 мм   азмеры  70x100x104 см  380     рехфазный    ощность  1 1 к т")</f>
        <v xml:space="preserve"> естомес hym 600t  местимость  мука вода   25 кг   20 л   отел  o600x290 мм   азмеры  70x100x104 см  380     рехфазный    ощность  1 1 к т</v>
      </c>
      <c r="G1205" s="4" t="str">
        <f ca="1">IFERROR(__xludf.DUMMYFUNCTION("TEXTJOIN(""|"",TRUE,UNIQUE(FILTER(SPLIT(F1205,"" ""),LEN(SPLIT(F1205,"" ""))&gt;2)))"),"естомес|hym|600t|местимость|мука|вода|отел|o600x290|азмеры|70x100x104|380|рехфазный|ощность")</f>
        <v>естомес|hym|600t|местимость|мука|вода|отел|o600x290|азмеры|70x100x104|380|рехфазный|ощность</v>
      </c>
      <c r="I1205" s="1"/>
      <c r="J1205" s="1"/>
    </row>
    <row r="1206" spans="1:10" x14ac:dyDescent="0.2">
      <c r="A1206" s="8" t="s">
        <v>68</v>
      </c>
      <c r="B1206" s="7" t="s">
        <v>67</v>
      </c>
      <c r="C1206" s="7" t="s">
        <v>66</v>
      </c>
      <c r="D1206" s="6">
        <v>136000</v>
      </c>
      <c r="E1206" s="5">
        <v>26</v>
      </c>
      <c r="F1206" s="4" t="str">
        <f ca="1">IFERROR(__xludf.DUMMYFUNCTION("LOWER(REGEXREPLACE(B1206&amp;"" ""&amp;C1206,""[^а-яa-z0-9 ]"","" ""))")," влажнитель воздуха  влажнитель воздуха  edmond     3316")</f>
        <v xml:space="preserve"> влажнитель воздуха  влажнитель воздуха  edmond     3316</v>
      </c>
      <c r="G1206" s="4" t="str">
        <f ca="1">IFERROR(__xludf.DUMMYFUNCTION("TEXTJOIN(""|"",TRUE,UNIQUE(FILTER(SPLIT(F1206,"" ""),LEN(SPLIT(F1206,"" ""))&gt;2)))"),"влажнитель|воздуха|влажнитель|воздуха|edmond|3316")</f>
        <v>влажнитель|воздуха|влажнитель|воздуха|edmond|3316</v>
      </c>
      <c r="I1206" s="1"/>
      <c r="J1206" s="1"/>
    </row>
    <row r="1207" spans="1:10" x14ac:dyDescent="0.2">
      <c r="A1207" s="8" t="s">
        <v>65</v>
      </c>
      <c r="B1207" s="7" t="s">
        <v>64</v>
      </c>
      <c r="C1207" s="7" t="s">
        <v>63</v>
      </c>
      <c r="D1207" s="6">
        <v>153000</v>
      </c>
      <c r="E1207" s="5">
        <v>1</v>
      </c>
      <c r="F1207" s="4" t="str">
        <f ca="1">IFERROR(__xludf.DUMMYFUNCTION("LOWER(REGEXREPLACE(B1207&amp;"" ""&amp;C1207,""[^а-яa-z0-9 ]"","" ""))"),"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п"&amp;"одходит для регулярного офисного использования   онструкция безопасна в эксплуатации  проста в обслуживании  размещается в рабочей зоне персонала ")</f>
        <v xml:space="preserve">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v>
      </c>
      <c r="G1207" s="4" t="str">
        <f ca="1">IFERROR(__xludf.DUMMYFUNCTION("TEXTJOIN(""|"",TRUE,UNIQUE(FILTER(SPLIT(F1207,"" ""),LEN(SPLIT(F1207,"" ""))&gt;2)))"),"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amp;"егулярного|офисного|использования|онструкция|безопасна|эксплуатации|проста|обслуживании|размещается|рабочей|зоне|персонала")</f>
        <v>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v>
      </c>
      <c r="I1207" s="1"/>
      <c r="J1207" s="1"/>
    </row>
    <row r="1208" spans="1:10" x14ac:dyDescent="0.2">
      <c r="A1208" s="8" t="s">
        <v>62</v>
      </c>
      <c r="B1208" s="7" t="s">
        <v>61</v>
      </c>
      <c r="C1208" s="7" t="s">
        <v>60</v>
      </c>
      <c r="D1208" s="6">
        <v>290500</v>
      </c>
      <c r="E1208" s="5">
        <v>2</v>
      </c>
      <c r="F1208" s="4" t="str">
        <f ca="1">IFERROR(__xludf.DUMMYFUNCTION("LOWER(REGEXREPLACE(B1208&amp;"" ""&amp;C1208,""[^а-яa-z0-9 ]"","" ""))"),"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f>
        <v xml:space="preserve">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v>
      </c>
      <c r="G1208" s="4" t="str">
        <f ca="1">IFERROR(__xludf.DUMMYFUNCTION("TEXTJOIN(""|"",TRUE,UNIQUE(FILTER(SPLIT(F1208,"" ""),LEN(SPLIT(F1208,"" ""))&gt;2)))"),"ничтожитель|насекомых|ешетчатая|система|220|короткими|лампами|отребляет|электроэнергии|лощадь|воздействия|азмеры|700|215|390")</f>
        <v>ничтожитель|насекомых|ешетчатая|система|220|короткими|лампами|отребляет|электроэнергии|лощадь|воздействия|азмеры|700|215|390</v>
      </c>
      <c r="I1208" s="1"/>
      <c r="J1208" s="1"/>
    </row>
    <row r="1209" spans="1:10" x14ac:dyDescent="0.2">
      <c r="A1209" s="8" t="s">
        <v>59</v>
      </c>
      <c r="B1209" s="7" t="s">
        <v>58</v>
      </c>
      <c r="C1209" s="7" t="s">
        <v>57</v>
      </c>
      <c r="D1209" s="6">
        <v>136000</v>
      </c>
      <c r="E1209" s="5">
        <v>2</v>
      </c>
      <c r="F1209" s="4" t="str">
        <f ca="1">IFERROR(__xludf.DUMMYFUNCTION("LOWER(REGEXREPLACE(B1209&amp;"" ""&amp;C1209,""[^а-яa-z0-9 ]"","" ""))"),"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м"&amp;"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звук"&amp;"овых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f>
        <v xml:space="preserve">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v>
      </c>
      <c r="G1209" s="4" t="str">
        <f ca="1">IFERROR(__xludf.DUMMYFUNCTION("TEXTJOIN(""|"",TRUE,UNIQUE(FILTER(SPLIT(F1209,"" ""),LEN(SPLIT(F1209,"" ""))&gt;2)))"),"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amp;"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amp;"юдения|комфортной|громкости|для|детей|итание|батарей|аккумуляторов|временем|непрерывной|работы|менее|часов")</f>
        <v>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v>
      </c>
      <c r="I1209" s="1"/>
      <c r="J1209" s="1"/>
    </row>
    <row r="1210" spans="1:10" x14ac:dyDescent="0.2">
      <c r="A1210" s="8" t="s">
        <v>56</v>
      </c>
      <c r="B1210" s="7" t="s">
        <v>55</v>
      </c>
      <c r="C1210" s="7" t="s">
        <v>55</v>
      </c>
      <c r="D1210" s="6">
        <v>9255300</v>
      </c>
      <c r="E1210" s="5">
        <v>1</v>
      </c>
      <c r="F1210" s="4" t="str">
        <f ca="1">IFERROR(__xludf.DUMMYFUNCTION("LOWER(REGEXREPLACE(B1210&amp;"" ""&amp;C1210,""[^а-яa-z0-9 ]"","" ""))")," олодильная камера 4190x3000x2400  олодильная камера 4190x3000x2400")</f>
        <v xml:space="preserve"> олодильная камера 4190x3000x2400  олодильная камера 4190x3000x2400</v>
      </c>
      <c r="G1210" s="4" t="str">
        <f ca="1">IFERROR(__xludf.DUMMYFUNCTION("TEXTJOIN(""|"",TRUE,UNIQUE(FILTER(SPLIT(F1210,"" ""),LEN(SPLIT(F1210,"" ""))&gt;2)))"),"олодильная|камера|4190x3000x2400|олодильная|камера|4190x3000x2400")</f>
        <v>олодильная|камера|4190x3000x2400|олодильная|камера|4190x3000x2400</v>
      </c>
      <c r="I1210" s="1"/>
      <c r="J1210" s="1"/>
    </row>
    <row r="1211" spans="1:10" x14ac:dyDescent="0.2">
      <c r="A1211" s="8" t="s">
        <v>54</v>
      </c>
      <c r="B1211" s="7" t="s">
        <v>53</v>
      </c>
      <c r="C1211" s="7" t="s">
        <v>52</v>
      </c>
      <c r="D1211" s="6">
        <v>144400</v>
      </c>
      <c r="E1211" s="5">
        <v>1</v>
      </c>
      <c r="F1211" s="4" t="str">
        <f ca="1">IFERROR(__xludf.DUMMYFUNCTION("LOWER(REGEXREPLACE(B1211&amp;"" ""&amp;C1211,""[^а-яa-z0-9 ]"","" ""))")," епловая завеса  омпактная тепловая завеса")</f>
        <v xml:space="preserve"> епловая завеса  омпактная тепловая завеса</v>
      </c>
      <c r="G1211" s="4" t="str">
        <f ca="1">IFERROR(__xludf.DUMMYFUNCTION("TEXTJOIN(""|"",TRUE,UNIQUE(FILTER(SPLIT(F1211,"" ""),LEN(SPLIT(F1211,"" ""))&gt;2)))"),"епловая|завеса|омпактная|тепловая|завеса")</f>
        <v>епловая|завеса|омпактная|тепловая|завеса</v>
      </c>
      <c r="I1211" s="1"/>
      <c r="J1211" s="1"/>
    </row>
    <row r="1212" spans="1:10" x14ac:dyDescent="0.2">
      <c r="A1212" s="8" t="s">
        <v>51</v>
      </c>
      <c r="B1212" s="7" t="s">
        <v>50</v>
      </c>
      <c r="C1212" s="7" t="s">
        <v>49</v>
      </c>
      <c r="D1212" s="6">
        <v>1531800</v>
      </c>
      <c r="E1212" s="5">
        <v>3</v>
      </c>
      <c r="F1212" s="4" t="str">
        <f ca="1">IFERROR(__xludf.DUMMYFUNCTION("LOWER(REGEXREPLACE(B1212&amp;"" ""&amp;C1212,""[^а-яa-z0-9 ]"","" ""))")," олодильный стол vsy 2  емпература   2  8  0 3 к т 230   1    50 60  ц   абариты  1340х700х850 мм")</f>
        <v xml:space="preserve"> олодильный стол vsy 2  емпература   2  8  0 3 к т 230   1    50 60  ц   абариты  1340х700х850 мм</v>
      </c>
      <c r="G1212" s="4" t="str">
        <f ca="1">IFERROR(__xludf.DUMMYFUNCTION("TEXTJOIN(""|"",TRUE,UNIQUE(FILTER(SPLIT(F1212,"" ""),LEN(SPLIT(F1212,"" ""))&gt;2)))"),"олодильный|стол|vsy|емпература|230|абариты|1340х700х850")</f>
        <v>олодильный|стол|vsy|емпература|230|абариты|1340х700х850</v>
      </c>
      <c r="I1212" s="1"/>
      <c r="J1212" s="1"/>
    </row>
    <row r="1213" spans="1:10" x14ac:dyDescent="0.2">
      <c r="A1213" s="8" t="s">
        <v>48</v>
      </c>
      <c r="B1213" s="7" t="s">
        <v>47</v>
      </c>
      <c r="C1213" s="7" t="s">
        <v>46</v>
      </c>
      <c r="D1213" s="6">
        <v>1827300</v>
      </c>
      <c r="E1213" s="5">
        <v>1</v>
      </c>
      <c r="F1213" s="4" t="str">
        <f ca="1">IFERROR(__xludf.DUMMYFUNCTION("LOWER(REGEXREPLACE(B1213&amp;"" ""&amp;C1213,""[^а-яa-z0-9 ]"","" ""))")," олодильный стол vsy 3  емпература   2  8     ощность  0 39 к т  230  1   50 60 ц   абариты  1820x700x850 мм")</f>
        <v xml:space="preserve"> олодильный стол vsy 3  емпература   2  8     ощность  0 39 к т  230  1   50 60 ц   абариты  1820x700x850 мм</v>
      </c>
      <c r="G1213" s="4" t="str">
        <f ca="1">IFERROR(__xludf.DUMMYFUNCTION("TEXTJOIN(""|"",TRUE,UNIQUE(FILTER(SPLIT(F1213,"" ""),LEN(SPLIT(F1213,"" ""))&gt;2)))"),"олодильный|стол|vsy|емпература|ощность|230|абариты|1820x700x850")</f>
        <v>олодильный|стол|vsy|емпература|ощность|230|абариты|1820x700x850</v>
      </c>
      <c r="I1213" s="1"/>
      <c r="J1213" s="1"/>
    </row>
    <row r="1214" spans="1:10" x14ac:dyDescent="0.2">
      <c r="A1214" s="8" t="s">
        <v>45</v>
      </c>
      <c r="B1214" s="7" t="s">
        <v>44</v>
      </c>
      <c r="C1214" s="7" t="s">
        <v>43</v>
      </c>
      <c r="D1214" s="6">
        <v>1791600</v>
      </c>
      <c r="E1214" s="5">
        <v>1</v>
      </c>
      <c r="F1214" s="4" t="str">
        <f ca="1">IFERROR(__xludf.DUMMYFUNCTION("LOWER(REGEXREPLACE(B1214&amp;"" ""&amp;C1214,""[^а-яa-z0-9 ]"","" ""))")," олодильный шкаф 1 дверь vsp 1  емпература   2  8     ощность  0 3 к т  230  1   50 60 ц   абариты  656x811x2050 мм")</f>
        <v xml:space="preserve"> олодильный шкаф 1 дверь vsp 1  емпература   2  8     ощность  0 3 к т  230  1   50 60 ц   абариты  656x811x2050 мм</v>
      </c>
      <c r="G1214" s="4" t="str">
        <f ca="1">IFERROR(__xludf.DUMMYFUNCTION("TEXTJOIN(""|"",TRUE,UNIQUE(FILTER(SPLIT(F1214,"" ""),LEN(SPLIT(F1214,"" ""))&gt;2)))"),"олодильный|шкаф|дверь|vsp|емпература|ощность|230|абариты|656x811x2050")</f>
        <v>олодильный|шкаф|дверь|vsp|емпература|ощность|230|абариты|656x811x2050</v>
      </c>
      <c r="I1214" s="1"/>
      <c r="J1214" s="1"/>
    </row>
    <row r="1215" spans="1:10" x14ac:dyDescent="0.2">
      <c r="A1215" s="8" t="s">
        <v>42</v>
      </c>
      <c r="B1215" s="7" t="s">
        <v>41</v>
      </c>
      <c r="C1215" s="7" t="s">
        <v>40</v>
      </c>
      <c r="D1215" s="6">
        <v>237200</v>
      </c>
      <c r="E1215" s="5">
        <v>1</v>
      </c>
      <c r="F1215" s="4" t="str">
        <f ca="1">IFERROR(__xludf.DUMMYFUNCTION("LOWER(REGEXREPLACE(B1215&amp;"" ""&amp;C1215,""[^а-яa-z0-9 ]"","" ""))")," вейная машинка  anome  автомат  электромеханическая  количество швейных операций 22  контроль натяжения нитей  тип челнока вертикальный")</f>
        <v xml:space="preserve"> вейная машинка  anome  автомат  электромеханическая  количество швейных операций 22  контроль натяжения нитей  тип челнока вертикальный</v>
      </c>
      <c r="G1215" s="4" t="str">
        <f ca="1">IFERROR(__xludf.DUMMYFUNCTION("TEXTJOIN(""|"",TRUE,UNIQUE(FILTER(SPLIT(F1215,"" ""),LEN(SPLIT(F1215,"" ""))&gt;2)))"),"вейная|машинка|anome|автомат|электромеханическая|количество|швейных|операций|контроль|натяжения|нитей|тип|челнока|вертикальный")</f>
        <v>вейная|машинка|anome|автомат|электромеханическая|количество|швейных|операций|контроль|натяжения|нитей|тип|челнока|вертикальный</v>
      </c>
      <c r="I1215" s="1"/>
      <c r="J1215" s="1"/>
    </row>
    <row r="1216" spans="1:10" x14ac:dyDescent="0.2">
      <c r="A1216" s="8" t="s">
        <v>39</v>
      </c>
      <c r="B1216" s="7" t="s">
        <v>38</v>
      </c>
      <c r="C1216" s="7" t="s">
        <v>37</v>
      </c>
      <c r="D1216" s="6">
        <v>2408900</v>
      </c>
      <c r="E1216" s="5">
        <v>1</v>
      </c>
      <c r="F1216" s="4" t="str">
        <f ca="1">IFERROR(__xludf.DUMMYFUNCTION("LOWER(REGEXREPLACE(B1216&amp;"" ""&amp;C1216,""[^а-яa-z0-9 ]"","" ""))"),"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f>
        <v xml:space="preserve">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v>
      </c>
      <c r="G1216" s="4" t="str">
        <f ca="1">IFERROR(__xludf.DUMMYFUNCTION("TEXTJOIN(""|"",TRUE,UNIQUE(FILTER(SPLIT(F1216,"" ""),LEN(SPLIT(F1216,"" ""))&gt;2)))"),"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f>
        <v>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v>
      </c>
      <c r="I1216" s="1"/>
      <c r="J1216" s="1"/>
    </row>
    <row r="1217" spans="1:10" x14ac:dyDescent="0.2">
      <c r="A1217" s="8" t="s">
        <v>36</v>
      </c>
      <c r="B1217" s="7" t="s">
        <v>35</v>
      </c>
      <c r="C1217" s="7" t="s">
        <v>34</v>
      </c>
      <c r="D1217" s="6">
        <v>42500</v>
      </c>
      <c r="E1217" s="5">
        <v>2</v>
      </c>
      <c r="F1217" s="4" t="str">
        <f ca="1">IFERROR(__xludf.DUMMYFUNCTION("LOWER(REGEXREPLACE(B1217&amp;"" ""&amp;C1217,""[^а-яa-z0-9 ]"","" ""))")," ентиляция вытяжная  истема принудительной вытяжной вентиляции для обеспечения воздухообмена и поддержания комфортного микроклимата в помещении ")</f>
        <v xml:space="preserve"> ентиляция вытяжная  истема принудительной вытяжной вентиляции для обеспечения воздухообмена и поддержания комфортного микроклимата в помещении </v>
      </c>
      <c r="G1217" s="4" t="str">
        <f ca="1">IFERROR(__xludf.DUMMYFUNCTION("TEXTJOIN(""|"",TRUE,UNIQUE(FILTER(SPLIT(F1217,"" ""),LEN(SPLIT(F1217,"" ""))&gt;2)))"),"ентиляция|вытяжная|истема|принудительной|вытяжной|вентиляции|для|обеспечения|воздухообмена|поддержания|комфортного|микроклимата|помещении")</f>
        <v>ентиляция|вытяжная|истема|принудительной|вытяжной|вентиляции|для|обеспечения|воздухообмена|поддержания|комфортного|микроклимата|помещении</v>
      </c>
      <c r="I1217" s="1"/>
      <c r="J1217" s="1"/>
    </row>
    <row r="1218" spans="1:10" x14ac:dyDescent="0.2">
      <c r="A1218" s="8" t="s">
        <v>33</v>
      </c>
      <c r="B1218" s="8" t="s">
        <v>32</v>
      </c>
      <c r="C1218" s="7" t="s">
        <v>31</v>
      </c>
      <c r="D1218" s="6">
        <v>71339</v>
      </c>
      <c r="E1218" s="5">
        <v>1</v>
      </c>
      <c r="F1218" s="4" t="str">
        <f ca="1">IFERROR(__xludf.DUMMYFUNCTION("LOWER(REGEXREPLACE(B1218&amp;"" ""&amp;C1218,""[^а-яa-z0-9 ]"","" ""))")," сточник бесперебойного питания  сточник бесперебойного питания          2000    2000    1200   2x12v 9  h      175 275   2 розет   ехника шт  1 119 000 00 119 000 00   71 339")</f>
        <v xml:space="preserve"> сточник бесперебойного питания  сточник бесперебойного питания          2000    2000    1200   2x12v 9  h      175 275   2 розет   ехника шт  1 119 000 00 119 000 00   71 339</v>
      </c>
      <c r="G1218" s="4" t="str">
        <f ca="1">IFERROR(__xludf.DUMMYFUNCTION("TEXTJOIN(""|"",TRUE,UNIQUE(FILTER(SPLIT(F1218,"" ""),LEN(SPLIT(F1218,"" ""))&gt;2)))"),"сточник|бесперебойного|питания|сточник|бесперебойного|питания|2000|2000|1200|2x12v|175|275|розет|ехника|119|119|339")</f>
        <v>сточник|бесперебойного|питания|сточник|бесперебойного|питания|2000|2000|1200|2x12v|175|275|розет|ехника|119|119|339</v>
      </c>
      <c r="I1218" s="1"/>
      <c r="J1218" s="1"/>
    </row>
    <row r="1219" spans="1:10" x14ac:dyDescent="0.2">
      <c r="A1219" s="7"/>
      <c r="B1219" s="7"/>
      <c r="C1219" s="7" t="s">
        <v>30</v>
      </c>
      <c r="D1219" s="6">
        <v>71339</v>
      </c>
      <c r="E1219" s="5">
        <v>1</v>
      </c>
      <c r="F1219" s="4" t="str">
        <f ca="1">IFERROR(__xludf.DUMMYFUNCTION("LOWER(REGEXREPLACE(B1219&amp;"" ""&amp;C1219,""[^а-яa-z0-9 ]"","" ""))"),"  сточник бесперебойного питания          2000    2000    1200   2x12v 9  h      175 275   2 розет   ехника шт  1 119 000 00 119 000 00   71 340")</f>
        <v xml:space="preserve">  сточник бесперебойного питания          2000    2000    1200   2x12v 9  h      175 275   2 розет   ехника шт  1 119 000 00 119 000 00   71 340</v>
      </c>
      <c r="G1219" s="4" t="str">
        <f ca="1">IFERROR(__xludf.DUMMYFUNCTION("TEXTJOIN(""|"",TRUE,UNIQUE(FILTER(SPLIT(F1219,"" ""),LEN(SPLIT(F1219,"" ""))&gt;2)))"),"сточник|бесперебойного|питания|2000|2000|1200|2x12v|175|275|розет|ехника|119|119|340")</f>
        <v>сточник|бесперебойного|питания|2000|2000|1200|2x12v|175|275|розет|ехника|119|119|340</v>
      </c>
      <c r="I1219" s="1"/>
      <c r="J1219" s="1"/>
    </row>
    <row r="1220" spans="1:10" x14ac:dyDescent="0.2">
      <c r="A1220" s="7"/>
      <c r="B1220" s="7"/>
      <c r="C1220" s="7" t="s">
        <v>29</v>
      </c>
      <c r="D1220" s="6">
        <v>71339</v>
      </c>
      <c r="E1220" s="5">
        <v>1</v>
      </c>
      <c r="F1220" s="4" t="str">
        <f ca="1">IFERROR(__xludf.DUMMYFUNCTION("LOWER(REGEXREPLACE(B1220&amp;"" ""&amp;C1220,""[^а-яa-z0-9 ]"","" ""))"),"  сточник бесперебойного питания          2000    2000    1200   2x12v 9  h      175 275   2 розет   ехника шт  1 119 000 00 119 000 00   71 341")</f>
        <v xml:space="preserve">  сточник бесперебойного питания          2000    2000    1200   2x12v 9  h      175 275   2 розет   ехника шт  1 119 000 00 119 000 00   71 341</v>
      </c>
      <c r="G1220" s="4" t="str">
        <f ca="1">IFERROR(__xludf.DUMMYFUNCTION("TEXTJOIN(""|"",TRUE,UNIQUE(FILTER(SPLIT(F1220,"" ""),LEN(SPLIT(F1220,"" ""))&gt;2)))"),"сточник|бесперебойного|питания|2000|2000|1200|2x12v|175|275|розет|ехника|119|119|341")</f>
        <v>сточник|бесперебойного|питания|2000|2000|1200|2x12v|175|275|розет|ехника|119|119|341</v>
      </c>
      <c r="I1220" s="1"/>
      <c r="J1220" s="1"/>
    </row>
    <row r="1221" spans="1:10" x14ac:dyDescent="0.2">
      <c r="A1221" s="7"/>
      <c r="B1221" s="7"/>
      <c r="C1221" s="7" t="s">
        <v>28</v>
      </c>
      <c r="D1221" s="6">
        <v>71339</v>
      </c>
      <c r="E1221" s="5">
        <v>1</v>
      </c>
      <c r="F1221" s="4" t="str">
        <f ca="1">IFERROR(__xludf.DUMMYFUNCTION("LOWER(REGEXREPLACE(B1221&amp;"" ""&amp;C1221,""[^а-яa-z0-9 ]"","" ""))"),"  сточник бесперебойного питания          2000    2000    1200   2x12v 9  h      175 275   2 розет   ехника шт  1 119 000 00 119 000 00   71 342")</f>
        <v xml:space="preserve">  сточник бесперебойного питания          2000    2000    1200   2x12v 9  h      175 275   2 розет   ехника шт  1 119 000 00 119 000 00   71 342</v>
      </c>
      <c r="G1221" s="4" t="str">
        <f ca="1">IFERROR(__xludf.DUMMYFUNCTION("TEXTJOIN(""|"",TRUE,UNIQUE(FILTER(SPLIT(F1221,"" ""),LEN(SPLIT(F1221,"" ""))&gt;2)))"),"сточник|бесперебойного|питания|2000|2000|1200|2x12v|175|275|розет|ехника|119|119|342")</f>
        <v>сточник|бесперебойного|питания|2000|2000|1200|2x12v|175|275|розет|ехника|119|119|342</v>
      </c>
      <c r="I1221" s="1"/>
      <c r="J1221" s="1"/>
    </row>
    <row r="1222" spans="1:10" x14ac:dyDescent="0.2">
      <c r="A1222" s="7"/>
      <c r="B1222" s="7"/>
      <c r="C1222" s="7" t="s">
        <v>27</v>
      </c>
      <c r="D1222" s="6">
        <v>71339</v>
      </c>
      <c r="E1222" s="5">
        <v>1</v>
      </c>
      <c r="F1222" s="4" t="str">
        <f ca="1">IFERROR(__xludf.DUMMYFUNCTION("LOWER(REGEXREPLACE(B1222&amp;"" ""&amp;C1222,""[^а-яa-z0-9 ]"","" ""))"),"  сточник бесперебойного питания          2000    2000    1200   2x12v 9  h      175 275   2 розет   ехника шт  1 119 000 00 119 000 00   71 343")</f>
        <v xml:space="preserve">  сточник бесперебойного питания          2000    2000    1200   2x12v 9  h      175 275   2 розет   ехника шт  1 119 000 00 119 000 00   71 343</v>
      </c>
      <c r="G1222" s="4" t="str">
        <f ca="1">IFERROR(__xludf.DUMMYFUNCTION("TEXTJOIN(""|"",TRUE,UNIQUE(FILTER(SPLIT(F1222,"" ""),LEN(SPLIT(F1222,"" ""))&gt;2)))"),"сточник|бесперебойного|питания|2000|2000|1200|2x12v|175|275|розет|ехника|119|119|343")</f>
        <v>сточник|бесперебойного|питания|2000|2000|1200|2x12v|175|275|розет|ехника|119|119|343</v>
      </c>
      <c r="I1222" s="1"/>
      <c r="J1222" s="1"/>
    </row>
    <row r="1223" spans="1:10" x14ac:dyDescent="0.2">
      <c r="A1223" s="7"/>
      <c r="B1223" s="7"/>
      <c r="C1223" s="7" t="s">
        <v>26</v>
      </c>
      <c r="D1223" s="6">
        <v>71339</v>
      </c>
      <c r="E1223" s="5">
        <v>1</v>
      </c>
      <c r="F1223" s="4" t="str">
        <f ca="1">IFERROR(__xludf.DUMMYFUNCTION("LOWER(REGEXREPLACE(B1223&amp;"" ""&amp;C1223,""[^а-яa-z0-9 ]"","" ""))"),"  сточник бесперебойного питания          2000    2000    1200   2x12v 9  h      175 275   2 розет   ехника шт  1 119 000 00 119 000 00   71 344")</f>
        <v xml:space="preserve">  сточник бесперебойного питания          2000    2000    1200   2x12v 9  h      175 275   2 розет   ехника шт  1 119 000 00 119 000 00   71 344</v>
      </c>
      <c r="G1223" s="4" t="str">
        <f ca="1">IFERROR(__xludf.DUMMYFUNCTION("TEXTJOIN(""|"",TRUE,UNIQUE(FILTER(SPLIT(F1223,"" ""),LEN(SPLIT(F1223,"" ""))&gt;2)))"),"сточник|бесперебойного|питания|2000|2000|1200|2x12v|175|275|розет|ехника|119|119|344")</f>
        <v>сточник|бесперебойного|питания|2000|2000|1200|2x12v|175|275|розет|ехника|119|119|344</v>
      </c>
      <c r="I1223" s="1"/>
      <c r="J1223" s="1"/>
    </row>
    <row r="1224" spans="1:10" x14ac:dyDescent="0.2">
      <c r="A1224" s="7"/>
      <c r="B1224" s="7"/>
      <c r="C1224" s="7" t="s">
        <v>25</v>
      </c>
      <c r="D1224" s="6">
        <v>71339</v>
      </c>
      <c r="E1224" s="5">
        <v>1</v>
      </c>
      <c r="F1224" s="4" t="str">
        <f ca="1">IFERROR(__xludf.DUMMYFUNCTION("LOWER(REGEXREPLACE(B1224&amp;"" ""&amp;C1224,""[^а-яa-z0-9 ]"","" ""))"),"  сточник бесперебойного питания          2000    2000    1200   2x12v 9  h      175 275   2 розет   ехника шт  1 119 000 00 119 000 00   71 345")</f>
        <v xml:space="preserve">  сточник бесперебойного питания          2000    2000    1200   2x12v 9  h      175 275   2 розет   ехника шт  1 119 000 00 119 000 00   71 345</v>
      </c>
      <c r="G1224" s="4" t="str">
        <f ca="1">IFERROR(__xludf.DUMMYFUNCTION("TEXTJOIN(""|"",TRUE,UNIQUE(FILTER(SPLIT(F1224,"" ""),LEN(SPLIT(F1224,"" ""))&gt;2)))"),"сточник|бесперебойного|питания|2000|2000|1200|2x12v|175|275|розет|ехника|119|119|345")</f>
        <v>сточник|бесперебойного|питания|2000|2000|1200|2x12v|175|275|розет|ехника|119|119|345</v>
      </c>
      <c r="I1224" s="1"/>
      <c r="J1224" s="1"/>
    </row>
    <row r="1225" spans="1:10" x14ac:dyDescent="0.2">
      <c r="A1225" s="7"/>
      <c r="B1225" s="7"/>
      <c r="C1225" s="7" t="s">
        <v>24</v>
      </c>
      <c r="D1225" s="6">
        <v>71339</v>
      </c>
      <c r="E1225" s="5">
        <v>1</v>
      </c>
      <c r="F1225" s="4" t="str">
        <f ca="1">IFERROR(__xludf.DUMMYFUNCTION("LOWER(REGEXREPLACE(B1225&amp;"" ""&amp;C1225,""[^а-яa-z0-9 ]"","" ""))"),"  сточник бесперебойного питания          2000    2000    1200   2x12v 9  h      175 275   2 розет   ехника шт  1 119 000 00 119 000 00   71 346")</f>
        <v xml:space="preserve">  сточник бесперебойного питания          2000    2000    1200   2x12v 9  h      175 275   2 розет   ехника шт  1 119 000 00 119 000 00   71 346</v>
      </c>
      <c r="G1225" s="4" t="str">
        <f ca="1">IFERROR(__xludf.DUMMYFUNCTION("TEXTJOIN(""|"",TRUE,UNIQUE(FILTER(SPLIT(F1225,"" ""),LEN(SPLIT(F1225,"" ""))&gt;2)))"),"сточник|бесперебойного|питания|2000|2000|1200|2x12v|175|275|розет|ехника|119|119|346")</f>
        <v>сточник|бесперебойного|питания|2000|2000|1200|2x12v|175|275|розет|ехника|119|119|346</v>
      </c>
      <c r="I1225" s="1"/>
      <c r="J1225" s="1"/>
    </row>
    <row r="1226" spans="1:10" x14ac:dyDescent="0.2">
      <c r="A1226" s="8" t="s">
        <v>23</v>
      </c>
      <c r="B1226" s="8" t="s">
        <v>22</v>
      </c>
      <c r="C1226" s="7" t="s">
        <v>21</v>
      </c>
      <c r="D1226" s="6">
        <v>10200</v>
      </c>
      <c r="E1226" s="5">
        <v>14</v>
      </c>
      <c r="F1226" s="4" t="str">
        <f ca="1">IFERROR(__xludf.DUMMYFUNCTION("LOWER(REGEXREPLACE(B1226&amp;"" ""&amp;C1226,""[^а-яa-z0-9 ]"","" ""))")," абель            абель             лина  5м ")</f>
        <v xml:space="preserve"> абель            абель             лина  5м </v>
      </c>
      <c r="G1226" s="4" t="str">
        <f ca="1">IFERROR(__xludf.DUMMYFUNCTION("TEXTJOIN(""|"",TRUE,UNIQUE(FILTER(SPLIT(F1226,"" ""),LEN(SPLIT(F1226,"" ""))&gt;2)))"),"абель|абель|лина")</f>
        <v>абель|абель|лина</v>
      </c>
      <c r="I1226" s="1"/>
      <c r="J1226" s="1"/>
    </row>
    <row r="1227" spans="1:10" x14ac:dyDescent="0.2">
      <c r="A1227" s="8" t="s">
        <v>20</v>
      </c>
      <c r="B1227" s="8" t="s">
        <v>19</v>
      </c>
      <c r="C1227" s="7" t="s">
        <v>18</v>
      </c>
      <c r="D1227" s="6">
        <v>6100</v>
      </c>
      <c r="E1227" s="5">
        <v>24</v>
      </c>
      <c r="F1227" s="4" t="str">
        <f ca="1">IFERROR(__xludf.DUMMYFUNCTION("LOWER(REGEXREPLACE(B1227&amp;"" ""&amp;C1227,""[^а-яa-z0-9 ]"","" ""))")," абель      абель     2 0  ype   лина  3 м ")</f>
        <v xml:space="preserve"> абель      абель     2 0  ype   лина  3 м </v>
      </c>
      <c r="G1227" s="4" t="str">
        <f ca="1">IFERROR(__xludf.DUMMYFUNCTION("TEXTJOIN(""|"",TRUE,UNIQUE(FILTER(SPLIT(F1227,"" ""),LEN(SPLIT(F1227,"" ""))&gt;2)))"),"абель|абель|ype|лина")</f>
        <v>абель|абель|ype|лина</v>
      </c>
      <c r="I1227" s="1"/>
      <c r="J1227" s="1"/>
    </row>
    <row r="1228" spans="1:10" x14ac:dyDescent="0.2">
      <c r="A1228" s="8" t="s">
        <v>17</v>
      </c>
      <c r="B1228" s="8" t="s">
        <v>16</v>
      </c>
      <c r="C1228" s="7" t="s">
        <v>15</v>
      </c>
      <c r="D1228" s="6">
        <v>670369</v>
      </c>
      <c r="E1228" s="5">
        <v>9</v>
      </c>
      <c r="F1228" s="4" t="str">
        <f ca="1">IFERROR(__xludf.DUMMYFUNCTION("LOWER(REGEXREPLACE(B1228&amp;"" ""&amp;C1228,""[^а-яa-z0-9 ]"","" ""))")," елевизор 65   оммерческий телевизор   65  640   65 дюймов типа   ")</f>
        <v xml:space="preserve"> елевизор 65   оммерческий телевизор   65  640   65 дюймов типа   </v>
      </c>
      <c r="G1228" s="4" t="str">
        <f ca="1">IFERROR(__xludf.DUMMYFUNCTION("TEXTJOIN(""|"",TRUE,UNIQUE(FILTER(SPLIT(F1228,"" ""),LEN(SPLIT(F1228,"" ""))&gt;2)))"),"елевизор|оммерческий|телевизор|640|дюймов|типа")</f>
        <v>елевизор|оммерческий|телевизор|640|дюймов|типа</v>
      </c>
      <c r="I1228" s="1"/>
      <c r="J1228" s="1"/>
    </row>
    <row r="1229" spans="1:10" x14ac:dyDescent="0.2">
      <c r="A1229" s="7"/>
      <c r="B1229" s="7"/>
      <c r="C1229" s="7" t="s">
        <v>14</v>
      </c>
      <c r="D1229" s="6">
        <v>850000</v>
      </c>
      <c r="E1229" s="5">
        <v>0</v>
      </c>
      <c r="F1229" s="4" t="str">
        <f ca="1">IFERROR(__xludf.DUMMYFUNCTION("LOWER(REGEXREPLACE(B1229&amp;"" ""&amp;C1229,""[^а-яa-z0-9 ]"","" ""))"),"  елевизор      с функцией  mart     диагональ 65 дюймов   азрешение 3840 x 2160   ltra    ")</f>
        <v xml:space="preserve">  елевизор      с функцией  mart     диагональ 65 дюймов   азрешение 3840 x 2160   ltra    </v>
      </c>
      <c r="G1229" s="4" t="str">
        <f ca="1">IFERROR(__xludf.DUMMYFUNCTION("TEXTJOIN(""|"",TRUE,UNIQUE(FILTER(SPLIT(F1229,"" ""),LEN(SPLIT(F1229,"" ""))&gt;2)))"),"елевизор|функцией|mart|диагональ|дюймов|азрешение|3840|2160|ltra")</f>
        <v>елевизор|функцией|mart|диагональ|дюймов|азрешение|3840|2160|ltra</v>
      </c>
      <c r="I1229" s="1"/>
      <c r="J1229" s="1"/>
    </row>
    <row r="1230" spans="1:10" x14ac:dyDescent="0.2">
      <c r="A1230" s="8" t="s">
        <v>13</v>
      </c>
      <c r="B1230" s="8" t="s">
        <v>12</v>
      </c>
      <c r="C1230" s="7" t="s">
        <v>11</v>
      </c>
      <c r="D1230" s="6">
        <v>2555</v>
      </c>
      <c r="E1230" s="5">
        <v>14</v>
      </c>
      <c r="F1230" s="4" t="str">
        <f ca="1">IFERROR(__xludf.DUMMYFUNCTION("LOWER(REGEXREPLACE(B1230&amp;"" ""&amp;C1230,""[^а-яa-z0-9 ]"","" ""))")," омпьютерная мышь  ышь    125  ired  ouse")</f>
        <v xml:space="preserve"> омпьютерная мышь  ышь    125  ired  ouse</v>
      </c>
      <c r="G1230" s="4" t="str">
        <f ca="1">IFERROR(__xludf.DUMMYFUNCTION("TEXTJOIN(""|"",TRUE,UNIQUE(FILTER(SPLIT(F1230,"" ""),LEN(SPLIT(F1230,"" ""))&gt;2)))"),"омпьютерная|мышь|ышь|125|ired|ouse")</f>
        <v>омпьютерная|мышь|ышь|125|ired|ouse</v>
      </c>
      <c r="I1230" s="1"/>
      <c r="J1230" s="1"/>
    </row>
    <row r="1231" spans="1:10" x14ac:dyDescent="0.2">
      <c r="A1231" s="8" t="s">
        <v>10</v>
      </c>
      <c r="B1231" s="8" t="s">
        <v>9</v>
      </c>
      <c r="C1231" s="7" t="s">
        <v>8</v>
      </c>
      <c r="D1231" s="6">
        <v>153593</v>
      </c>
      <c r="E1231" s="5">
        <v>19</v>
      </c>
      <c r="F1231" s="4" t="str">
        <f ca="1">IFERROR(__xludf.DUMMYFUNCTION("LOWER(REGEXREPLACE(B1231&amp;"" ""&amp;C1231,""[^а-яa-z0-9 ]"","" ""))"),"    цветной         olor  aser 178nw   4  print 600x600dpi  18ppm  scan 600x600dpi                  i  i")</f>
        <v xml:space="preserve">    цветной         olor  aser 178nw   4  print 600x600dpi  18ppm  scan 600x600dpi                  i  i</v>
      </c>
      <c r="G1231" s="4" t="str">
        <f ca="1">IFERROR(__xludf.DUMMYFUNCTION("TEXTJOIN(""|"",TRUE,UNIQUE(FILTER(SPLIT(F1231,"" ""),LEN(SPLIT(F1231,"" ""))&gt;2)))"),"цветной|olor|aser|178nw|print|600x600dpi|18ppm|scan|600x600dpi")</f>
        <v>цветной|olor|aser|178nw|print|600x600dpi|18ppm|scan|600x600dpi</v>
      </c>
      <c r="I1231" s="1"/>
      <c r="J1231" s="1"/>
    </row>
    <row r="1232" spans="1:10" x14ac:dyDescent="0.2">
      <c r="A1232" s="8" t="s">
        <v>7</v>
      </c>
      <c r="B1232" s="7" t="s">
        <v>6</v>
      </c>
      <c r="C1232" s="7" t="s">
        <v>5</v>
      </c>
      <c r="D1232" s="6">
        <v>674900</v>
      </c>
      <c r="E1232" s="5">
        <v>1</v>
      </c>
      <c r="F1232" s="4" t="str">
        <f ca="1">IFERROR(__xludf.DUMMYFUNCTION("LOWER(REGEXREPLACE(B1232&amp;"" ""&amp;C1232,""[^а-яa-z0-9 ]"","" ""))")," онт вытяжной вентиляционный  онт вытяжной вентиляционный размерами 1200х700мм с устройством для сбора жировых отложений")</f>
        <v xml:space="preserve"> онт вытяжной вентиляционный  онт вытяжной вентиляционный размерами 1200х700мм с устройством для сбора жировых отложений</v>
      </c>
      <c r="G1232" s="4" t="str">
        <f ca="1">IFERROR(__xludf.DUMMYFUNCTION("TEXTJOIN(""|"",TRUE,UNIQUE(FILTER(SPLIT(F1232,"" ""),LEN(SPLIT(F1232,"" ""))&gt;2)))"),"онт|вытяжной|вентиляционный|онт|вытяжной|вентиляционный|размерами|1200х700мм|устройством|для|сбора|жировых|отложений")</f>
        <v>онт|вытяжной|вентиляционный|онт|вытяжной|вентиляционный|размерами|1200х700мм|устройством|для|сбора|жировых|отложений</v>
      </c>
      <c r="I1232" s="1"/>
      <c r="J1232" s="1"/>
    </row>
    <row r="1233" spans="1:10" x14ac:dyDescent="0.2">
      <c r="A1233" s="8" t="s">
        <v>4</v>
      </c>
      <c r="B1233" s="7" t="s">
        <v>1</v>
      </c>
      <c r="C1233" s="7" t="s">
        <v>3</v>
      </c>
      <c r="D1233" s="6">
        <v>381700</v>
      </c>
      <c r="E1233" s="5">
        <v>1</v>
      </c>
      <c r="F1233" s="4" t="str">
        <f ca="1">IFERROR(__xludf.DUMMYFUNCTION("LOWER(REGEXREPLACE(B1233&amp;"" ""&amp;C1233,""[^а-яa-z0-9 ]"","" ""))")," онт вытяжной вентиляционный   онт вытяжной вентиляционный размерами 1200х1200мм с устройством для сбора  жировых отложений")</f>
        <v xml:space="preserve"> онт вытяжной вентиляционный   онт вытяжной вентиляционный размерами 1200х1200мм с устройством для сбора  жировых отложений</v>
      </c>
      <c r="G1233" s="4" t="str">
        <f ca="1">IFERROR(__xludf.DUMMYFUNCTION("TEXTJOIN(""|"",TRUE,UNIQUE(FILTER(SPLIT(F1233,"" ""),LEN(SPLIT(F1233,"" ""))&gt;2)))"),"онт|вытяжной|вентиляционный|онт|вытяжной|вентиляционный|размерами|1200х1200мм|устройством|для|сбора|жировых|отложений")</f>
        <v>онт|вытяжной|вентиляционный|онт|вытяжной|вентиляционный|размерами|1200х1200мм|устройством|для|сбора|жировых|отложений</v>
      </c>
      <c r="I1233" s="1"/>
      <c r="J1233" s="1"/>
    </row>
    <row r="1234" spans="1:10" x14ac:dyDescent="0.2">
      <c r="A1234" s="8" t="s">
        <v>2</v>
      </c>
      <c r="B1234" s="7" t="s">
        <v>1</v>
      </c>
      <c r="C1234" s="7" t="s">
        <v>0</v>
      </c>
      <c r="D1234" s="6">
        <v>1784700</v>
      </c>
      <c r="E1234" s="5">
        <v>1</v>
      </c>
      <c r="F1234" s="4" t="str">
        <f ca="1">IFERROR(__xludf.DUMMYFUNCTION("LOWER(REGEXREPLACE(B1234&amp;"" ""&amp;C1234,""[^а-яa-z0-9 ]"","" ""))")," онт вытяжной вентиляционный   онт вытяжной вентиляционный размерами 3200х2200мм с устройством для сбора  жировых отложений")</f>
        <v xml:space="preserve"> онт вытяжной вентиляционный   онт вытяжной вентиляционный размерами 3200х2200мм с устройством для сбора  жировых отложений</v>
      </c>
      <c r="G1234" s="4" t="str">
        <f ca="1">IFERROR(__xludf.DUMMYFUNCTION("TEXTJOIN(""|"",TRUE,UNIQUE(FILTER(SPLIT(F1234,"" ""),LEN(SPLIT(F1234,"" ""))&gt;2)))"),"онт|вытяжной|вентиляционный|онт|вытяжной|вентиляционный|размерами|3200х2200мм|устройством|для|сбора|жировых|отложений")</f>
        <v>онт|вытяжной|вентиляционный|онт|вытяжной|вентиляционный|размерами|3200х2200мм|устройством|для|сбора|жировых|отложений</v>
      </c>
      <c r="I1234" s="1"/>
      <c r="J1234" s="1"/>
    </row>
    <row r="1235" spans="1:10" x14ac:dyDescent="0.2">
      <c r="A1235" s="3"/>
      <c r="B1235" s="3"/>
      <c r="C1235" s="3"/>
      <c r="D1235" s="3"/>
      <c r="E1235" s="3"/>
      <c r="F1235" s="2"/>
      <c r="G1235" s="2"/>
      <c r="I1235" s="1"/>
      <c r="J1235" s="1"/>
    </row>
    <row r="1236" spans="1:10" x14ac:dyDescent="0.2">
      <c r="A1236" s="3"/>
      <c r="B1236" s="3"/>
      <c r="C1236" s="3"/>
      <c r="D1236" s="3"/>
      <c r="E1236" s="3"/>
      <c r="F1236" s="2"/>
      <c r="G1236" s="2"/>
      <c r="I1236" s="1"/>
      <c r="J1236" s="1"/>
    </row>
    <row r="1237" spans="1:10" x14ac:dyDescent="0.2">
      <c r="A1237" s="3"/>
      <c r="B1237" s="3"/>
      <c r="C1237" s="3"/>
      <c r="D1237" s="3"/>
      <c r="E1237" s="3"/>
      <c r="F1237" s="2"/>
      <c r="G1237" s="2"/>
      <c r="I1237" s="1"/>
      <c r="J1237" s="1"/>
    </row>
    <row r="1238" spans="1:10" x14ac:dyDescent="0.2">
      <c r="A1238" s="3"/>
      <c r="B1238" s="3"/>
      <c r="C1238" s="3"/>
      <c r="D1238" s="3"/>
      <c r="E1238" s="3"/>
      <c r="F1238" s="2"/>
      <c r="G1238" s="2"/>
      <c r="I1238" s="1"/>
      <c r="J1238" s="1"/>
    </row>
    <row r="1239" spans="1:10" x14ac:dyDescent="0.2">
      <c r="A1239" s="3"/>
      <c r="B1239" s="3"/>
      <c r="C1239" s="3"/>
      <c r="D1239" s="3"/>
      <c r="E1239" s="3"/>
      <c r="F1239" s="2"/>
      <c r="G1239" s="2"/>
      <c r="I1239" s="1"/>
      <c r="J1239" s="1"/>
    </row>
    <row r="1240" spans="1:10" x14ac:dyDescent="0.2">
      <c r="A1240" s="3"/>
      <c r="B1240" s="3"/>
      <c r="C1240" s="3"/>
      <c r="D1240" s="3"/>
      <c r="E1240" s="3"/>
      <c r="F1240" s="2"/>
      <c r="G1240" s="2"/>
      <c r="I1240" s="1"/>
      <c r="J1240" s="1"/>
    </row>
    <row r="1241" spans="1:10" x14ac:dyDescent="0.2">
      <c r="A1241" s="3"/>
      <c r="B1241" s="3"/>
      <c r="C1241" s="3"/>
      <c r="D1241" s="3"/>
      <c r="E1241" s="3"/>
      <c r="F1241" s="2"/>
      <c r="G1241" s="2"/>
      <c r="I1241" s="1"/>
      <c r="J1241" s="1"/>
    </row>
    <row r="1242" spans="1:10" x14ac:dyDescent="0.2">
      <c r="A1242" s="3"/>
      <c r="B1242" s="3"/>
      <c r="C1242" s="3"/>
      <c r="D1242" s="3"/>
      <c r="E1242" s="3"/>
      <c r="F1242" s="2"/>
      <c r="G1242" s="2"/>
      <c r="I1242" s="1"/>
      <c r="J1242" s="1"/>
    </row>
    <row r="1243" spans="1:10" x14ac:dyDescent="0.2">
      <c r="A1243" s="3"/>
      <c r="B1243" s="3"/>
      <c r="C1243" s="3"/>
      <c r="D1243" s="3"/>
      <c r="E1243" s="3"/>
      <c r="F1243" s="2"/>
      <c r="G1243" s="2"/>
      <c r="I1243" s="1"/>
      <c r="J1243" s="1"/>
    </row>
    <row r="1244" spans="1:10" x14ac:dyDescent="0.2">
      <c r="A1244" s="3"/>
      <c r="B1244" s="3"/>
      <c r="C1244" s="3"/>
      <c r="D1244" s="3"/>
      <c r="E1244" s="3"/>
      <c r="F1244" s="2"/>
      <c r="G1244" s="2"/>
      <c r="I1244" s="1"/>
      <c r="J1244" s="1"/>
    </row>
    <row r="1245" spans="1:10" x14ac:dyDescent="0.2">
      <c r="A1245" s="3"/>
      <c r="B1245" s="3"/>
      <c r="C1245" s="3"/>
      <c r="D1245" s="3"/>
      <c r="E1245" s="3"/>
      <c r="F1245" s="2"/>
      <c r="G1245" s="2"/>
      <c r="I1245" s="1"/>
      <c r="J1245" s="1"/>
    </row>
    <row r="1246" spans="1:10" x14ac:dyDescent="0.2">
      <c r="A1246" s="3"/>
      <c r="B1246" s="3"/>
      <c r="C1246" s="3"/>
      <c r="D1246" s="3"/>
      <c r="E1246" s="3"/>
      <c r="F1246" s="2"/>
      <c r="G1246" s="2"/>
      <c r="I1246" s="1"/>
      <c r="J1246" s="1"/>
    </row>
    <row r="1247" spans="1:10" x14ac:dyDescent="0.2">
      <c r="A1247" s="3"/>
      <c r="B1247" s="3"/>
      <c r="C1247" s="3"/>
      <c r="D1247" s="3"/>
      <c r="E1247" s="3"/>
      <c r="F1247" s="2"/>
      <c r="G1247" s="2"/>
      <c r="I1247" s="1"/>
      <c r="J1247" s="1"/>
    </row>
    <row r="1248" spans="1:10" x14ac:dyDescent="0.2">
      <c r="A1248" s="3"/>
      <c r="B1248" s="3"/>
      <c r="C1248" s="3"/>
      <c r="D1248" s="3"/>
      <c r="E1248" s="3"/>
      <c r="F1248" s="2"/>
      <c r="G1248" s="2"/>
      <c r="I1248" s="1"/>
      <c r="J1248" s="1"/>
    </row>
    <row r="1249" spans="1:10" x14ac:dyDescent="0.2">
      <c r="A1249" s="3"/>
      <c r="B1249" s="3"/>
      <c r="C1249" s="3"/>
      <c r="D1249" s="3"/>
      <c r="E1249" s="3"/>
      <c r="F1249" s="2"/>
      <c r="G1249" s="2"/>
      <c r="I1249" s="1"/>
      <c r="J1249" s="1"/>
    </row>
    <row r="1250" spans="1:10" x14ac:dyDescent="0.2">
      <c r="A1250" s="3"/>
      <c r="B1250" s="3"/>
      <c r="C1250" s="3"/>
      <c r="D1250" s="3"/>
      <c r="E1250" s="3"/>
      <c r="F1250" s="2"/>
      <c r="G1250" s="2"/>
      <c r="I1250" s="1"/>
      <c r="J1250" s="1"/>
    </row>
    <row r="1251" spans="1:10" x14ac:dyDescent="0.2">
      <c r="A1251" s="3"/>
      <c r="B1251" s="3"/>
      <c r="C1251" s="3"/>
      <c r="D1251" s="3"/>
      <c r="E1251" s="3"/>
      <c r="F1251" s="2"/>
      <c r="G1251" s="2"/>
      <c r="I1251" s="1"/>
      <c r="J1251" s="1"/>
    </row>
    <row r="1252" spans="1:10" x14ac:dyDescent="0.2">
      <c r="A1252" s="3"/>
      <c r="B1252" s="3"/>
      <c r="C1252" s="3"/>
      <c r="D1252" s="3"/>
      <c r="E1252" s="3"/>
      <c r="F1252" s="2"/>
      <c r="G1252" s="2"/>
      <c r="I1252" s="1"/>
      <c r="J1252" s="1"/>
    </row>
    <row r="1253" spans="1:10" x14ac:dyDescent="0.2">
      <c r="A1253" s="3"/>
      <c r="B1253" s="3"/>
      <c r="C1253" s="3"/>
      <c r="D1253" s="3"/>
      <c r="E1253" s="3"/>
      <c r="F1253" s="2"/>
      <c r="G1253" s="2"/>
      <c r="I1253" s="1"/>
      <c r="J1253" s="1"/>
    </row>
    <row r="1254" spans="1:10" x14ac:dyDescent="0.2">
      <c r="A1254" s="3"/>
      <c r="B1254" s="3"/>
      <c r="C1254" s="3"/>
      <c r="D1254" s="3"/>
      <c r="E1254" s="3"/>
      <c r="F1254" s="2"/>
      <c r="G1254" s="2"/>
      <c r="I1254" s="1"/>
      <c r="J1254" s="1"/>
    </row>
    <row r="1255" spans="1:10" x14ac:dyDescent="0.2">
      <c r="A1255" s="3"/>
      <c r="B1255" s="3"/>
      <c r="C1255" s="3"/>
      <c r="D1255" s="3"/>
      <c r="E1255" s="3"/>
      <c r="F1255" s="2"/>
      <c r="G1255" s="2"/>
      <c r="I1255" s="1"/>
      <c r="J1255" s="1"/>
    </row>
    <row r="1256" spans="1:10" x14ac:dyDescent="0.2">
      <c r="A1256" s="3"/>
      <c r="B1256" s="3"/>
      <c r="C1256" s="3"/>
      <c r="D1256" s="3"/>
      <c r="E1256" s="3"/>
      <c r="F1256" s="2"/>
      <c r="G1256" s="2"/>
      <c r="I1256" s="1"/>
      <c r="J1256" s="1"/>
    </row>
    <row r="1257" spans="1:10" x14ac:dyDescent="0.2">
      <c r="A1257" s="3"/>
      <c r="B1257" s="3"/>
      <c r="C1257" s="3"/>
      <c r="D1257" s="3"/>
      <c r="E1257" s="3"/>
      <c r="F1257" s="2"/>
      <c r="G1257" s="2"/>
      <c r="I1257" s="1"/>
      <c r="J1257" s="1"/>
    </row>
    <row r="1258" spans="1:10" x14ac:dyDescent="0.2">
      <c r="A1258" s="3"/>
      <c r="B1258" s="3"/>
      <c r="C1258" s="3"/>
      <c r="D1258" s="3"/>
      <c r="E1258" s="3"/>
      <c r="F1258" s="2"/>
      <c r="G1258" s="2"/>
      <c r="I1258" s="1"/>
      <c r="J1258" s="1"/>
    </row>
    <row r="1259" spans="1:10" x14ac:dyDescent="0.2">
      <c r="A1259" s="3"/>
      <c r="B1259" s="3"/>
      <c r="C1259" s="3"/>
      <c r="D1259" s="3"/>
      <c r="E1259" s="3"/>
      <c r="F1259" s="2"/>
      <c r="G1259" s="2"/>
      <c r="I1259" s="1"/>
      <c r="J1259" s="1"/>
    </row>
    <row r="1260" spans="1:10" x14ac:dyDescent="0.2">
      <c r="A1260" s="3"/>
      <c r="B1260" s="3"/>
      <c r="C1260" s="3"/>
      <c r="D1260" s="3"/>
      <c r="E1260" s="3"/>
      <c r="F1260" s="2"/>
      <c r="G1260" s="2"/>
      <c r="I1260" s="1"/>
      <c r="J1260" s="1"/>
    </row>
    <row r="1261" spans="1:10" x14ac:dyDescent="0.2">
      <c r="A1261" s="3"/>
      <c r="B1261" s="3"/>
      <c r="C1261" s="3"/>
      <c r="D1261" s="3"/>
      <c r="E1261" s="3"/>
      <c r="F1261" s="2"/>
      <c r="G1261" s="2"/>
      <c r="I1261" s="1"/>
      <c r="J1261" s="1"/>
    </row>
    <row r="1262" spans="1:10" x14ac:dyDescent="0.2">
      <c r="A1262" s="3"/>
      <c r="B1262" s="3"/>
      <c r="C1262" s="3"/>
      <c r="D1262" s="3"/>
      <c r="E1262" s="3"/>
      <c r="F1262" s="2"/>
      <c r="G1262" s="2"/>
      <c r="I1262" s="1"/>
      <c r="J1262" s="1"/>
    </row>
    <row r="1263" spans="1:10" x14ac:dyDescent="0.2">
      <c r="A1263" s="3"/>
      <c r="B1263" s="3"/>
      <c r="C1263" s="3"/>
      <c r="D1263" s="3"/>
      <c r="E1263" s="3"/>
      <c r="F1263" s="2"/>
      <c r="G1263" s="2"/>
      <c r="I1263" s="1"/>
      <c r="J1263" s="1"/>
    </row>
    <row r="1264" spans="1:10" x14ac:dyDescent="0.2">
      <c r="A1264" s="3"/>
      <c r="B1264" s="3"/>
      <c r="C1264" s="3"/>
      <c r="D1264" s="3"/>
      <c r="E1264" s="3"/>
      <c r="F1264" s="2"/>
      <c r="G1264" s="2"/>
      <c r="I1264" s="1"/>
      <c r="J1264" s="1"/>
    </row>
    <row r="1265" spans="1:10" x14ac:dyDescent="0.2">
      <c r="A1265" s="3"/>
      <c r="B1265" s="3"/>
      <c r="C1265" s="3"/>
      <c r="D1265" s="3"/>
      <c r="E1265" s="3"/>
      <c r="F1265" s="2"/>
      <c r="G1265" s="2"/>
      <c r="I1265" s="1"/>
      <c r="J1265" s="1"/>
    </row>
    <row r="1266" spans="1:10" x14ac:dyDescent="0.2">
      <c r="A1266" s="3"/>
      <c r="B1266" s="3"/>
      <c r="C1266" s="3"/>
      <c r="D1266" s="3"/>
      <c r="E1266" s="3"/>
      <c r="F1266" s="2"/>
      <c r="G1266" s="2"/>
      <c r="I1266" s="1"/>
      <c r="J1266" s="1"/>
    </row>
    <row r="1267" spans="1:10" x14ac:dyDescent="0.2">
      <c r="A1267" s="3"/>
      <c r="B1267" s="3"/>
      <c r="C1267" s="3"/>
      <c r="D1267" s="3"/>
      <c r="E1267" s="3"/>
      <c r="F1267" s="2"/>
      <c r="G1267" s="2"/>
      <c r="I1267" s="1"/>
      <c r="J1267" s="1"/>
    </row>
    <row r="1268" spans="1:10" x14ac:dyDescent="0.2">
      <c r="A1268" s="3"/>
      <c r="B1268" s="3"/>
      <c r="C1268" s="3"/>
      <c r="D1268" s="3"/>
      <c r="E1268" s="3"/>
      <c r="F1268" s="2"/>
      <c r="G1268" s="2"/>
      <c r="I1268" s="1"/>
      <c r="J1268" s="1"/>
    </row>
    <row r="1269" spans="1:10" x14ac:dyDescent="0.2">
      <c r="A1269" s="3"/>
      <c r="B1269" s="3"/>
      <c r="C1269" s="3"/>
      <c r="D1269" s="3"/>
      <c r="E1269" s="3"/>
      <c r="F1269" s="2"/>
      <c r="G1269" s="2"/>
      <c r="I1269" s="1"/>
      <c r="J1269" s="1"/>
    </row>
    <row r="1270" spans="1:10" x14ac:dyDescent="0.2">
      <c r="A1270" s="3"/>
      <c r="B1270" s="3"/>
      <c r="C1270" s="3"/>
      <c r="D1270" s="3"/>
      <c r="E1270" s="3"/>
      <c r="F1270" s="2"/>
      <c r="G1270" s="2"/>
      <c r="I1270" s="1"/>
      <c r="J1270" s="1"/>
    </row>
    <row r="1271" spans="1:10" x14ac:dyDescent="0.2">
      <c r="A1271" s="3"/>
      <c r="B1271" s="3"/>
      <c r="C1271" s="3"/>
      <c r="D1271" s="3"/>
      <c r="E1271" s="3"/>
      <c r="F1271" s="2"/>
      <c r="G1271" s="2"/>
      <c r="I1271" s="1"/>
      <c r="J1271" s="1"/>
    </row>
    <row r="1272" spans="1:10" x14ac:dyDescent="0.2">
      <c r="A1272" s="3"/>
      <c r="B1272" s="3"/>
      <c r="C1272" s="3"/>
      <c r="D1272" s="3"/>
      <c r="E1272" s="3"/>
      <c r="F1272" s="2"/>
      <c r="G1272" s="2"/>
      <c r="I1272" s="1"/>
      <c r="J1272" s="1"/>
    </row>
    <row r="1273" spans="1:10" x14ac:dyDescent="0.2">
      <c r="A1273" s="3"/>
      <c r="B1273" s="3"/>
      <c r="C1273" s="3"/>
      <c r="D1273" s="3"/>
      <c r="E1273" s="3"/>
      <c r="F1273" s="2"/>
      <c r="G1273" s="2"/>
      <c r="I1273" s="1"/>
      <c r="J1273" s="1"/>
    </row>
    <row r="1274" spans="1:10" x14ac:dyDescent="0.2">
      <c r="A1274" s="3"/>
      <c r="B1274" s="3"/>
      <c r="C1274" s="3"/>
      <c r="D1274" s="3"/>
      <c r="E1274" s="3"/>
      <c r="F1274" s="2"/>
      <c r="G1274" s="2"/>
      <c r="I1274" s="1"/>
      <c r="J1274" s="1"/>
    </row>
    <row r="1275" spans="1:10" x14ac:dyDescent="0.2">
      <c r="A1275" s="3"/>
      <c r="B1275" s="3"/>
      <c r="C1275" s="3"/>
      <c r="D1275" s="3"/>
      <c r="E1275" s="3"/>
      <c r="F1275" s="2"/>
      <c r="G1275" s="2"/>
      <c r="I1275" s="1"/>
      <c r="J1275" s="1"/>
    </row>
    <row r="1276" spans="1:10" x14ac:dyDescent="0.2">
      <c r="A1276" s="3"/>
      <c r="B1276" s="3"/>
      <c r="C1276" s="3"/>
      <c r="D1276" s="3"/>
      <c r="E1276" s="3"/>
      <c r="F1276" s="2"/>
      <c r="G1276" s="2"/>
      <c r="I1276" s="1"/>
      <c r="J1276" s="1"/>
    </row>
    <row r="1277" spans="1:10" x14ac:dyDescent="0.2">
      <c r="A1277" s="3"/>
      <c r="B1277" s="3"/>
      <c r="C1277" s="3"/>
      <c r="D1277" s="3"/>
      <c r="E1277" s="3"/>
      <c r="F1277" s="2"/>
      <c r="G1277" s="2"/>
      <c r="I1277" s="1"/>
      <c r="J1277" s="1"/>
    </row>
    <row r="1278" spans="1:10" x14ac:dyDescent="0.2">
      <c r="A1278" s="3"/>
      <c r="B1278" s="3"/>
      <c r="C1278" s="3"/>
      <c r="D1278" s="3"/>
      <c r="E1278" s="3"/>
      <c r="F1278" s="2"/>
      <c r="G1278" s="2"/>
      <c r="I1278" s="1"/>
      <c r="J1278" s="1"/>
    </row>
    <row r="1279" spans="1:10" x14ac:dyDescent="0.2">
      <c r="A1279" s="3"/>
      <c r="B1279" s="3"/>
      <c r="C1279" s="3"/>
      <c r="D1279" s="3"/>
      <c r="E1279" s="3"/>
      <c r="F1279" s="2"/>
      <c r="G1279" s="2"/>
      <c r="I1279" s="1"/>
      <c r="J1279" s="1"/>
    </row>
    <row r="1280" spans="1:10" x14ac:dyDescent="0.2">
      <c r="A1280" s="3"/>
      <c r="B1280" s="3"/>
      <c r="C1280" s="3"/>
      <c r="D1280" s="3"/>
      <c r="E1280" s="3"/>
      <c r="F1280" s="2"/>
      <c r="G1280" s="2"/>
      <c r="I1280" s="1"/>
      <c r="J1280" s="1"/>
    </row>
    <row r="1281" spans="1:10" x14ac:dyDescent="0.2">
      <c r="A1281" s="3"/>
      <c r="B1281" s="3"/>
      <c r="C1281" s="3"/>
      <c r="D1281" s="3"/>
      <c r="E1281" s="3"/>
      <c r="F1281" s="2"/>
      <c r="G1281" s="2"/>
      <c r="I1281" s="1"/>
      <c r="J1281" s="1"/>
    </row>
    <row r="1282" spans="1:10" x14ac:dyDescent="0.2">
      <c r="A1282" s="3"/>
      <c r="B1282" s="3"/>
      <c r="C1282" s="3"/>
      <c r="D1282" s="3"/>
      <c r="E1282" s="3"/>
      <c r="F1282" s="2"/>
      <c r="G1282" s="2"/>
      <c r="I1282" s="1"/>
      <c r="J1282" s="1"/>
    </row>
    <row r="1283" spans="1:10" x14ac:dyDescent="0.2">
      <c r="A1283" s="3"/>
      <c r="B1283" s="3"/>
      <c r="C1283" s="3"/>
      <c r="D1283" s="3"/>
      <c r="E1283" s="3"/>
      <c r="F1283" s="2"/>
      <c r="G1283" s="2"/>
      <c r="I1283" s="1"/>
      <c r="J1283" s="1"/>
    </row>
    <row r="1284" spans="1:10" x14ac:dyDescent="0.2">
      <c r="A1284" s="3"/>
      <c r="B1284" s="3"/>
      <c r="C1284" s="3"/>
      <c r="D1284" s="3"/>
      <c r="E1284" s="3"/>
      <c r="F1284" s="2"/>
      <c r="G1284" s="2"/>
      <c r="I1284" s="1"/>
      <c r="J1284" s="1"/>
    </row>
    <row r="1285" spans="1:10" x14ac:dyDescent="0.2">
      <c r="A1285" s="3"/>
      <c r="B1285" s="3"/>
      <c r="C1285" s="3"/>
      <c r="D1285" s="3"/>
      <c r="E1285" s="3"/>
      <c r="F1285" s="2"/>
      <c r="G1285" s="2"/>
      <c r="I1285" s="1"/>
      <c r="J1285" s="1"/>
    </row>
    <row r="1286" spans="1:10" x14ac:dyDescent="0.2">
      <c r="A1286" s="3"/>
      <c r="B1286" s="3"/>
      <c r="C1286" s="3"/>
      <c r="D1286" s="3"/>
      <c r="E1286" s="3"/>
      <c r="F1286" s="2"/>
      <c r="G1286" s="2"/>
      <c r="I1286" s="1"/>
      <c r="J1286" s="1"/>
    </row>
    <row r="1287" spans="1:10" x14ac:dyDescent="0.2">
      <c r="A1287" s="3"/>
      <c r="B1287" s="3"/>
      <c r="C1287" s="3"/>
      <c r="D1287" s="3"/>
      <c r="E1287" s="3"/>
      <c r="F1287" s="2"/>
      <c r="G1287" s="2"/>
      <c r="I1287" s="1"/>
      <c r="J1287" s="1"/>
    </row>
    <row r="1288" spans="1:10" x14ac:dyDescent="0.2">
      <c r="A1288" s="3"/>
      <c r="B1288" s="3"/>
      <c r="C1288" s="3"/>
      <c r="D1288" s="3"/>
      <c r="E1288" s="3"/>
      <c r="F1288" s="2"/>
      <c r="G1288" s="2"/>
      <c r="I1288" s="1"/>
      <c r="J1288" s="1"/>
    </row>
    <row r="1289" spans="1:10" x14ac:dyDescent="0.2">
      <c r="A1289" s="3"/>
      <c r="B1289" s="3"/>
      <c r="C1289" s="3"/>
      <c r="D1289" s="3"/>
      <c r="E1289" s="3"/>
      <c r="F1289" s="2"/>
      <c r="G1289" s="2"/>
      <c r="I1289" s="1"/>
      <c r="J1289" s="1"/>
    </row>
    <row r="1290" spans="1:10" x14ac:dyDescent="0.2">
      <c r="A1290" s="3"/>
      <c r="B1290" s="3"/>
      <c r="C1290" s="3"/>
      <c r="D1290" s="3"/>
      <c r="E1290" s="3"/>
      <c r="F1290" s="2"/>
      <c r="G1290" s="2"/>
      <c r="I1290" s="1"/>
      <c r="J1290" s="1"/>
    </row>
    <row r="1291" spans="1:10" x14ac:dyDescent="0.2">
      <c r="A1291" s="3"/>
      <c r="B1291" s="3"/>
      <c r="C1291" s="3"/>
      <c r="D1291" s="3"/>
      <c r="E1291" s="3"/>
      <c r="F1291" s="2"/>
      <c r="G1291" s="2"/>
      <c r="I1291" s="1"/>
      <c r="J1291" s="1"/>
    </row>
    <row r="1292" spans="1:10" x14ac:dyDescent="0.2">
      <c r="A1292" s="3"/>
      <c r="B1292" s="3"/>
      <c r="C1292" s="3"/>
      <c r="D1292" s="3"/>
      <c r="E1292" s="3"/>
      <c r="F1292" s="2"/>
      <c r="G1292" s="2"/>
      <c r="I1292" s="1"/>
      <c r="J1292" s="1"/>
    </row>
    <row r="1293" spans="1:10" x14ac:dyDescent="0.2">
      <c r="A1293" s="3"/>
      <c r="B1293" s="3"/>
      <c r="C1293" s="3"/>
      <c r="D1293" s="3"/>
      <c r="E1293" s="3"/>
      <c r="F1293" s="2"/>
      <c r="G1293" s="2"/>
      <c r="I1293" s="1"/>
      <c r="J1293" s="1"/>
    </row>
    <row r="1294" spans="1:10" x14ac:dyDescent="0.2">
      <c r="A1294" s="3"/>
      <c r="B1294" s="3"/>
      <c r="C1294" s="3"/>
      <c r="D1294" s="3"/>
      <c r="E1294" s="3"/>
      <c r="F1294" s="2"/>
      <c r="G1294" s="2"/>
      <c r="I1294" s="1"/>
      <c r="J1294" s="1"/>
    </row>
    <row r="1295" spans="1:10" x14ac:dyDescent="0.2">
      <c r="A1295" s="3"/>
      <c r="B1295" s="3"/>
      <c r="C1295" s="3"/>
      <c r="D1295" s="3"/>
      <c r="E1295" s="3"/>
      <c r="F1295" s="2"/>
      <c r="G1295" s="2"/>
      <c r="I1295" s="1"/>
      <c r="J1295" s="1"/>
    </row>
    <row r="1296" spans="1:10" x14ac:dyDescent="0.2">
      <c r="A1296" s="3"/>
      <c r="B1296" s="3"/>
      <c r="C1296" s="3"/>
      <c r="D1296" s="3"/>
      <c r="E1296" s="3"/>
      <c r="F1296" s="2"/>
      <c r="G1296" s="2"/>
      <c r="I1296" s="1"/>
      <c r="J1296" s="1"/>
    </row>
    <row r="1297" spans="1:10" x14ac:dyDescent="0.2">
      <c r="A1297" s="3"/>
      <c r="B1297" s="3"/>
      <c r="C1297" s="3"/>
      <c r="D1297" s="3"/>
      <c r="E1297" s="3"/>
      <c r="F1297" s="2"/>
      <c r="G1297" s="2"/>
      <c r="I1297" s="1"/>
      <c r="J1297" s="1"/>
    </row>
    <row r="1298" spans="1:10" x14ac:dyDescent="0.2">
      <c r="A1298" s="3"/>
      <c r="B1298" s="3"/>
      <c r="C1298" s="3"/>
      <c r="D1298" s="3"/>
      <c r="E1298" s="3"/>
      <c r="F1298" s="2"/>
      <c r="G1298" s="2"/>
      <c r="I1298" s="1"/>
      <c r="J1298" s="1"/>
    </row>
    <row r="1299" spans="1:10" x14ac:dyDescent="0.2">
      <c r="A1299" s="3"/>
      <c r="B1299" s="3"/>
      <c r="C1299" s="3"/>
      <c r="D1299" s="3"/>
      <c r="E1299" s="3"/>
      <c r="F1299" s="2"/>
      <c r="G1299" s="2"/>
      <c r="I1299" s="1"/>
      <c r="J1299" s="1"/>
    </row>
    <row r="1300" spans="1:10" x14ac:dyDescent="0.2">
      <c r="A1300" s="3"/>
      <c r="B1300" s="3"/>
      <c r="C1300" s="3"/>
      <c r="D1300" s="3"/>
      <c r="E1300" s="3"/>
      <c r="F1300" s="2"/>
      <c r="G1300" s="2"/>
      <c r="I1300" s="1"/>
      <c r="J1300" s="1"/>
    </row>
    <row r="1301" spans="1:10" x14ac:dyDescent="0.2">
      <c r="A1301" s="3"/>
      <c r="B1301" s="3"/>
      <c r="C1301" s="3"/>
      <c r="D1301" s="3"/>
      <c r="E1301" s="3"/>
      <c r="F1301" s="2"/>
      <c r="G1301" s="2"/>
      <c r="I1301" s="1"/>
      <c r="J1301" s="1"/>
    </row>
    <row r="1302" spans="1:10" x14ac:dyDescent="0.2">
      <c r="A1302" s="3"/>
      <c r="B1302" s="3"/>
      <c r="C1302" s="3"/>
      <c r="D1302" s="3"/>
      <c r="E1302" s="3"/>
      <c r="F1302" s="2"/>
      <c r="G1302" s="2"/>
      <c r="I1302" s="1"/>
      <c r="J1302" s="1"/>
    </row>
    <row r="1303" spans="1:10" x14ac:dyDescent="0.2">
      <c r="A1303" s="3"/>
      <c r="B1303" s="3"/>
      <c r="C1303" s="3"/>
      <c r="D1303" s="3"/>
      <c r="E1303" s="3"/>
      <c r="F1303" s="2"/>
      <c r="G1303" s="2"/>
      <c r="I1303" s="1"/>
      <c r="J1303" s="1"/>
    </row>
    <row r="1304" spans="1:10" x14ac:dyDescent="0.2">
      <c r="A1304" s="3"/>
      <c r="B1304" s="3"/>
      <c r="C1304" s="3"/>
      <c r="D1304" s="3"/>
      <c r="E1304" s="3"/>
      <c r="F1304" s="2"/>
      <c r="G1304" s="2"/>
      <c r="I1304" s="1"/>
      <c r="J1304" s="1"/>
    </row>
    <row r="1305" spans="1:10" x14ac:dyDescent="0.2">
      <c r="A1305" s="3"/>
      <c r="B1305" s="3"/>
      <c r="C1305" s="3"/>
      <c r="D1305" s="3"/>
      <c r="E1305" s="3"/>
      <c r="F1305" s="2"/>
      <c r="G1305" s="2"/>
      <c r="I1305" s="1"/>
      <c r="J1305" s="1"/>
    </row>
    <row r="1306" spans="1:10" x14ac:dyDescent="0.2">
      <c r="A1306" s="3"/>
      <c r="B1306" s="3"/>
      <c r="C1306" s="3"/>
      <c r="D1306" s="3"/>
      <c r="E1306" s="3"/>
      <c r="F1306" s="2"/>
      <c r="G1306" s="2"/>
      <c r="I1306" s="1"/>
      <c r="J1306" s="1"/>
    </row>
    <row r="1307" spans="1:10" x14ac:dyDescent="0.2">
      <c r="A1307" s="3"/>
      <c r="B1307" s="3"/>
      <c r="C1307" s="3"/>
      <c r="D1307" s="3"/>
      <c r="E1307" s="3"/>
      <c r="F1307" s="2"/>
      <c r="G1307" s="2"/>
      <c r="I1307" s="1"/>
      <c r="J1307" s="1"/>
    </row>
    <row r="1308" spans="1:10" x14ac:dyDescent="0.2">
      <c r="A1308" s="3"/>
      <c r="B1308" s="3"/>
      <c r="C1308" s="3"/>
      <c r="D1308" s="3"/>
      <c r="E1308" s="3"/>
      <c r="F1308" s="2"/>
      <c r="G1308" s="2"/>
      <c r="I1308" s="1"/>
      <c r="J1308" s="1"/>
    </row>
    <row r="1309" spans="1:10" x14ac:dyDescent="0.2">
      <c r="A1309" s="3"/>
      <c r="B1309" s="3"/>
      <c r="C1309" s="3"/>
      <c r="D1309" s="3"/>
      <c r="E1309" s="3"/>
      <c r="F1309" s="2"/>
      <c r="G1309" s="2"/>
      <c r="I1309" s="1"/>
      <c r="J1309" s="1"/>
    </row>
    <row r="1310" spans="1:10" x14ac:dyDescent="0.2">
      <c r="A1310" s="3"/>
      <c r="B1310" s="3"/>
      <c r="C1310" s="3"/>
      <c r="D1310" s="3"/>
      <c r="E1310" s="3"/>
      <c r="F1310" s="2"/>
      <c r="G1310" s="2"/>
      <c r="I1310" s="1"/>
      <c r="J1310" s="1"/>
    </row>
    <row r="1311" spans="1:10" x14ac:dyDescent="0.2">
      <c r="A1311" s="3"/>
      <c r="B1311" s="3"/>
      <c r="C1311" s="3"/>
      <c r="D1311" s="3"/>
      <c r="E1311" s="3"/>
      <c r="F1311" s="2"/>
      <c r="G1311" s="2"/>
      <c r="I1311" s="1"/>
      <c r="J1311" s="1"/>
    </row>
    <row r="1312" spans="1:10" x14ac:dyDescent="0.2">
      <c r="A1312" s="3"/>
      <c r="B1312" s="3"/>
      <c r="C1312" s="3"/>
      <c r="D1312" s="3"/>
      <c r="E1312" s="3"/>
      <c r="F1312" s="2"/>
      <c r="G1312" s="2"/>
      <c r="I1312" s="1"/>
      <c r="J1312" s="1"/>
    </row>
    <row r="1313" spans="1:10" x14ac:dyDescent="0.2">
      <c r="A1313" s="3"/>
      <c r="B1313" s="3"/>
      <c r="C1313" s="3"/>
      <c r="D1313" s="3"/>
      <c r="E1313" s="3"/>
      <c r="F1313" s="2"/>
      <c r="G1313" s="2"/>
      <c r="I1313" s="1"/>
      <c r="J1313" s="1"/>
    </row>
    <row r="1314" spans="1:10" x14ac:dyDescent="0.2">
      <c r="A1314" s="3"/>
      <c r="B1314" s="3"/>
      <c r="C1314" s="3"/>
      <c r="D1314" s="3"/>
      <c r="E1314" s="3"/>
      <c r="F1314" s="2"/>
      <c r="G1314" s="2"/>
      <c r="I1314" s="1"/>
      <c r="J1314" s="1"/>
    </row>
    <row r="1315" spans="1:10" x14ac:dyDescent="0.2">
      <c r="A1315" s="3"/>
      <c r="B1315" s="3"/>
      <c r="C1315" s="3"/>
      <c r="D1315" s="3"/>
      <c r="E1315" s="3"/>
      <c r="F1315" s="2"/>
      <c r="G1315" s="2"/>
      <c r="I1315" s="1"/>
      <c r="J1315" s="1"/>
    </row>
    <row r="1316" spans="1:10" x14ac:dyDescent="0.2">
      <c r="A1316" s="3"/>
      <c r="B1316" s="3"/>
      <c r="C1316" s="3"/>
      <c r="D1316" s="3"/>
      <c r="E1316" s="3"/>
      <c r="F1316" s="2"/>
      <c r="G1316" s="2"/>
      <c r="I1316" s="1"/>
      <c r="J1316" s="1"/>
    </row>
    <row r="1317" spans="1:10" x14ac:dyDescent="0.2">
      <c r="A1317" s="3"/>
      <c r="B1317" s="3"/>
      <c r="C1317" s="3"/>
      <c r="D1317" s="3"/>
      <c r="E1317" s="3"/>
      <c r="F1317" s="2"/>
      <c r="G1317" s="2"/>
      <c r="I1317" s="1"/>
      <c r="J1317" s="1"/>
    </row>
    <row r="1318" spans="1:10" x14ac:dyDescent="0.2">
      <c r="A1318" s="3"/>
      <c r="B1318" s="3"/>
      <c r="C1318" s="3"/>
      <c r="D1318" s="3"/>
      <c r="E1318" s="3"/>
      <c r="F1318" s="2"/>
      <c r="G1318" s="2"/>
      <c r="I1318" s="1"/>
      <c r="J1318" s="1"/>
    </row>
    <row r="1319" spans="1:10" x14ac:dyDescent="0.2">
      <c r="A1319" s="3"/>
      <c r="B1319" s="3"/>
      <c r="C1319" s="3"/>
      <c r="D1319" s="3"/>
      <c r="E1319" s="3"/>
      <c r="F1319" s="2"/>
      <c r="G1319" s="2"/>
      <c r="I1319" s="1"/>
      <c r="J1319" s="1"/>
    </row>
    <row r="1320" spans="1:10" x14ac:dyDescent="0.2">
      <c r="A1320" s="3"/>
      <c r="B1320" s="3"/>
      <c r="C1320" s="3"/>
      <c r="D1320" s="3"/>
      <c r="E1320" s="3"/>
      <c r="F1320" s="2"/>
      <c r="G1320" s="2"/>
      <c r="I1320" s="1"/>
      <c r="J1320" s="1"/>
    </row>
    <row r="1321" spans="1:10" x14ac:dyDescent="0.2">
      <c r="A1321" s="3"/>
      <c r="B1321" s="3"/>
      <c r="C1321" s="3"/>
      <c r="D1321" s="3"/>
      <c r="E1321" s="3"/>
      <c r="F1321" s="2"/>
      <c r="G1321" s="2"/>
      <c r="I1321" s="1"/>
      <c r="J1321" s="1"/>
    </row>
    <row r="1322" spans="1:10" x14ac:dyDescent="0.2">
      <c r="A1322" s="3"/>
      <c r="B1322" s="3"/>
      <c r="C1322" s="3"/>
      <c r="D1322" s="3"/>
      <c r="E1322" s="3"/>
      <c r="F1322" s="2"/>
      <c r="G1322" s="2"/>
      <c r="I1322" s="1"/>
      <c r="J1322" s="1"/>
    </row>
    <row r="1323" spans="1:10" x14ac:dyDescent="0.2">
      <c r="A1323" s="3"/>
      <c r="B1323" s="3"/>
      <c r="C1323" s="3"/>
      <c r="D1323" s="3"/>
      <c r="E1323" s="3"/>
      <c r="F1323" s="2"/>
      <c r="G1323" s="2"/>
      <c r="I1323" s="1"/>
      <c r="J1323" s="1"/>
    </row>
    <row r="1324" spans="1:10" x14ac:dyDescent="0.2">
      <c r="A1324" s="3"/>
      <c r="B1324" s="3"/>
      <c r="C1324" s="3"/>
      <c r="D1324" s="3"/>
      <c r="E1324" s="3"/>
      <c r="F1324" s="2"/>
      <c r="G1324" s="2"/>
      <c r="I1324" s="1"/>
      <c r="J1324" s="1"/>
    </row>
    <row r="1325" spans="1:10" x14ac:dyDescent="0.2">
      <c r="A1325" s="3"/>
      <c r="B1325" s="3"/>
      <c r="C1325" s="3"/>
      <c r="D1325" s="3"/>
      <c r="E1325" s="3"/>
      <c r="F1325" s="2"/>
      <c r="G1325" s="2"/>
      <c r="I1325" s="1"/>
      <c r="J1325" s="1"/>
    </row>
    <row r="1326" spans="1:10" x14ac:dyDescent="0.2">
      <c r="A1326" s="3"/>
      <c r="B1326" s="3"/>
      <c r="C1326" s="3"/>
      <c r="D1326" s="3"/>
      <c r="E1326" s="3"/>
      <c r="F1326" s="2"/>
      <c r="G1326" s="2"/>
      <c r="I1326" s="1"/>
      <c r="J1326" s="1"/>
    </row>
    <row r="1327" spans="1:10" x14ac:dyDescent="0.2">
      <c r="A1327" s="3"/>
      <c r="B1327" s="3"/>
      <c r="C1327" s="3"/>
      <c r="D1327" s="3"/>
      <c r="E1327" s="3"/>
      <c r="F1327" s="2"/>
      <c r="G1327" s="2"/>
      <c r="I1327" s="1"/>
      <c r="J1327" s="1"/>
    </row>
    <row r="1328" spans="1:10" x14ac:dyDescent="0.2">
      <c r="A1328" s="3"/>
      <c r="B1328" s="3"/>
      <c r="C1328" s="3"/>
      <c r="D1328" s="3"/>
      <c r="E1328" s="3"/>
      <c r="F1328" s="2"/>
      <c r="G1328" s="2"/>
      <c r="I1328" s="1"/>
      <c r="J1328" s="1"/>
    </row>
    <row r="1329" spans="1:10" x14ac:dyDescent="0.2">
      <c r="A1329" s="3"/>
      <c r="B1329" s="3"/>
      <c r="C1329" s="3"/>
      <c r="D1329" s="3"/>
      <c r="E1329" s="3"/>
      <c r="F1329" s="2"/>
      <c r="G1329" s="2"/>
      <c r="I1329" s="1"/>
      <c r="J1329" s="1"/>
    </row>
    <row r="1330" spans="1:10" x14ac:dyDescent="0.2">
      <c r="A1330" s="3"/>
      <c r="B1330" s="3"/>
      <c r="C1330" s="3"/>
      <c r="D1330" s="3"/>
      <c r="E1330" s="3"/>
      <c r="F1330" s="2"/>
      <c r="G1330" s="2"/>
      <c r="I1330" s="1"/>
      <c r="J1330" s="1"/>
    </row>
    <row r="1331" spans="1:10" x14ac:dyDescent="0.2">
      <c r="A1331" s="3"/>
      <c r="B1331" s="3"/>
      <c r="C1331" s="3"/>
      <c r="D1331" s="3"/>
      <c r="E1331" s="3"/>
      <c r="F1331" s="2"/>
      <c r="G1331" s="2"/>
      <c r="I1331" s="1"/>
      <c r="J1331" s="1"/>
    </row>
    <row r="1332" spans="1:10" x14ac:dyDescent="0.2">
      <c r="A1332" s="3"/>
      <c r="B1332" s="3"/>
      <c r="C1332" s="3"/>
      <c r="D1332" s="3"/>
      <c r="E1332" s="3"/>
      <c r="F1332" s="2"/>
      <c r="G1332" s="2"/>
      <c r="I1332" s="1"/>
      <c r="J1332" s="1"/>
    </row>
    <row r="1333" spans="1:10" x14ac:dyDescent="0.2">
      <c r="A1333" s="3"/>
      <c r="B1333" s="3"/>
      <c r="C1333" s="3"/>
      <c r="D1333" s="3"/>
      <c r="E1333" s="3"/>
      <c r="F1333" s="2"/>
      <c r="G1333" s="2"/>
      <c r="I1333" s="1"/>
      <c r="J1333" s="1"/>
    </row>
    <row r="1334" spans="1:10" x14ac:dyDescent="0.2">
      <c r="A1334" s="3"/>
      <c r="B1334" s="3"/>
      <c r="C1334" s="3"/>
      <c r="D1334" s="3"/>
      <c r="E1334" s="3"/>
      <c r="F1334" s="2"/>
      <c r="G1334" s="2"/>
      <c r="I1334" s="1"/>
      <c r="J1334" s="1"/>
    </row>
    <row r="1335" spans="1:10" x14ac:dyDescent="0.2">
      <c r="A1335" s="3"/>
      <c r="B1335" s="3"/>
      <c r="C1335" s="3"/>
      <c r="D1335" s="3"/>
      <c r="E1335" s="3"/>
      <c r="F1335" s="2"/>
      <c r="G1335" s="2"/>
      <c r="I1335" s="1"/>
      <c r="J1335" s="1"/>
    </row>
    <row r="1336" spans="1:10" x14ac:dyDescent="0.2">
      <c r="A1336" s="3"/>
      <c r="B1336" s="3"/>
      <c r="C1336" s="3"/>
      <c r="D1336" s="3"/>
      <c r="E1336" s="3"/>
      <c r="F1336" s="2"/>
      <c r="G1336" s="2"/>
      <c r="I1336" s="1"/>
      <c r="J1336" s="1"/>
    </row>
    <row r="1337" spans="1:10" x14ac:dyDescent="0.2">
      <c r="A1337" s="3"/>
      <c r="B1337" s="3"/>
      <c r="C1337" s="3"/>
      <c r="D1337" s="3"/>
      <c r="E1337" s="3"/>
      <c r="F1337" s="2"/>
      <c r="G1337" s="2"/>
      <c r="I1337" s="1"/>
      <c r="J1337" s="1"/>
    </row>
    <row r="1338" spans="1:10" x14ac:dyDescent="0.2">
      <c r="A1338" s="3"/>
      <c r="B1338" s="3"/>
      <c r="C1338" s="3"/>
      <c r="D1338" s="3"/>
      <c r="E1338" s="3"/>
      <c r="F1338" s="2"/>
      <c r="G1338" s="2"/>
      <c r="I1338" s="1"/>
      <c r="J1338" s="1"/>
    </row>
    <row r="1339" spans="1:10" x14ac:dyDescent="0.2">
      <c r="A1339" s="3"/>
      <c r="B1339" s="3"/>
      <c r="C1339" s="3"/>
      <c r="D1339" s="3"/>
      <c r="E1339" s="3"/>
      <c r="F1339" s="2"/>
      <c r="G1339" s="2"/>
      <c r="I1339" s="1"/>
      <c r="J1339" s="1"/>
    </row>
    <row r="1340" spans="1:10" x14ac:dyDescent="0.2">
      <c r="A1340" s="3"/>
      <c r="B1340" s="3"/>
      <c r="C1340" s="3"/>
      <c r="D1340" s="3"/>
      <c r="E1340" s="3"/>
      <c r="F1340" s="2"/>
      <c r="G1340" s="2"/>
      <c r="I1340" s="1"/>
      <c r="J1340" s="1"/>
    </row>
    <row r="1341" spans="1:10" x14ac:dyDescent="0.2">
      <c r="A1341" s="3"/>
      <c r="B1341" s="3"/>
      <c r="C1341" s="3"/>
      <c r="D1341" s="3"/>
      <c r="E1341" s="3"/>
      <c r="F1341" s="2"/>
      <c r="G1341" s="2"/>
      <c r="I1341" s="1"/>
      <c r="J1341" s="1"/>
    </row>
    <row r="1342" spans="1:10" x14ac:dyDescent="0.2">
      <c r="A1342" s="3"/>
      <c r="B1342" s="3"/>
      <c r="C1342" s="3"/>
      <c r="D1342" s="3"/>
      <c r="E1342" s="3"/>
      <c r="F1342" s="2"/>
      <c r="G1342" s="2"/>
      <c r="I1342" s="1"/>
      <c r="J1342" s="1"/>
    </row>
    <row r="1343" spans="1:10" x14ac:dyDescent="0.2">
      <c r="A1343" s="3"/>
      <c r="B1343" s="3"/>
      <c r="C1343" s="3"/>
      <c r="D1343" s="3"/>
      <c r="E1343" s="3"/>
      <c r="F1343" s="2"/>
      <c r="G1343" s="2"/>
      <c r="I1343" s="1"/>
      <c r="J1343" s="1"/>
    </row>
    <row r="1344" spans="1:10" x14ac:dyDescent="0.2">
      <c r="A1344" s="3"/>
      <c r="B1344" s="3"/>
      <c r="C1344" s="3"/>
      <c r="D1344" s="3"/>
      <c r="E1344" s="3"/>
      <c r="F1344" s="2"/>
      <c r="G1344" s="2"/>
      <c r="I1344" s="1"/>
      <c r="J1344" s="1"/>
    </row>
    <row r="1345" spans="1:10" x14ac:dyDescent="0.2">
      <c r="A1345" s="3"/>
      <c r="B1345" s="3"/>
      <c r="C1345" s="3"/>
      <c r="D1345" s="3"/>
      <c r="E1345" s="3"/>
      <c r="F1345" s="2"/>
      <c r="G1345" s="2"/>
      <c r="I1345" s="1"/>
      <c r="J1345" s="1"/>
    </row>
    <row r="1346" spans="1:10" x14ac:dyDescent="0.2">
      <c r="A1346" s="3"/>
      <c r="B1346" s="3"/>
      <c r="C1346" s="3"/>
      <c r="D1346" s="3"/>
      <c r="E1346" s="3"/>
      <c r="F1346" s="2"/>
      <c r="G1346" s="2"/>
      <c r="I1346" s="1"/>
      <c r="J1346" s="1"/>
    </row>
    <row r="1347" spans="1:10" x14ac:dyDescent="0.2">
      <c r="A1347" s="3"/>
      <c r="B1347" s="3"/>
      <c r="C1347" s="3"/>
      <c r="D1347" s="3"/>
      <c r="E1347" s="3"/>
      <c r="F1347" s="2"/>
      <c r="G1347" s="2"/>
      <c r="I1347" s="1"/>
      <c r="J1347" s="1"/>
    </row>
    <row r="1348" spans="1:10" x14ac:dyDescent="0.2">
      <c r="A1348" s="3"/>
      <c r="B1348" s="3"/>
      <c r="C1348" s="3"/>
      <c r="D1348" s="3"/>
      <c r="E1348" s="3"/>
      <c r="F1348" s="2"/>
      <c r="G1348" s="2"/>
      <c r="I1348" s="1"/>
      <c r="J1348" s="1"/>
    </row>
    <row r="1349" spans="1:10" x14ac:dyDescent="0.2">
      <c r="A1349" s="3"/>
      <c r="B1349" s="3"/>
      <c r="C1349" s="3"/>
      <c r="D1349" s="3"/>
      <c r="E1349" s="3"/>
      <c r="F1349" s="2"/>
      <c r="G1349" s="2"/>
      <c r="I1349" s="1"/>
      <c r="J1349" s="1"/>
    </row>
    <row r="1350" spans="1:10" x14ac:dyDescent="0.2">
      <c r="A1350" s="3"/>
      <c r="B1350" s="3"/>
      <c r="C1350" s="3"/>
      <c r="D1350" s="3"/>
      <c r="E1350" s="3"/>
      <c r="F1350" s="2"/>
      <c r="G1350" s="2"/>
      <c r="I1350" s="1"/>
      <c r="J1350" s="1"/>
    </row>
    <row r="1351" spans="1:10" x14ac:dyDescent="0.2">
      <c r="A1351" s="3"/>
      <c r="B1351" s="3"/>
      <c r="C1351" s="3"/>
      <c r="D1351" s="3"/>
      <c r="E1351" s="3"/>
      <c r="F1351" s="2"/>
      <c r="G1351" s="2"/>
      <c r="I1351" s="1"/>
      <c r="J1351" s="1"/>
    </row>
    <row r="1352" spans="1:10" x14ac:dyDescent="0.2">
      <c r="A1352" s="3"/>
      <c r="B1352" s="3"/>
      <c r="C1352" s="3"/>
      <c r="D1352" s="3"/>
      <c r="E1352" s="3"/>
      <c r="F1352" s="2"/>
      <c r="G1352" s="2"/>
      <c r="I1352" s="1"/>
      <c r="J1352" s="1"/>
    </row>
    <row r="1353" spans="1:10" x14ac:dyDescent="0.2">
      <c r="A1353" s="3"/>
      <c r="B1353" s="3"/>
      <c r="C1353" s="3"/>
      <c r="D1353" s="3"/>
      <c r="E1353" s="3"/>
      <c r="F1353" s="2"/>
      <c r="G1353" s="2"/>
      <c r="I1353" s="1"/>
      <c r="J1353" s="1"/>
    </row>
    <row r="1354" spans="1:10" x14ac:dyDescent="0.2">
      <c r="A1354" s="3"/>
      <c r="B1354" s="3"/>
      <c r="C1354" s="3"/>
      <c r="D1354" s="3"/>
      <c r="E1354" s="3"/>
      <c r="F1354" s="2"/>
      <c r="G1354" s="2"/>
      <c r="I1354" s="1"/>
      <c r="J1354" s="1"/>
    </row>
    <row r="1355" spans="1:10" x14ac:dyDescent="0.2">
      <c r="A1355" s="3"/>
      <c r="B1355" s="3"/>
      <c r="C1355" s="3"/>
      <c r="D1355" s="3"/>
      <c r="E1355" s="3"/>
      <c r="F1355" s="2"/>
      <c r="G1355" s="2"/>
      <c r="I1355" s="1"/>
      <c r="J1355" s="1"/>
    </row>
    <row r="1356" spans="1:10" x14ac:dyDescent="0.2">
      <c r="A1356" s="3"/>
      <c r="B1356" s="3"/>
      <c r="C1356" s="3"/>
      <c r="D1356" s="3"/>
      <c r="E1356" s="3"/>
      <c r="F1356" s="2"/>
      <c r="G1356" s="2"/>
      <c r="I1356" s="1"/>
      <c r="J1356" s="1"/>
    </row>
    <row r="1357" spans="1:10" x14ac:dyDescent="0.2">
      <c r="A1357" s="3"/>
      <c r="B1357" s="3"/>
      <c r="C1357" s="3"/>
      <c r="D1357" s="3"/>
      <c r="E1357" s="3"/>
      <c r="F1357" s="2"/>
      <c r="G1357" s="2"/>
      <c r="I1357" s="1"/>
      <c r="J1357" s="1"/>
    </row>
    <row r="1358" spans="1:10" x14ac:dyDescent="0.2">
      <c r="A1358" s="3"/>
      <c r="B1358" s="3"/>
      <c r="C1358" s="3"/>
      <c r="D1358" s="3"/>
      <c r="E1358" s="3"/>
      <c r="F1358" s="2"/>
      <c r="G1358" s="2"/>
      <c r="I1358" s="1"/>
      <c r="J1358" s="1"/>
    </row>
    <row r="1359" spans="1:10" x14ac:dyDescent="0.2">
      <c r="A1359" s="3"/>
      <c r="B1359" s="3"/>
      <c r="C1359" s="3"/>
      <c r="D1359" s="3"/>
      <c r="E1359" s="3"/>
      <c r="F1359" s="2"/>
      <c r="G1359" s="2"/>
      <c r="I1359" s="1"/>
      <c r="J1359" s="1"/>
    </row>
    <row r="1360" spans="1:10" x14ac:dyDescent="0.2">
      <c r="A1360" s="3"/>
      <c r="B1360" s="3"/>
      <c r="C1360" s="3"/>
      <c r="D1360" s="3"/>
      <c r="E1360" s="3"/>
      <c r="F1360" s="2"/>
      <c r="G1360" s="2"/>
      <c r="I1360" s="1"/>
      <c r="J1360" s="1"/>
    </row>
    <row r="1361" spans="1:10" x14ac:dyDescent="0.2">
      <c r="A1361" s="3"/>
      <c r="B1361" s="3"/>
      <c r="C1361" s="3"/>
      <c r="D1361" s="3"/>
      <c r="E1361" s="3"/>
      <c r="F1361" s="2"/>
      <c r="G1361" s="2"/>
      <c r="I1361" s="1"/>
      <c r="J1361" s="1"/>
    </row>
    <row r="1362" spans="1:10" x14ac:dyDescent="0.2">
      <c r="A1362" s="3"/>
      <c r="B1362" s="3"/>
      <c r="C1362" s="3"/>
      <c r="D1362" s="3"/>
      <c r="E1362" s="3"/>
      <c r="F1362" s="2"/>
      <c r="G1362" s="2"/>
      <c r="I1362" s="1"/>
      <c r="J1362" s="1"/>
    </row>
    <row r="1363" spans="1:10" x14ac:dyDescent="0.2">
      <c r="A1363" s="3"/>
      <c r="B1363" s="3"/>
      <c r="C1363" s="3"/>
      <c r="D1363" s="3"/>
      <c r="E1363" s="3"/>
      <c r="F1363" s="2"/>
      <c r="G1363" s="2"/>
      <c r="I1363" s="1"/>
      <c r="J1363" s="1"/>
    </row>
    <row r="1364" spans="1:10" x14ac:dyDescent="0.2">
      <c r="A1364" s="3"/>
      <c r="B1364" s="3"/>
      <c r="C1364" s="3"/>
      <c r="D1364" s="3"/>
      <c r="E1364" s="3"/>
      <c r="F1364" s="2"/>
      <c r="G1364" s="2"/>
      <c r="I1364" s="1"/>
      <c r="J1364" s="1"/>
    </row>
    <row r="1365" spans="1:10" x14ac:dyDescent="0.2">
      <c r="A1365" s="3"/>
      <c r="B1365" s="3"/>
      <c r="C1365" s="3"/>
      <c r="D1365" s="3"/>
      <c r="E1365" s="3"/>
      <c r="F1365" s="2"/>
      <c r="G1365" s="2"/>
      <c r="I1365" s="1"/>
      <c r="J1365" s="1"/>
    </row>
    <row r="1366" spans="1:10" x14ac:dyDescent="0.2">
      <c r="A1366" s="3"/>
      <c r="B1366" s="3"/>
      <c r="C1366" s="3"/>
      <c r="D1366" s="3"/>
      <c r="E1366" s="3"/>
      <c r="F1366" s="2"/>
      <c r="G1366" s="2"/>
      <c r="I1366" s="1"/>
      <c r="J1366" s="1"/>
    </row>
    <row r="1367" spans="1:10" x14ac:dyDescent="0.2">
      <c r="A1367" s="3"/>
      <c r="B1367" s="3"/>
      <c r="C1367" s="3"/>
      <c r="D1367" s="3"/>
      <c r="E1367" s="3"/>
      <c r="F1367" s="2"/>
      <c r="G1367" s="2"/>
      <c r="I1367" s="1"/>
      <c r="J1367" s="1"/>
    </row>
    <row r="1368" spans="1:10" x14ac:dyDescent="0.2">
      <c r="A1368" s="3"/>
      <c r="B1368" s="3"/>
      <c r="C1368" s="3"/>
      <c r="D1368" s="3"/>
      <c r="E1368" s="3"/>
      <c r="F1368" s="2"/>
      <c r="G1368" s="2"/>
      <c r="I1368" s="1"/>
      <c r="J1368" s="1"/>
    </row>
    <row r="1369" spans="1:10" x14ac:dyDescent="0.2">
      <c r="A1369" s="3"/>
      <c r="B1369" s="3"/>
      <c r="C1369" s="3"/>
      <c r="D1369" s="3"/>
      <c r="E1369" s="3"/>
      <c r="F1369" s="2"/>
      <c r="G1369" s="2"/>
      <c r="I1369" s="1"/>
      <c r="J1369" s="1"/>
    </row>
    <row r="1370" spans="1:10" x14ac:dyDescent="0.2">
      <c r="A1370" s="3"/>
      <c r="B1370" s="3"/>
      <c r="C1370" s="3"/>
      <c r="D1370" s="3"/>
      <c r="E1370" s="3"/>
      <c r="F1370" s="2"/>
      <c r="G1370" s="2"/>
      <c r="I1370" s="1"/>
      <c r="J1370" s="1"/>
    </row>
    <row r="1371" spans="1:10" x14ac:dyDescent="0.2">
      <c r="A1371" s="3"/>
      <c r="B1371" s="3"/>
      <c r="C1371" s="3"/>
      <c r="D1371" s="3"/>
      <c r="E1371" s="3"/>
      <c r="F1371" s="2"/>
      <c r="G1371" s="2"/>
      <c r="I1371" s="1"/>
      <c r="J1371" s="1"/>
    </row>
    <row r="1372" spans="1:10" x14ac:dyDescent="0.2">
      <c r="A1372" s="3"/>
      <c r="B1372" s="3"/>
      <c r="C1372" s="3"/>
      <c r="D1372" s="3"/>
      <c r="E1372" s="3"/>
      <c r="F1372" s="2"/>
      <c r="G1372" s="2"/>
      <c r="I1372" s="1"/>
      <c r="J1372" s="1"/>
    </row>
    <row r="1373" spans="1:10" x14ac:dyDescent="0.2">
      <c r="A1373" s="3"/>
      <c r="B1373" s="3"/>
      <c r="C1373" s="3"/>
      <c r="D1373" s="3"/>
      <c r="E1373" s="3"/>
      <c r="F1373" s="2"/>
      <c r="G1373" s="2"/>
      <c r="I1373" s="1"/>
      <c r="J1373" s="1"/>
    </row>
    <row r="1374" spans="1:10" x14ac:dyDescent="0.2">
      <c r="A1374" s="3"/>
      <c r="B1374" s="3"/>
      <c r="C1374" s="3"/>
      <c r="D1374" s="3"/>
      <c r="E1374" s="3"/>
      <c r="F1374" s="2"/>
      <c r="G1374" s="2"/>
      <c r="I1374" s="1"/>
      <c r="J1374" s="1"/>
    </row>
    <row r="1375" spans="1:10" x14ac:dyDescent="0.2">
      <c r="A1375" s="3"/>
      <c r="B1375" s="3"/>
      <c r="C1375" s="3"/>
      <c r="D1375" s="3"/>
      <c r="E1375" s="3"/>
      <c r="F1375" s="2"/>
      <c r="G1375" s="2"/>
      <c r="I1375" s="1"/>
      <c r="J1375" s="1"/>
    </row>
    <row r="1376" spans="1:10" x14ac:dyDescent="0.2">
      <c r="A1376" s="3"/>
      <c r="B1376" s="3"/>
      <c r="C1376" s="3"/>
      <c r="D1376" s="3"/>
      <c r="E1376" s="3"/>
      <c r="F1376" s="2"/>
      <c r="G1376" s="2"/>
      <c r="I1376" s="1"/>
      <c r="J1376" s="1"/>
    </row>
    <row r="1377" spans="1:10" x14ac:dyDescent="0.2">
      <c r="A1377" s="3"/>
      <c r="B1377" s="3"/>
      <c r="C1377" s="3"/>
      <c r="D1377" s="3"/>
      <c r="E1377" s="3"/>
      <c r="F1377" s="2"/>
      <c r="G1377" s="2"/>
      <c r="I1377" s="1"/>
      <c r="J1377" s="1"/>
    </row>
    <row r="1378" spans="1:10" x14ac:dyDescent="0.2">
      <c r="A1378" s="3"/>
      <c r="B1378" s="3"/>
      <c r="C1378" s="3"/>
      <c r="D1378" s="3"/>
      <c r="E1378" s="3"/>
      <c r="F1378" s="2"/>
      <c r="G1378" s="2"/>
      <c r="I1378" s="1"/>
      <c r="J1378" s="1"/>
    </row>
    <row r="1379" spans="1:10" x14ac:dyDescent="0.2">
      <c r="A1379" s="3"/>
      <c r="B1379" s="3"/>
      <c r="C1379" s="3"/>
      <c r="D1379" s="3"/>
      <c r="E1379" s="3"/>
      <c r="F1379" s="2"/>
      <c r="G1379" s="2"/>
      <c r="I1379" s="1"/>
      <c r="J1379" s="1"/>
    </row>
    <row r="1380" spans="1:10" x14ac:dyDescent="0.2">
      <c r="A1380" s="3"/>
      <c r="B1380" s="3"/>
      <c r="C1380" s="3"/>
      <c r="D1380" s="3"/>
      <c r="E1380" s="3"/>
      <c r="F1380" s="2"/>
      <c r="G1380" s="2"/>
      <c r="I1380" s="1"/>
      <c r="J1380" s="1"/>
    </row>
    <row r="1381" spans="1:10" x14ac:dyDescent="0.2">
      <c r="A1381" s="3"/>
      <c r="B1381" s="3"/>
      <c r="C1381" s="3"/>
      <c r="D1381" s="3"/>
      <c r="E1381" s="3"/>
      <c r="F1381" s="2"/>
      <c r="G1381" s="2"/>
      <c r="I1381" s="1"/>
      <c r="J1381" s="1"/>
    </row>
    <row r="1382" spans="1:10" x14ac:dyDescent="0.2">
      <c r="A1382" s="3"/>
      <c r="B1382" s="3"/>
      <c r="C1382" s="3"/>
      <c r="D1382" s="3"/>
      <c r="E1382" s="3"/>
      <c r="F1382" s="2"/>
      <c r="G1382" s="2"/>
      <c r="I1382" s="1"/>
      <c r="J1382" s="1"/>
    </row>
    <row r="1383" spans="1:10" x14ac:dyDescent="0.2">
      <c r="A1383" s="3"/>
      <c r="B1383" s="3"/>
      <c r="C1383" s="3"/>
      <c r="D1383" s="3"/>
      <c r="E1383" s="3"/>
      <c r="F1383" s="2"/>
      <c r="G1383" s="2"/>
      <c r="I1383" s="1"/>
      <c r="J1383" s="1"/>
    </row>
    <row r="1384" spans="1:10" x14ac:dyDescent="0.2">
      <c r="A1384" s="3"/>
      <c r="B1384" s="3"/>
      <c r="C1384" s="3"/>
      <c r="D1384" s="3"/>
      <c r="E1384" s="3"/>
      <c r="F1384" s="2"/>
      <c r="G1384" s="2"/>
      <c r="I1384" s="1"/>
      <c r="J1384" s="1"/>
    </row>
    <row r="1385" spans="1:10" x14ac:dyDescent="0.2">
      <c r="A1385" s="3"/>
      <c r="B1385" s="3"/>
      <c r="C1385" s="3"/>
      <c r="D1385" s="3"/>
      <c r="E1385" s="3"/>
      <c r="F1385" s="2"/>
      <c r="G1385" s="2"/>
      <c r="I1385" s="1"/>
      <c r="J1385" s="1"/>
    </row>
    <row r="1386" spans="1:10" x14ac:dyDescent="0.2">
      <c r="A1386" s="3"/>
      <c r="B1386" s="3"/>
      <c r="C1386" s="3"/>
      <c r="D1386" s="3"/>
      <c r="E1386" s="3"/>
      <c r="F1386" s="2"/>
      <c r="G1386" s="2"/>
      <c r="I1386" s="1"/>
      <c r="J1386" s="1"/>
    </row>
    <row r="1387" spans="1:10" x14ac:dyDescent="0.2">
      <c r="A1387" s="3"/>
      <c r="B1387" s="3"/>
      <c r="C1387" s="3"/>
      <c r="D1387" s="3"/>
      <c r="E1387" s="3"/>
      <c r="F1387" s="2"/>
      <c r="G1387" s="2"/>
      <c r="I1387" s="1"/>
      <c r="J1387" s="1"/>
    </row>
    <row r="1388" spans="1:10" x14ac:dyDescent="0.2">
      <c r="A1388" s="3"/>
      <c r="B1388" s="3"/>
      <c r="C1388" s="3"/>
      <c r="D1388" s="3"/>
      <c r="E1388" s="3"/>
      <c r="F1388" s="2"/>
      <c r="G1388" s="2"/>
      <c r="I1388" s="1"/>
      <c r="J1388" s="1"/>
    </row>
    <row r="1389" spans="1:10" x14ac:dyDescent="0.2">
      <c r="A1389" s="3"/>
      <c r="B1389" s="3"/>
      <c r="C1389" s="3"/>
      <c r="D1389" s="3"/>
      <c r="E1389" s="3"/>
      <c r="F1389" s="2"/>
      <c r="G1389" s="2"/>
      <c r="I1389" s="1"/>
      <c r="J1389" s="1"/>
    </row>
    <row r="1390" spans="1:10" x14ac:dyDescent="0.2">
      <c r="A1390" s="3"/>
      <c r="B1390" s="3"/>
      <c r="C1390" s="3"/>
      <c r="D1390" s="3"/>
      <c r="E1390" s="3"/>
      <c r="F1390" s="2"/>
      <c r="G1390" s="2"/>
      <c r="I1390" s="1"/>
      <c r="J1390" s="1"/>
    </row>
    <row r="1391" spans="1:10" x14ac:dyDescent="0.2">
      <c r="A1391" s="3"/>
      <c r="B1391" s="3"/>
      <c r="C1391" s="3"/>
      <c r="D1391" s="3"/>
      <c r="E1391" s="3"/>
      <c r="F1391" s="2"/>
      <c r="G1391" s="2"/>
      <c r="I1391" s="1"/>
      <c r="J1391" s="1"/>
    </row>
    <row r="1392" spans="1:10" x14ac:dyDescent="0.2">
      <c r="A1392" s="3"/>
      <c r="B1392" s="3"/>
      <c r="C1392" s="3"/>
      <c r="D1392" s="3"/>
      <c r="E1392" s="3"/>
      <c r="F1392" s="2"/>
      <c r="G1392" s="2"/>
      <c r="I1392" s="1"/>
      <c r="J1392" s="1"/>
    </row>
    <row r="1393" spans="1:10" x14ac:dyDescent="0.2">
      <c r="A1393" s="3"/>
      <c r="B1393" s="3"/>
      <c r="C1393" s="3"/>
      <c r="D1393" s="3"/>
      <c r="E1393" s="3"/>
      <c r="F1393" s="2"/>
      <c r="G1393" s="2"/>
      <c r="I1393" s="1"/>
      <c r="J1393" s="1"/>
    </row>
    <row r="1394" spans="1:10" x14ac:dyDescent="0.2">
      <c r="A1394" s="3"/>
      <c r="B1394" s="3"/>
      <c r="C1394" s="3"/>
      <c r="D1394" s="3"/>
      <c r="E1394" s="3"/>
      <c r="F1394" s="2"/>
      <c r="G1394" s="2"/>
      <c r="I1394" s="1"/>
      <c r="J1394" s="1"/>
    </row>
    <row r="1395" spans="1:10" x14ac:dyDescent="0.2">
      <c r="A1395" s="3"/>
      <c r="B1395" s="3"/>
      <c r="C1395" s="3"/>
      <c r="D1395" s="3"/>
      <c r="E1395" s="3"/>
      <c r="F1395" s="2"/>
      <c r="G1395" s="2"/>
      <c r="I1395" s="1"/>
      <c r="J1395" s="1"/>
    </row>
    <row r="1396" spans="1:10" x14ac:dyDescent="0.2">
      <c r="A1396" s="3"/>
      <c r="B1396" s="3"/>
      <c r="C1396" s="3"/>
      <c r="D1396" s="3"/>
      <c r="E1396" s="3"/>
      <c r="F1396" s="2"/>
      <c r="G1396" s="2"/>
      <c r="I1396" s="1"/>
      <c r="J1396" s="1"/>
    </row>
    <row r="1397" spans="1:10" x14ac:dyDescent="0.2">
      <c r="A1397" s="3"/>
      <c r="B1397" s="3"/>
      <c r="C1397" s="3"/>
      <c r="D1397" s="3"/>
      <c r="E1397" s="3"/>
      <c r="F1397" s="2"/>
      <c r="G1397" s="2"/>
      <c r="I1397" s="1"/>
      <c r="J1397" s="1"/>
    </row>
    <row r="1398" spans="1:10" x14ac:dyDescent="0.2">
      <c r="A1398" s="3"/>
      <c r="B1398" s="3"/>
      <c r="C1398" s="3"/>
      <c r="D1398" s="3"/>
      <c r="E1398" s="3"/>
      <c r="F1398" s="2"/>
      <c r="G1398" s="2"/>
      <c r="I1398" s="1"/>
      <c r="J1398" s="1"/>
    </row>
    <row r="1399" spans="1:10" x14ac:dyDescent="0.2">
      <c r="A1399" s="3"/>
      <c r="B1399" s="3"/>
      <c r="C1399" s="3"/>
      <c r="D1399" s="3"/>
      <c r="E1399" s="3"/>
      <c r="F1399" s="2"/>
      <c r="G1399" s="2"/>
      <c r="I1399" s="1"/>
      <c r="J1399" s="1"/>
    </row>
    <row r="1400" spans="1:10" x14ac:dyDescent="0.2">
      <c r="A1400" s="3"/>
      <c r="B1400" s="3"/>
      <c r="C1400" s="3"/>
      <c r="D1400" s="3"/>
      <c r="E1400" s="3"/>
      <c r="F1400" s="2"/>
      <c r="G1400" s="2"/>
      <c r="I1400" s="1"/>
      <c r="J1400" s="1"/>
    </row>
    <row r="1401" spans="1:10" x14ac:dyDescent="0.2">
      <c r="A1401" s="3"/>
      <c r="B1401" s="3"/>
      <c r="C1401" s="3"/>
      <c r="D1401" s="3"/>
      <c r="E1401" s="3"/>
      <c r="F1401" s="2"/>
      <c r="G1401" s="2"/>
      <c r="I1401" s="1"/>
      <c r="J1401" s="1"/>
    </row>
    <row r="1402" spans="1:10" x14ac:dyDescent="0.2">
      <c r="A1402" s="3"/>
      <c r="B1402" s="3"/>
      <c r="C1402" s="3"/>
      <c r="D1402" s="3"/>
      <c r="E1402" s="3"/>
      <c r="F1402" s="2"/>
      <c r="G1402" s="2"/>
      <c r="I1402" s="1"/>
      <c r="J1402" s="1"/>
    </row>
    <row r="1403" spans="1:10" x14ac:dyDescent="0.2">
      <c r="A1403" s="3"/>
      <c r="B1403" s="3"/>
      <c r="C1403" s="3"/>
      <c r="D1403" s="3"/>
      <c r="E1403" s="3"/>
      <c r="F1403" s="2"/>
      <c r="G1403" s="2"/>
      <c r="I1403" s="1"/>
      <c r="J1403" s="1"/>
    </row>
    <row r="1404" spans="1:10" x14ac:dyDescent="0.2">
      <c r="A1404" s="3"/>
      <c r="B1404" s="3"/>
      <c r="C1404" s="3"/>
      <c r="D1404" s="3"/>
      <c r="E1404" s="3"/>
      <c r="F1404" s="2"/>
      <c r="G1404" s="2"/>
      <c r="I1404" s="1"/>
      <c r="J1404" s="1"/>
    </row>
    <row r="1405" spans="1:10" x14ac:dyDescent="0.2">
      <c r="A1405" s="3"/>
      <c r="B1405" s="3"/>
      <c r="C1405" s="3"/>
      <c r="D1405" s="3"/>
      <c r="E1405" s="3"/>
      <c r="F1405" s="2"/>
      <c r="G1405" s="2"/>
      <c r="I1405" s="1"/>
      <c r="J1405" s="1"/>
    </row>
    <row r="1406" spans="1:10" x14ac:dyDescent="0.2">
      <c r="A1406" s="3"/>
      <c r="B1406" s="3"/>
      <c r="C1406" s="3"/>
      <c r="D1406" s="3"/>
      <c r="E1406" s="3"/>
      <c r="F1406" s="2"/>
      <c r="G1406" s="2"/>
      <c r="I1406" s="1"/>
      <c r="J1406" s="1"/>
    </row>
    <row r="1407" spans="1:10" x14ac:dyDescent="0.2">
      <c r="A1407" s="3"/>
      <c r="B1407" s="3"/>
      <c r="C1407" s="3"/>
      <c r="D1407" s="3"/>
      <c r="E1407" s="3"/>
      <c r="F1407" s="2"/>
      <c r="G1407" s="2"/>
      <c r="I1407" s="1"/>
      <c r="J1407" s="1"/>
    </row>
    <row r="1408" spans="1:10" x14ac:dyDescent="0.2">
      <c r="A1408" s="3"/>
      <c r="B1408" s="3"/>
      <c r="C1408" s="3"/>
      <c r="D1408" s="3"/>
      <c r="E1408" s="3"/>
      <c r="F1408" s="2"/>
      <c r="G1408" s="2"/>
      <c r="I1408" s="1"/>
      <c r="J1408" s="1"/>
    </row>
    <row r="1409" spans="1:10" x14ac:dyDescent="0.2">
      <c r="A1409" s="3"/>
      <c r="B1409" s="3"/>
      <c r="C1409" s="3"/>
      <c r="D1409" s="3"/>
      <c r="E1409" s="3"/>
      <c r="F1409" s="2"/>
      <c r="G1409" s="2"/>
      <c r="I1409" s="1"/>
      <c r="J1409" s="1"/>
    </row>
    <row r="1410" spans="1:10" x14ac:dyDescent="0.2">
      <c r="A1410" s="3"/>
      <c r="B1410" s="3"/>
      <c r="C1410" s="3"/>
      <c r="D1410" s="3"/>
      <c r="E1410" s="3"/>
      <c r="F1410" s="2"/>
      <c r="G1410" s="2"/>
      <c r="I1410" s="1"/>
      <c r="J1410" s="1"/>
    </row>
    <row r="1411" spans="1:10" x14ac:dyDescent="0.2">
      <c r="A1411" s="3"/>
      <c r="B1411" s="3"/>
      <c r="C1411" s="3"/>
      <c r="D1411" s="3"/>
      <c r="E1411" s="3"/>
      <c r="F1411" s="2"/>
      <c r="G1411" s="2"/>
      <c r="I1411" s="1"/>
      <c r="J1411" s="1"/>
    </row>
    <row r="1412" spans="1:10" x14ac:dyDescent="0.2">
      <c r="A1412" s="3"/>
      <c r="B1412" s="3"/>
      <c r="C1412" s="3"/>
      <c r="D1412" s="3"/>
      <c r="E1412" s="3"/>
      <c r="F1412" s="2"/>
      <c r="G1412" s="2"/>
      <c r="I1412" s="1"/>
      <c r="J1412" s="1"/>
    </row>
    <row r="1413" spans="1:10" x14ac:dyDescent="0.2">
      <c r="A1413" s="3"/>
      <c r="B1413" s="3"/>
      <c r="C1413" s="3"/>
      <c r="D1413" s="3"/>
      <c r="E1413" s="3"/>
      <c r="F1413" s="2"/>
      <c r="G1413" s="2"/>
      <c r="I1413" s="1"/>
      <c r="J1413" s="1"/>
    </row>
    <row r="1414" spans="1:10" x14ac:dyDescent="0.2">
      <c r="A1414" s="3"/>
      <c r="B1414" s="3"/>
      <c r="C1414" s="3"/>
      <c r="D1414" s="3"/>
      <c r="E1414" s="3"/>
      <c r="F1414" s="2"/>
      <c r="G1414" s="2"/>
      <c r="I1414" s="1"/>
      <c r="J1414" s="1"/>
    </row>
    <row r="1415" spans="1:10" x14ac:dyDescent="0.2">
      <c r="A1415" s="3"/>
      <c r="B1415" s="3"/>
      <c r="C1415" s="3"/>
      <c r="D1415" s="3"/>
      <c r="E1415" s="3"/>
      <c r="F1415" s="2"/>
      <c r="G1415" s="2"/>
      <c r="I1415" s="1"/>
      <c r="J1415" s="1"/>
    </row>
    <row r="1416" spans="1:10" x14ac:dyDescent="0.2">
      <c r="A1416" s="3"/>
      <c r="B1416" s="3"/>
      <c r="C1416" s="3"/>
      <c r="D1416" s="3"/>
      <c r="E1416" s="3"/>
      <c r="F1416" s="2"/>
      <c r="G1416" s="2"/>
      <c r="I1416" s="1"/>
      <c r="J1416" s="1"/>
    </row>
    <row r="1417" spans="1:10" x14ac:dyDescent="0.2">
      <c r="A1417" s="3"/>
      <c r="B1417" s="3"/>
      <c r="C1417" s="3"/>
      <c r="D1417" s="3"/>
      <c r="E1417" s="3"/>
      <c r="F1417" s="2"/>
      <c r="G1417" s="2"/>
      <c r="I1417" s="1"/>
      <c r="J1417" s="1"/>
    </row>
    <row r="1418" spans="1:10" x14ac:dyDescent="0.2">
      <c r="A1418" s="3"/>
      <c r="B1418" s="3"/>
      <c r="C1418" s="3"/>
      <c r="D1418" s="3"/>
      <c r="E1418" s="3"/>
      <c r="F1418" s="2"/>
      <c r="G1418" s="2"/>
      <c r="I1418" s="1"/>
      <c r="J1418" s="1"/>
    </row>
    <row r="1419" spans="1:10" x14ac:dyDescent="0.2">
      <c r="A1419" s="3"/>
      <c r="B1419" s="3"/>
      <c r="C1419" s="3"/>
      <c r="D1419" s="3"/>
      <c r="E1419" s="3"/>
      <c r="F1419" s="2"/>
      <c r="G1419" s="2"/>
      <c r="I1419" s="1"/>
      <c r="J1419" s="1"/>
    </row>
    <row r="1420" spans="1:10" x14ac:dyDescent="0.2">
      <c r="A1420" s="3"/>
      <c r="B1420" s="3"/>
      <c r="C1420" s="3"/>
      <c r="D1420" s="3"/>
      <c r="E1420" s="3"/>
      <c r="F1420" s="2"/>
      <c r="G1420" s="2"/>
      <c r="I1420" s="1"/>
      <c r="J1420" s="1"/>
    </row>
    <row r="1421" spans="1:10" x14ac:dyDescent="0.2">
      <c r="A1421" s="3"/>
      <c r="B1421" s="3"/>
      <c r="C1421" s="3"/>
      <c r="D1421" s="3"/>
      <c r="E1421" s="3"/>
      <c r="F1421" s="2"/>
      <c r="G1421" s="2"/>
      <c r="I1421" s="1"/>
      <c r="J1421" s="1"/>
    </row>
    <row r="1422" spans="1:10" x14ac:dyDescent="0.2">
      <c r="A1422" s="3"/>
      <c r="B1422" s="3"/>
      <c r="C1422" s="3"/>
      <c r="D1422" s="3"/>
      <c r="E1422" s="3"/>
      <c r="F1422" s="2"/>
      <c r="G1422" s="2"/>
      <c r="I1422" s="1"/>
      <c r="J1422" s="1"/>
    </row>
    <row r="1423" spans="1:10" x14ac:dyDescent="0.2">
      <c r="A1423" s="3"/>
      <c r="B1423" s="3"/>
      <c r="C1423" s="3"/>
      <c r="D1423" s="3"/>
      <c r="E1423" s="3"/>
      <c r="F1423" s="2"/>
      <c r="G1423" s="2"/>
      <c r="I1423" s="1"/>
      <c r="J1423" s="1"/>
    </row>
    <row r="1424" spans="1:10" x14ac:dyDescent="0.2">
      <c r="A1424" s="3"/>
      <c r="B1424" s="3"/>
      <c r="C1424" s="3"/>
      <c r="D1424" s="3"/>
      <c r="E1424" s="3"/>
      <c r="F1424" s="2"/>
      <c r="G1424" s="2"/>
      <c r="I1424" s="1"/>
      <c r="J1424" s="1"/>
    </row>
    <row r="1425" spans="1:10" x14ac:dyDescent="0.2">
      <c r="A1425" s="3"/>
      <c r="B1425" s="3"/>
      <c r="C1425" s="3"/>
      <c r="D1425" s="3"/>
      <c r="E1425" s="3"/>
      <c r="F1425" s="2"/>
      <c r="G1425" s="2"/>
      <c r="I1425" s="1"/>
      <c r="J1425" s="1"/>
    </row>
    <row r="1426" spans="1:10" x14ac:dyDescent="0.2">
      <c r="A1426" s="3"/>
      <c r="B1426" s="3"/>
      <c r="C1426" s="3"/>
      <c r="D1426" s="3"/>
      <c r="E1426" s="3"/>
      <c r="F1426" s="2"/>
      <c r="G1426" s="2"/>
      <c r="I1426" s="1"/>
      <c r="J1426" s="1"/>
    </row>
    <row r="1427" spans="1:10" x14ac:dyDescent="0.2">
      <c r="A1427" s="3"/>
      <c r="B1427" s="3"/>
      <c r="C1427" s="3"/>
      <c r="D1427" s="3"/>
      <c r="E1427" s="3"/>
      <c r="F1427" s="2"/>
      <c r="G1427" s="2"/>
      <c r="I1427" s="1"/>
      <c r="J1427" s="1"/>
    </row>
    <row r="1428" spans="1:10" x14ac:dyDescent="0.2">
      <c r="A1428" s="3"/>
      <c r="B1428" s="3"/>
      <c r="C1428" s="3"/>
      <c r="D1428" s="3"/>
      <c r="E1428" s="3"/>
      <c r="F1428" s="2"/>
      <c r="G1428" s="2"/>
      <c r="I1428" s="1"/>
      <c r="J1428" s="1"/>
    </row>
    <row r="1429" spans="1:10" x14ac:dyDescent="0.2">
      <c r="A1429" s="3"/>
      <c r="B1429" s="3"/>
      <c r="C1429" s="3"/>
      <c r="D1429" s="3"/>
      <c r="E1429" s="3"/>
      <c r="F1429" s="2"/>
      <c r="G1429" s="2"/>
      <c r="I1429" s="1"/>
      <c r="J1429" s="1"/>
    </row>
    <row r="1430" spans="1:10" x14ac:dyDescent="0.2">
      <c r="A1430" s="3"/>
      <c r="B1430" s="3"/>
      <c r="C1430" s="3"/>
      <c r="D1430" s="3"/>
      <c r="E1430" s="3"/>
      <c r="F1430" s="2"/>
      <c r="G1430" s="2"/>
      <c r="I1430" s="1"/>
      <c r="J1430" s="1"/>
    </row>
    <row r="1431" spans="1:10" x14ac:dyDescent="0.2">
      <c r="A1431" s="3"/>
      <c r="B1431" s="3"/>
      <c r="C1431" s="3"/>
      <c r="D1431" s="3"/>
      <c r="E1431" s="3"/>
      <c r="F1431" s="2"/>
      <c r="G1431" s="2"/>
      <c r="I1431" s="1"/>
      <c r="J1431" s="1"/>
    </row>
    <row r="1432" spans="1:10" x14ac:dyDescent="0.2">
      <c r="A1432" s="3"/>
      <c r="B1432" s="3"/>
      <c r="C1432" s="3"/>
      <c r="D1432" s="3"/>
      <c r="E1432" s="3"/>
      <c r="F1432" s="2"/>
      <c r="G1432" s="2"/>
      <c r="I1432" s="1"/>
      <c r="J1432" s="1"/>
    </row>
    <row r="1433" spans="1:10" x14ac:dyDescent="0.2">
      <c r="A1433" s="3"/>
      <c r="B1433" s="3"/>
      <c r="C1433" s="3"/>
      <c r="D1433" s="3"/>
      <c r="E1433" s="3"/>
      <c r="F1433" s="2"/>
      <c r="G1433" s="2"/>
      <c r="I1433" s="1"/>
      <c r="J1433" s="1"/>
    </row>
    <row r="1434" spans="1:10" x14ac:dyDescent="0.2">
      <c r="A1434" s="3"/>
      <c r="B1434" s="3"/>
      <c r="C1434" s="3"/>
      <c r="D1434" s="3"/>
      <c r="E1434" s="3"/>
      <c r="F1434" s="2"/>
      <c r="G1434" s="2"/>
      <c r="I1434" s="1"/>
      <c r="J1434" s="1"/>
    </row>
    <row r="1435" spans="1:10" x14ac:dyDescent="0.2">
      <c r="A1435" s="3"/>
      <c r="B1435" s="3"/>
      <c r="C1435" s="3"/>
      <c r="D1435" s="3"/>
      <c r="E1435" s="3"/>
      <c r="F1435" s="2"/>
      <c r="G1435" s="2"/>
      <c r="I1435" s="1"/>
      <c r="J1435" s="1"/>
    </row>
    <row r="1436" spans="1:10" x14ac:dyDescent="0.2">
      <c r="A1436" s="3"/>
      <c r="B1436" s="3"/>
      <c r="C1436" s="3"/>
      <c r="D1436" s="3"/>
      <c r="E1436" s="3"/>
      <c r="F1436" s="2"/>
      <c r="G1436" s="2"/>
      <c r="I1436" s="1"/>
      <c r="J1436" s="1"/>
    </row>
    <row r="1437" spans="1:10" x14ac:dyDescent="0.2">
      <c r="A1437" s="3"/>
      <c r="B1437" s="3"/>
      <c r="C1437" s="3"/>
      <c r="D1437" s="3"/>
      <c r="E1437" s="3"/>
      <c r="F1437" s="2"/>
      <c r="G1437" s="2"/>
      <c r="I1437" s="1"/>
      <c r="J1437" s="1"/>
    </row>
    <row r="1438" spans="1:10" x14ac:dyDescent="0.2">
      <c r="A1438" s="3"/>
      <c r="B1438" s="3"/>
      <c r="C1438" s="3"/>
      <c r="D1438" s="3"/>
      <c r="E1438" s="3"/>
      <c r="F1438" s="2"/>
      <c r="G1438" s="2"/>
      <c r="I1438" s="1"/>
      <c r="J1438" s="1"/>
    </row>
    <row r="1439" spans="1:10" x14ac:dyDescent="0.2">
      <c r="A1439" s="3"/>
      <c r="B1439" s="3"/>
      <c r="C1439" s="3"/>
      <c r="D1439" s="3"/>
      <c r="E1439" s="3"/>
      <c r="F1439" s="2"/>
      <c r="G1439" s="2"/>
      <c r="I1439" s="1"/>
      <c r="J1439" s="1"/>
    </row>
    <row r="1440" spans="1:10" x14ac:dyDescent="0.2">
      <c r="A1440" s="3"/>
      <c r="B1440" s="3"/>
      <c r="C1440" s="3"/>
      <c r="D1440" s="3"/>
      <c r="E1440" s="3"/>
      <c r="F1440" s="2"/>
      <c r="G1440" s="2"/>
      <c r="I1440" s="1"/>
      <c r="J1440" s="1"/>
    </row>
    <row r="1441" spans="1:10" x14ac:dyDescent="0.2">
      <c r="A1441" s="3"/>
      <c r="B1441" s="3"/>
      <c r="C1441" s="3"/>
      <c r="D1441" s="3"/>
      <c r="E1441" s="3"/>
      <c r="F1441" s="2"/>
      <c r="G1441" s="2"/>
      <c r="I1441" s="1"/>
      <c r="J1441" s="1"/>
    </row>
    <row r="1442" spans="1:10" x14ac:dyDescent="0.2">
      <c r="A1442" s="3"/>
      <c r="B1442" s="3"/>
      <c r="C1442" s="3"/>
      <c r="D1442" s="3"/>
      <c r="E1442" s="3"/>
      <c r="F1442" s="2"/>
      <c r="G1442" s="2"/>
      <c r="I1442" s="1"/>
      <c r="J1442" s="1"/>
    </row>
    <row r="1443" spans="1:10" x14ac:dyDescent="0.2">
      <c r="A1443" s="3"/>
      <c r="B1443" s="3"/>
      <c r="C1443" s="3"/>
      <c r="D1443" s="3"/>
      <c r="E1443" s="3"/>
      <c r="F1443" s="2"/>
      <c r="G1443" s="2"/>
      <c r="I1443" s="1"/>
      <c r="J1443" s="1"/>
    </row>
    <row r="1444" spans="1:10" x14ac:dyDescent="0.2">
      <c r="A1444" s="3"/>
      <c r="B1444" s="3"/>
      <c r="C1444" s="3"/>
      <c r="D1444" s="3"/>
      <c r="E1444" s="3"/>
      <c r="F1444" s="2"/>
      <c r="G1444" s="2"/>
      <c r="I1444" s="1"/>
      <c r="J1444" s="1"/>
    </row>
    <row r="1445" spans="1:10" x14ac:dyDescent="0.2">
      <c r="A1445" s="3"/>
      <c r="B1445" s="3"/>
      <c r="C1445" s="3"/>
      <c r="D1445" s="3"/>
      <c r="E1445" s="3"/>
      <c r="F1445" s="2"/>
      <c r="G1445" s="2"/>
      <c r="I1445" s="1"/>
      <c r="J1445" s="1"/>
    </row>
    <row r="1446" spans="1:10" x14ac:dyDescent="0.2">
      <c r="A1446" s="3"/>
      <c r="B1446" s="3"/>
      <c r="C1446" s="3"/>
      <c r="D1446" s="3"/>
      <c r="E1446" s="3"/>
      <c r="F1446" s="2"/>
      <c r="G1446" s="2"/>
      <c r="I1446" s="1"/>
      <c r="J1446" s="1"/>
    </row>
    <row r="1447" spans="1:10" x14ac:dyDescent="0.2">
      <c r="A1447" s="3"/>
      <c r="B1447" s="3"/>
      <c r="C1447" s="3"/>
      <c r="D1447" s="3"/>
      <c r="E1447" s="3"/>
      <c r="F1447" s="2"/>
      <c r="G1447" s="2"/>
      <c r="I1447" s="1"/>
      <c r="J1447" s="1"/>
    </row>
    <row r="1448" spans="1:10" x14ac:dyDescent="0.2">
      <c r="A1448" s="3"/>
      <c r="B1448" s="3"/>
      <c r="C1448" s="3"/>
      <c r="D1448" s="3"/>
      <c r="E1448" s="3"/>
      <c r="F1448" s="2"/>
      <c r="G1448" s="2"/>
      <c r="I1448" s="1"/>
      <c r="J1448" s="1"/>
    </row>
    <row r="1449" spans="1:10" x14ac:dyDescent="0.2">
      <c r="A1449" s="3"/>
      <c r="B1449" s="3"/>
      <c r="C1449" s="3"/>
      <c r="D1449" s="3"/>
      <c r="E1449" s="3"/>
      <c r="F1449" s="2"/>
      <c r="G1449" s="2"/>
      <c r="I1449" s="1"/>
      <c r="J1449" s="1"/>
    </row>
    <row r="1450" spans="1:10" x14ac:dyDescent="0.2">
      <c r="A1450" s="3"/>
      <c r="B1450" s="3"/>
      <c r="C1450" s="3"/>
      <c r="D1450" s="3"/>
      <c r="E1450" s="3"/>
      <c r="F1450" s="2"/>
      <c r="G1450" s="2"/>
      <c r="I1450" s="1"/>
      <c r="J1450" s="1"/>
    </row>
    <row r="1451" spans="1:10" x14ac:dyDescent="0.2">
      <c r="A1451" s="3"/>
      <c r="B1451" s="3"/>
      <c r="C1451" s="3"/>
      <c r="D1451" s="3"/>
      <c r="E1451" s="3"/>
      <c r="F1451" s="2"/>
      <c r="G1451" s="2"/>
      <c r="I1451" s="1"/>
      <c r="J1451" s="1"/>
    </row>
    <row r="1452" spans="1:10" x14ac:dyDescent="0.2">
      <c r="A1452" s="3"/>
      <c r="B1452" s="3"/>
      <c r="C1452" s="3"/>
      <c r="D1452" s="3"/>
      <c r="E1452" s="3"/>
      <c r="F1452" s="2"/>
      <c r="G1452" s="2"/>
      <c r="I1452" s="1"/>
      <c r="J1452" s="1"/>
    </row>
    <row r="1453" spans="1:10" x14ac:dyDescent="0.2">
      <c r="A1453" s="3"/>
      <c r="B1453" s="3"/>
      <c r="C1453" s="3"/>
      <c r="D1453" s="3"/>
      <c r="E1453" s="3"/>
      <c r="F1453" s="2"/>
      <c r="G1453" s="2"/>
      <c r="I1453" s="1"/>
      <c r="J1453" s="1"/>
    </row>
    <row r="1454" spans="1:10" x14ac:dyDescent="0.2">
      <c r="A1454" s="3"/>
      <c r="B1454" s="3"/>
      <c r="C1454" s="3"/>
      <c r="D1454" s="3"/>
      <c r="E1454" s="3"/>
      <c r="F1454" s="2"/>
      <c r="G1454" s="2"/>
      <c r="I1454" s="1"/>
      <c r="J1454" s="1"/>
    </row>
    <row r="1455" spans="1:10" x14ac:dyDescent="0.2">
      <c r="A1455" s="3"/>
      <c r="B1455" s="3"/>
      <c r="C1455" s="3"/>
      <c r="D1455" s="3"/>
      <c r="E1455" s="3"/>
      <c r="F1455" s="2"/>
      <c r="G1455" s="2"/>
      <c r="I1455" s="1"/>
      <c r="J1455" s="1"/>
    </row>
    <row r="1456" spans="1:10" x14ac:dyDescent="0.2">
      <c r="A1456" s="3"/>
      <c r="B1456" s="3"/>
      <c r="C1456" s="3"/>
      <c r="D1456" s="3"/>
      <c r="E1456" s="3"/>
      <c r="F1456" s="2"/>
      <c r="G1456" s="2"/>
      <c r="I1456" s="1"/>
      <c r="J1456" s="1"/>
    </row>
    <row r="1457" spans="1:10" x14ac:dyDescent="0.2">
      <c r="A1457" s="3"/>
      <c r="B1457" s="3"/>
      <c r="C1457" s="3"/>
      <c r="D1457" s="3"/>
      <c r="E1457" s="3"/>
      <c r="F1457" s="2"/>
      <c r="G1457" s="2"/>
      <c r="I1457" s="1"/>
      <c r="J1457" s="1"/>
    </row>
    <row r="1458" spans="1:10" x14ac:dyDescent="0.2">
      <c r="A1458" s="3"/>
      <c r="B1458" s="3"/>
      <c r="C1458" s="3"/>
      <c r="D1458" s="3"/>
      <c r="E1458" s="3"/>
      <c r="F1458" s="2"/>
      <c r="G1458" s="2"/>
      <c r="I1458" s="1"/>
      <c r="J1458" s="1"/>
    </row>
    <row r="1459" spans="1:10" x14ac:dyDescent="0.2">
      <c r="A1459" s="3"/>
      <c r="B1459" s="3"/>
      <c r="C1459" s="3"/>
      <c r="D1459" s="3"/>
      <c r="E1459" s="3"/>
      <c r="F1459" s="2"/>
      <c r="G1459" s="2"/>
      <c r="I1459" s="1"/>
      <c r="J1459" s="1"/>
    </row>
    <row r="1460" spans="1:10" x14ac:dyDescent="0.2">
      <c r="A1460" s="3"/>
      <c r="B1460" s="3"/>
      <c r="C1460" s="3"/>
      <c r="D1460" s="3"/>
      <c r="E1460" s="3"/>
      <c r="F1460" s="2"/>
      <c r="G1460" s="2"/>
      <c r="I1460" s="1"/>
      <c r="J1460" s="1"/>
    </row>
    <row r="1461" spans="1:10" x14ac:dyDescent="0.2">
      <c r="A1461" s="3"/>
      <c r="B1461" s="3"/>
      <c r="C1461" s="3"/>
      <c r="D1461" s="3"/>
      <c r="E1461" s="3"/>
      <c r="F1461" s="2"/>
      <c r="G1461" s="2"/>
      <c r="I1461" s="1"/>
      <c r="J1461" s="1"/>
    </row>
    <row r="1462" spans="1:10" x14ac:dyDescent="0.2">
      <c r="A1462" s="3"/>
      <c r="B1462" s="3"/>
      <c r="C1462" s="3"/>
      <c r="D1462" s="3"/>
      <c r="E1462" s="3"/>
      <c r="F1462" s="2"/>
      <c r="G1462" s="2"/>
      <c r="I1462" s="1"/>
      <c r="J1462" s="1"/>
    </row>
    <row r="1463" spans="1:10" x14ac:dyDescent="0.2">
      <c r="A1463" s="3"/>
      <c r="B1463" s="3"/>
      <c r="C1463" s="3"/>
      <c r="D1463" s="3"/>
      <c r="E1463" s="3"/>
      <c r="F1463" s="2"/>
      <c r="G1463" s="2"/>
      <c r="I1463" s="1"/>
      <c r="J1463" s="1"/>
    </row>
    <row r="1464" spans="1:10" x14ac:dyDescent="0.2">
      <c r="A1464" s="3"/>
      <c r="B1464" s="3"/>
      <c r="C1464" s="3"/>
      <c r="D1464" s="3"/>
      <c r="E1464" s="3"/>
      <c r="F1464" s="2"/>
      <c r="G1464" s="2"/>
      <c r="I1464" s="1"/>
      <c r="J1464" s="1"/>
    </row>
    <row r="1465" spans="1:10" x14ac:dyDescent="0.2">
      <c r="A1465" s="3"/>
      <c r="B1465" s="3"/>
      <c r="C1465" s="3"/>
      <c r="D1465" s="3"/>
      <c r="E1465" s="3"/>
      <c r="F1465" s="2"/>
      <c r="G1465" s="2"/>
      <c r="I1465" s="1"/>
      <c r="J1465" s="1"/>
    </row>
    <row r="1466" spans="1:10" x14ac:dyDescent="0.2">
      <c r="A1466" s="3"/>
      <c r="B1466" s="3"/>
      <c r="C1466" s="3"/>
      <c r="D1466" s="3"/>
      <c r="E1466" s="3"/>
      <c r="F1466" s="2"/>
      <c r="G1466" s="2"/>
      <c r="I1466" s="1"/>
      <c r="J1466" s="1"/>
    </row>
    <row r="1467" spans="1:10" x14ac:dyDescent="0.2">
      <c r="A1467" s="3"/>
      <c r="B1467" s="3"/>
      <c r="C1467" s="3"/>
      <c r="D1467" s="3"/>
      <c r="E1467" s="3"/>
      <c r="F1467" s="2"/>
      <c r="G1467" s="2"/>
      <c r="I1467" s="1"/>
      <c r="J1467" s="1"/>
    </row>
    <row r="1468" spans="1:10" x14ac:dyDescent="0.2">
      <c r="A1468" s="3"/>
      <c r="B1468" s="3"/>
      <c r="C1468" s="3"/>
      <c r="D1468" s="3"/>
      <c r="E1468" s="3"/>
      <c r="F1468" s="2"/>
      <c r="G1468" s="2"/>
      <c r="I1468" s="1"/>
      <c r="J1468" s="1"/>
    </row>
    <row r="1469" spans="1:10" x14ac:dyDescent="0.2">
      <c r="A1469" s="3"/>
      <c r="B1469" s="3"/>
      <c r="C1469" s="3"/>
      <c r="D1469" s="3"/>
      <c r="E1469" s="3"/>
      <c r="F1469" s="2"/>
      <c r="G1469" s="2"/>
      <c r="I1469" s="1"/>
      <c r="J1469" s="1"/>
    </row>
    <row r="1470" spans="1:10" x14ac:dyDescent="0.2">
      <c r="A1470" s="3"/>
      <c r="B1470" s="3"/>
      <c r="C1470" s="3"/>
      <c r="D1470" s="3"/>
      <c r="E1470" s="3"/>
      <c r="F1470" s="2"/>
      <c r="G1470" s="2"/>
      <c r="I1470" s="1"/>
      <c r="J1470" s="1"/>
    </row>
    <row r="1471" spans="1:10" x14ac:dyDescent="0.2">
      <c r="A1471" s="3"/>
      <c r="B1471" s="3"/>
      <c r="C1471" s="3"/>
      <c r="D1471" s="3"/>
      <c r="E1471" s="3"/>
      <c r="F1471" s="2"/>
      <c r="G1471" s="2"/>
      <c r="I1471" s="1"/>
      <c r="J1471" s="1"/>
    </row>
    <row r="1472" spans="1:10" x14ac:dyDescent="0.2">
      <c r="A1472" s="3"/>
      <c r="B1472" s="3"/>
      <c r="C1472" s="3"/>
      <c r="D1472" s="3"/>
      <c r="E1472" s="3"/>
      <c r="F1472" s="2"/>
      <c r="G1472" s="2"/>
      <c r="I1472" s="1"/>
      <c r="J1472" s="1"/>
    </row>
    <row r="1473" spans="1:10" x14ac:dyDescent="0.2">
      <c r="A1473" s="3"/>
      <c r="B1473" s="3"/>
      <c r="C1473" s="3"/>
      <c r="D1473" s="3"/>
      <c r="E1473" s="3"/>
      <c r="F1473" s="2"/>
      <c r="G1473" s="2"/>
      <c r="I1473" s="1"/>
      <c r="J1473" s="1"/>
    </row>
    <row r="1474" spans="1:10" x14ac:dyDescent="0.2">
      <c r="A1474" s="3"/>
      <c r="B1474" s="3"/>
      <c r="C1474" s="3"/>
      <c r="D1474" s="3"/>
      <c r="E1474" s="3"/>
      <c r="F1474" s="2"/>
      <c r="G1474" s="2"/>
      <c r="I1474" s="1"/>
      <c r="J1474" s="1"/>
    </row>
    <row r="1475" spans="1:10" x14ac:dyDescent="0.2">
      <c r="A1475" s="3"/>
      <c r="B1475" s="3"/>
      <c r="C1475" s="3"/>
      <c r="D1475" s="3"/>
      <c r="E1475" s="3"/>
      <c r="F1475" s="2"/>
      <c r="G1475" s="2"/>
      <c r="I1475" s="1"/>
      <c r="J1475" s="1"/>
    </row>
    <row r="1476" spans="1:10" x14ac:dyDescent="0.2">
      <c r="A1476" s="3"/>
      <c r="B1476" s="3"/>
      <c r="C1476" s="3"/>
      <c r="D1476" s="3"/>
      <c r="E1476" s="3"/>
      <c r="F1476" s="2"/>
      <c r="G1476" s="2"/>
      <c r="I1476" s="1"/>
      <c r="J1476" s="1"/>
    </row>
    <row r="1477" spans="1:10" x14ac:dyDescent="0.2">
      <c r="A1477" s="3"/>
      <c r="B1477" s="3"/>
      <c r="C1477" s="3"/>
      <c r="D1477" s="3"/>
      <c r="E1477" s="3"/>
      <c r="F1477" s="2"/>
      <c r="G1477" s="2"/>
      <c r="I1477" s="1"/>
      <c r="J1477" s="1"/>
    </row>
    <row r="1478" spans="1:10" x14ac:dyDescent="0.2">
      <c r="A1478" s="3"/>
      <c r="B1478" s="3"/>
      <c r="C1478" s="3"/>
      <c r="D1478" s="3"/>
      <c r="E1478" s="3"/>
      <c r="F1478" s="2"/>
      <c r="G1478" s="2"/>
      <c r="I1478" s="1"/>
      <c r="J1478" s="1"/>
    </row>
    <row r="1479" spans="1:10" x14ac:dyDescent="0.2">
      <c r="A1479" s="3"/>
      <c r="B1479" s="3"/>
      <c r="C1479" s="3"/>
      <c r="D1479" s="3"/>
      <c r="E1479" s="3"/>
      <c r="F1479" s="2"/>
      <c r="G1479" s="2"/>
      <c r="I1479" s="1"/>
      <c r="J1479" s="1"/>
    </row>
    <row r="1480" spans="1:10" x14ac:dyDescent="0.2">
      <c r="A1480" s="3"/>
      <c r="B1480" s="3"/>
      <c r="C1480" s="3"/>
      <c r="D1480" s="3"/>
      <c r="E1480" s="3"/>
      <c r="F1480" s="2"/>
      <c r="G1480" s="2"/>
      <c r="I1480" s="1"/>
      <c r="J1480" s="1"/>
    </row>
    <row r="1481" spans="1:10" x14ac:dyDescent="0.2">
      <c r="A1481" s="3"/>
      <c r="B1481" s="3"/>
      <c r="C1481" s="3"/>
      <c r="D1481" s="3"/>
      <c r="E1481" s="3"/>
      <c r="F1481" s="2"/>
      <c r="G1481" s="2"/>
      <c r="I1481" s="1"/>
      <c r="J1481" s="1"/>
    </row>
    <row r="1482" spans="1:10" x14ac:dyDescent="0.2">
      <c r="A1482" s="3"/>
      <c r="B1482" s="3"/>
      <c r="C1482" s="3"/>
      <c r="D1482" s="3"/>
      <c r="E1482" s="3"/>
      <c r="F1482" s="2"/>
      <c r="G1482" s="2"/>
      <c r="I1482" s="1"/>
      <c r="J1482" s="1"/>
    </row>
    <row r="1483" spans="1:10" x14ac:dyDescent="0.2">
      <c r="A1483" s="3"/>
      <c r="B1483" s="3"/>
      <c r="C1483" s="3"/>
      <c r="D1483" s="3"/>
      <c r="E1483" s="3"/>
      <c r="F1483" s="2"/>
      <c r="G1483" s="2"/>
      <c r="I1483" s="1"/>
      <c r="J1483" s="1"/>
    </row>
    <row r="1484" spans="1:10" x14ac:dyDescent="0.2">
      <c r="A1484" s="3"/>
      <c r="B1484" s="3"/>
      <c r="C1484" s="3"/>
      <c r="D1484" s="3"/>
      <c r="E1484" s="3"/>
      <c r="F1484" s="2"/>
      <c r="G1484" s="2"/>
      <c r="I1484" s="1"/>
      <c r="J1484" s="1"/>
    </row>
    <row r="1485" spans="1:10" x14ac:dyDescent="0.2">
      <c r="A1485" s="3"/>
      <c r="B1485" s="3"/>
      <c r="C1485" s="3"/>
      <c r="D1485" s="3"/>
      <c r="E1485" s="3"/>
      <c r="F1485" s="2"/>
      <c r="G1485" s="2"/>
      <c r="I1485" s="1"/>
      <c r="J1485" s="1"/>
    </row>
    <row r="1486" spans="1:10" x14ac:dyDescent="0.2">
      <c r="A1486" s="3"/>
      <c r="B1486" s="3"/>
      <c r="C1486" s="3"/>
      <c r="D1486" s="3"/>
      <c r="E1486" s="3"/>
      <c r="F1486" s="2"/>
      <c r="G1486" s="2"/>
      <c r="I1486" s="1"/>
      <c r="J1486" s="1"/>
    </row>
    <row r="1487" spans="1:10" x14ac:dyDescent="0.2">
      <c r="A1487" s="3"/>
      <c r="B1487" s="3"/>
      <c r="C1487" s="3"/>
      <c r="D1487" s="3"/>
      <c r="E1487" s="3"/>
      <c r="F1487" s="2"/>
      <c r="G1487" s="2"/>
      <c r="I1487" s="1"/>
      <c r="J1487" s="1"/>
    </row>
    <row r="1488" spans="1:10" x14ac:dyDescent="0.2">
      <c r="A1488" s="3"/>
      <c r="B1488" s="3"/>
      <c r="C1488" s="3"/>
      <c r="D1488" s="3"/>
      <c r="E1488" s="3"/>
      <c r="F1488" s="2"/>
      <c r="G1488" s="2"/>
      <c r="I1488" s="1"/>
      <c r="J1488" s="1"/>
    </row>
    <row r="1489" spans="1:10" x14ac:dyDescent="0.2">
      <c r="A1489" s="3"/>
      <c r="B1489" s="3"/>
      <c r="C1489" s="3"/>
      <c r="D1489" s="3"/>
      <c r="E1489" s="3"/>
      <c r="F1489" s="2"/>
      <c r="G1489" s="2"/>
      <c r="I1489" s="1"/>
      <c r="J1489" s="1"/>
    </row>
    <row r="1490" spans="1:10" x14ac:dyDescent="0.2">
      <c r="A1490" s="3"/>
      <c r="B1490" s="3"/>
      <c r="C1490" s="3"/>
      <c r="D1490" s="3"/>
      <c r="E1490" s="3"/>
      <c r="F1490" s="2"/>
      <c r="G1490" s="2"/>
      <c r="I1490" s="1"/>
      <c r="J1490" s="1"/>
    </row>
    <row r="1491" spans="1:10" x14ac:dyDescent="0.2">
      <c r="A1491" s="3"/>
      <c r="B1491" s="3"/>
      <c r="C1491" s="3"/>
      <c r="D1491" s="3"/>
      <c r="E1491" s="3"/>
      <c r="F1491" s="2"/>
      <c r="G1491" s="2"/>
      <c r="I1491" s="1"/>
      <c r="J1491" s="1"/>
    </row>
    <row r="1492" spans="1:10" x14ac:dyDescent="0.2">
      <c r="A1492" s="3"/>
      <c r="B1492" s="3"/>
      <c r="C1492" s="3"/>
      <c r="D1492" s="3"/>
      <c r="E1492" s="3"/>
      <c r="F1492" s="2"/>
      <c r="G1492" s="2"/>
      <c r="I1492" s="1"/>
      <c r="J1492" s="1"/>
    </row>
    <row r="1493" spans="1:10" x14ac:dyDescent="0.2">
      <c r="A1493" s="3"/>
      <c r="B1493" s="3"/>
      <c r="C1493" s="3"/>
      <c r="D1493" s="3"/>
      <c r="E1493" s="3"/>
      <c r="F1493" s="2"/>
      <c r="G1493" s="2"/>
      <c r="I1493" s="1"/>
      <c r="J1493" s="1"/>
    </row>
    <row r="1494" spans="1:10" x14ac:dyDescent="0.2">
      <c r="A1494" s="3"/>
      <c r="B1494" s="3"/>
      <c r="C1494" s="3"/>
      <c r="D1494" s="3"/>
      <c r="E1494" s="3"/>
      <c r="F1494" s="2"/>
      <c r="G1494" s="2"/>
      <c r="I1494" s="1"/>
      <c r="J1494" s="1"/>
    </row>
    <row r="1495" spans="1:10" x14ac:dyDescent="0.2">
      <c r="A1495" s="3"/>
      <c r="B1495" s="3"/>
      <c r="C1495" s="3"/>
      <c r="D1495" s="3"/>
      <c r="E1495" s="3"/>
      <c r="F1495" s="2"/>
      <c r="G1495" s="2"/>
      <c r="I1495" s="1"/>
      <c r="J1495" s="1"/>
    </row>
    <row r="1496" spans="1:10" x14ac:dyDescent="0.2">
      <c r="A1496" s="3"/>
      <c r="B1496" s="3"/>
      <c r="C1496" s="3"/>
      <c r="D1496" s="3"/>
      <c r="E1496" s="3"/>
      <c r="F1496" s="2"/>
      <c r="G1496" s="2"/>
      <c r="I1496" s="1"/>
      <c r="J1496" s="1"/>
    </row>
    <row r="1497" spans="1:10" x14ac:dyDescent="0.2">
      <c r="A1497" s="3"/>
      <c r="B1497" s="3"/>
      <c r="C1497" s="3"/>
      <c r="D1497" s="3"/>
      <c r="E1497" s="3"/>
      <c r="F1497" s="2"/>
      <c r="G1497" s="2"/>
      <c r="I1497" s="1"/>
      <c r="J1497" s="1"/>
    </row>
    <row r="1498" spans="1:10" x14ac:dyDescent="0.2">
      <c r="A1498" s="3"/>
      <c r="B1498" s="3"/>
      <c r="C1498" s="3"/>
      <c r="D1498" s="3"/>
      <c r="E1498" s="3"/>
      <c r="F1498" s="2"/>
      <c r="G1498" s="2"/>
      <c r="I1498" s="1"/>
      <c r="J1498" s="1"/>
    </row>
    <row r="1499" spans="1:10" x14ac:dyDescent="0.2">
      <c r="A1499" s="3"/>
      <c r="B1499" s="3"/>
      <c r="C1499" s="3"/>
      <c r="D1499" s="3"/>
      <c r="E1499" s="3"/>
      <c r="F1499" s="2"/>
      <c r="G1499" s="2"/>
      <c r="I1499" s="1"/>
      <c r="J1499" s="1"/>
    </row>
    <row r="1500" spans="1:10" x14ac:dyDescent="0.2">
      <c r="A1500" s="3"/>
      <c r="B1500" s="3"/>
      <c r="C1500" s="3"/>
      <c r="D1500" s="3"/>
      <c r="E1500" s="3"/>
      <c r="F1500" s="2"/>
      <c r="G1500" s="2"/>
      <c r="I1500" s="1"/>
      <c r="J1500" s="1"/>
    </row>
    <row r="1501" spans="1:10" x14ac:dyDescent="0.2">
      <c r="A1501" s="3"/>
      <c r="B1501" s="3"/>
      <c r="C1501" s="3"/>
      <c r="D1501" s="3"/>
      <c r="E1501" s="3"/>
      <c r="F1501" s="2"/>
      <c r="G1501" s="2"/>
      <c r="I1501" s="1"/>
      <c r="J1501" s="1"/>
    </row>
    <row r="1502" spans="1:10" x14ac:dyDescent="0.2">
      <c r="A1502" s="3"/>
      <c r="B1502" s="3"/>
      <c r="C1502" s="3"/>
      <c r="D1502" s="3"/>
      <c r="E1502" s="3"/>
      <c r="F1502" s="2"/>
      <c r="G1502" s="2"/>
      <c r="I1502" s="1"/>
      <c r="J1502" s="1"/>
    </row>
    <row r="1503" spans="1:10" x14ac:dyDescent="0.2">
      <c r="A1503" s="3"/>
      <c r="B1503" s="3"/>
      <c r="C1503" s="3"/>
      <c r="D1503" s="3"/>
      <c r="E1503" s="3"/>
      <c r="F1503" s="2"/>
      <c r="G1503" s="2"/>
      <c r="I1503" s="1"/>
      <c r="J1503" s="1"/>
    </row>
    <row r="1504" spans="1:10" x14ac:dyDescent="0.2">
      <c r="A1504" s="3"/>
      <c r="B1504" s="3"/>
      <c r="C1504" s="3"/>
      <c r="D1504" s="3"/>
      <c r="E1504" s="3"/>
      <c r="F1504" s="2"/>
      <c r="G1504" s="2"/>
      <c r="I1504" s="1"/>
      <c r="J1504" s="1"/>
    </row>
    <row r="1505" spans="1:10" x14ac:dyDescent="0.2">
      <c r="A1505" s="3"/>
      <c r="B1505" s="3"/>
      <c r="C1505" s="3"/>
      <c r="D1505" s="3"/>
      <c r="E1505" s="3"/>
      <c r="F1505" s="2"/>
      <c r="G1505" s="2"/>
      <c r="I1505" s="1"/>
      <c r="J1505" s="1"/>
    </row>
    <row r="1506" spans="1:10" x14ac:dyDescent="0.2">
      <c r="A1506" s="3"/>
      <c r="B1506" s="3"/>
      <c r="C1506" s="3"/>
      <c r="D1506" s="3"/>
      <c r="E1506" s="3"/>
      <c r="F1506" s="2"/>
      <c r="G1506" s="2"/>
      <c r="I1506" s="1"/>
      <c r="J1506" s="1"/>
    </row>
    <row r="1507" spans="1:10" x14ac:dyDescent="0.2">
      <c r="A1507" s="3"/>
      <c r="B1507" s="3"/>
      <c r="C1507" s="3"/>
      <c r="D1507" s="3"/>
      <c r="E1507" s="3"/>
      <c r="F1507" s="2"/>
      <c r="G1507" s="2"/>
      <c r="I1507" s="1"/>
      <c r="J1507" s="1"/>
    </row>
    <row r="1508" spans="1:10" x14ac:dyDescent="0.2">
      <c r="A1508" s="3"/>
      <c r="B1508" s="3"/>
      <c r="C1508" s="3"/>
      <c r="D1508" s="3"/>
      <c r="E1508" s="3"/>
      <c r="F1508" s="2"/>
      <c r="G1508" s="2"/>
      <c r="I1508" s="1"/>
      <c r="J1508" s="1"/>
    </row>
    <row r="1509" spans="1:10" x14ac:dyDescent="0.2">
      <c r="A1509" s="3"/>
      <c r="B1509" s="3"/>
      <c r="C1509" s="3"/>
      <c r="D1509" s="3"/>
      <c r="E1509" s="3"/>
      <c r="F1509" s="2"/>
      <c r="G1509" s="2"/>
      <c r="I1509" s="1"/>
      <c r="J1509" s="1"/>
    </row>
    <row r="1510" spans="1:10" x14ac:dyDescent="0.2">
      <c r="A1510" s="3"/>
      <c r="B1510" s="3"/>
      <c r="C1510" s="3"/>
      <c r="D1510" s="3"/>
      <c r="E1510" s="3"/>
      <c r="F1510" s="2"/>
      <c r="G1510" s="2"/>
      <c r="I1510" s="1"/>
      <c r="J1510" s="1"/>
    </row>
    <row r="1511" spans="1:10" x14ac:dyDescent="0.2">
      <c r="A1511" s="3"/>
      <c r="B1511" s="3"/>
      <c r="C1511" s="3"/>
      <c r="D1511" s="3"/>
      <c r="E1511" s="3"/>
      <c r="F1511" s="2"/>
      <c r="G1511" s="2"/>
      <c r="I1511" s="1"/>
      <c r="J1511" s="1"/>
    </row>
    <row r="1512" spans="1:10" x14ac:dyDescent="0.2">
      <c r="A1512" s="3"/>
      <c r="B1512" s="3"/>
      <c r="C1512" s="3"/>
      <c r="D1512" s="3"/>
      <c r="E1512" s="3"/>
      <c r="F1512" s="2"/>
      <c r="G1512" s="2"/>
      <c r="I1512" s="1"/>
      <c r="J1512" s="1"/>
    </row>
    <row r="1513" spans="1:10" x14ac:dyDescent="0.2">
      <c r="A1513" s="3"/>
      <c r="B1513" s="3"/>
      <c r="C1513" s="3"/>
      <c r="D1513" s="3"/>
      <c r="E1513" s="3"/>
      <c r="F1513" s="2"/>
      <c r="G1513" s="2"/>
      <c r="I1513" s="1"/>
      <c r="J1513" s="1"/>
    </row>
    <row r="1514" spans="1:10" x14ac:dyDescent="0.2">
      <c r="A1514" s="3"/>
      <c r="B1514" s="3"/>
      <c r="C1514" s="3"/>
      <c r="D1514" s="3"/>
      <c r="E1514" s="3"/>
      <c r="F1514" s="2"/>
      <c r="G1514" s="2"/>
      <c r="I1514" s="1"/>
      <c r="J1514" s="1"/>
    </row>
    <row r="1515" spans="1:10" x14ac:dyDescent="0.2">
      <c r="A1515" s="3"/>
      <c r="B1515" s="3"/>
      <c r="C1515" s="3"/>
      <c r="D1515" s="3"/>
      <c r="E1515" s="3"/>
      <c r="F1515" s="2"/>
      <c r="G1515" s="2"/>
      <c r="I1515" s="1"/>
      <c r="J1515" s="1"/>
    </row>
    <row r="1516" spans="1:10" x14ac:dyDescent="0.2">
      <c r="A1516" s="3"/>
      <c r="B1516" s="3"/>
      <c r="C1516" s="3"/>
      <c r="D1516" s="3"/>
      <c r="E1516" s="3"/>
      <c r="F1516" s="2"/>
      <c r="G1516" s="2"/>
      <c r="I1516" s="1"/>
      <c r="J1516" s="1"/>
    </row>
    <row r="1517" spans="1:10" x14ac:dyDescent="0.2">
      <c r="A1517" s="3"/>
      <c r="B1517" s="3"/>
      <c r="C1517" s="3"/>
      <c r="D1517" s="3"/>
      <c r="E1517" s="3"/>
      <c r="F1517" s="2"/>
      <c r="G1517" s="2"/>
      <c r="I1517" s="1"/>
      <c r="J1517" s="1"/>
    </row>
    <row r="1518" spans="1:10" x14ac:dyDescent="0.2">
      <c r="A1518" s="3"/>
      <c r="B1518" s="3"/>
      <c r="C1518" s="3"/>
      <c r="D1518" s="3"/>
      <c r="E1518" s="3"/>
      <c r="F1518" s="2"/>
      <c r="G1518" s="2"/>
      <c r="I1518" s="1"/>
      <c r="J1518" s="1"/>
    </row>
    <row r="1519" spans="1:10" x14ac:dyDescent="0.2">
      <c r="A1519" s="3"/>
      <c r="B1519" s="3"/>
      <c r="C1519" s="3"/>
      <c r="D1519" s="3"/>
      <c r="E1519" s="3"/>
      <c r="F1519" s="2"/>
      <c r="G1519" s="2"/>
      <c r="I1519" s="1"/>
      <c r="J1519" s="1"/>
    </row>
    <row r="1520" spans="1:10" x14ac:dyDescent="0.2">
      <c r="A1520" s="3"/>
      <c r="B1520" s="3"/>
      <c r="C1520" s="3"/>
      <c r="D1520" s="3"/>
      <c r="E1520" s="3"/>
      <c r="F1520" s="2"/>
      <c r="G1520" s="2"/>
      <c r="I1520" s="1"/>
      <c r="J1520" s="1"/>
    </row>
    <row r="1521" spans="1:10" x14ac:dyDescent="0.2">
      <c r="A1521" s="3"/>
      <c r="B1521" s="3"/>
      <c r="C1521" s="3"/>
      <c r="D1521" s="3"/>
      <c r="E1521" s="3"/>
      <c r="F1521" s="2"/>
      <c r="G1521" s="2"/>
      <c r="I1521" s="1"/>
      <c r="J1521" s="1"/>
    </row>
    <row r="1522" spans="1:10" x14ac:dyDescent="0.2">
      <c r="A1522" s="3"/>
      <c r="B1522" s="3"/>
      <c r="C1522" s="3"/>
      <c r="D1522" s="3"/>
      <c r="E1522" s="3"/>
      <c r="F1522" s="2"/>
      <c r="G1522" s="2"/>
      <c r="I1522" s="1"/>
      <c r="J1522" s="1"/>
    </row>
    <row r="1523" spans="1:10" x14ac:dyDescent="0.2">
      <c r="A1523" s="3"/>
      <c r="B1523" s="3"/>
      <c r="C1523" s="3"/>
      <c r="D1523" s="3"/>
      <c r="E1523" s="3"/>
      <c r="F1523" s="2"/>
      <c r="G1523" s="2"/>
      <c r="I1523" s="1"/>
      <c r="J1523" s="1"/>
    </row>
    <row r="1524" spans="1:10" x14ac:dyDescent="0.2">
      <c r="A1524" s="3"/>
      <c r="B1524" s="3"/>
      <c r="C1524" s="3"/>
      <c r="D1524" s="3"/>
      <c r="E1524" s="3"/>
      <c r="F1524" s="2"/>
      <c r="G1524" s="2"/>
      <c r="I1524" s="1"/>
      <c r="J1524" s="1"/>
    </row>
    <row r="1525" spans="1:10" x14ac:dyDescent="0.2">
      <c r="A1525" s="3"/>
      <c r="B1525" s="3"/>
      <c r="C1525" s="3"/>
      <c r="D1525" s="3"/>
      <c r="E1525" s="3"/>
      <c r="F1525" s="2"/>
      <c r="G1525" s="2"/>
      <c r="I1525" s="1"/>
      <c r="J1525" s="1"/>
    </row>
    <row r="1526" spans="1:10" x14ac:dyDescent="0.2">
      <c r="A1526" s="3"/>
      <c r="B1526" s="3"/>
      <c r="C1526" s="3"/>
      <c r="D1526" s="3"/>
      <c r="E1526" s="3"/>
      <c r="F1526" s="2"/>
      <c r="G1526" s="2"/>
      <c r="I1526" s="1"/>
      <c r="J1526" s="1"/>
    </row>
    <row r="1527" spans="1:10" x14ac:dyDescent="0.2">
      <c r="A1527" s="3"/>
      <c r="B1527" s="3"/>
      <c r="C1527" s="3"/>
      <c r="D1527" s="3"/>
      <c r="E1527" s="3"/>
      <c r="F1527" s="2"/>
      <c r="G1527" s="2"/>
      <c r="I1527" s="1"/>
      <c r="J1527" s="1"/>
    </row>
    <row r="1528" spans="1:10" x14ac:dyDescent="0.2">
      <c r="A1528" s="3"/>
      <c r="B1528" s="3"/>
      <c r="C1528" s="3"/>
      <c r="D1528" s="3"/>
      <c r="E1528" s="3"/>
      <c r="F1528" s="2"/>
      <c r="G1528" s="2"/>
      <c r="I1528" s="1"/>
      <c r="J1528" s="1"/>
    </row>
    <row r="1529" spans="1:10" x14ac:dyDescent="0.2">
      <c r="A1529" s="3"/>
      <c r="B1529" s="3"/>
      <c r="C1529" s="3"/>
      <c r="D1529" s="3"/>
      <c r="E1529" s="3"/>
      <c r="F1529" s="2"/>
      <c r="G1529" s="2"/>
      <c r="I1529" s="1"/>
      <c r="J1529" s="1"/>
    </row>
    <row r="1530" spans="1:10" x14ac:dyDescent="0.2">
      <c r="A1530" s="3"/>
      <c r="B1530" s="3"/>
      <c r="C1530" s="3"/>
      <c r="D1530" s="3"/>
      <c r="E1530" s="3"/>
      <c r="F1530" s="2"/>
      <c r="G1530" s="2"/>
      <c r="I1530" s="1"/>
      <c r="J1530" s="1"/>
    </row>
    <row r="1531" spans="1:10" x14ac:dyDescent="0.2">
      <c r="A1531" s="3"/>
      <c r="B1531" s="3"/>
      <c r="C1531" s="3"/>
      <c r="D1531" s="3"/>
      <c r="E1531" s="3"/>
      <c r="F1531" s="2"/>
      <c r="G1531" s="2"/>
      <c r="I1531" s="1"/>
      <c r="J1531" s="1"/>
    </row>
    <row r="1532" spans="1:10" x14ac:dyDescent="0.2">
      <c r="A1532" s="3"/>
      <c r="B1532" s="3"/>
      <c r="C1532" s="3"/>
      <c r="D1532" s="3"/>
      <c r="E1532" s="3"/>
      <c r="F1532" s="2"/>
      <c r="G1532" s="2"/>
      <c r="I1532" s="1"/>
      <c r="J1532" s="1"/>
    </row>
    <row r="1533" spans="1:10" x14ac:dyDescent="0.2">
      <c r="A1533" s="3"/>
      <c r="B1533" s="3"/>
      <c r="C1533" s="3"/>
      <c r="D1533" s="3"/>
      <c r="E1533" s="3"/>
      <c r="F1533" s="2"/>
      <c r="G1533" s="2"/>
      <c r="I1533" s="1"/>
      <c r="J1533" s="1"/>
    </row>
    <row r="1534" spans="1:10" x14ac:dyDescent="0.2">
      <c r="A1534" s="3"/>
      <c r="B1534" s="3"/>
      <c r="C1534" s="3"/>
      <c r="D1534" s="3"/>
      <c r="E1534" s="3"/>
      <c r="F1534" s="2"/>
      <c r="G1534" s="2"/>
      <c r="I1534" s="1"/>
      <c r="J1534" s="1"/>
    </row>
    <row r="1535" spans="1:10" x14ac:dyDescent="0.2">
      <c r="A1535" s="3"/>
      <c r="B1535" s="3"/>
      <c r="C1535" s="3"/>
      <c r="D1535" s="3"/>
      <c r="E1535" s="3"/>
      <c r="F1535" s="2"/>
      <c r="G1535" s="2"/>
      <c r="I1535" s="1"/>
      <c r="J1535" s="1"/>
    </row>
    <row r="1536" spans="1:10" x14ac:dyDescent="0.2">
      <c r="A1536" s="3"/>
      <c r="B1536" s="3"/>
      <c r="C1536" s="3"/>
      <c r="D1536" s="3"/>
      <c r="E1536" s="3"/>
      <c r="F1536" s="2"/>
      <c r="G1536" s="2"/>
      <c r="I1536" s="1"/>
      <c r="J1536" s="1"/>
    </row>
    <row r="1537" spans="1:10" x14ac:dyDescent="0.2">
      <c r="A1537" s="3"/>
      <c r="B1537" s="3"/>
      <c r="C1537" s="3"/>
      <c r="D1537" s="3"/>
      <c r="E1537" s="3"/>
      <c r="F1537" s="2"/>
      <c r="G1537" s="2"/>
      <c r="I1537" s="1"/>
      <c r="J1537" s="1"/>
    </row>
    <row r="1538" spans="1:10" x14ac:dyDescent="0.2">
      <c r="A1538" s="3"/>
      <c r="B1538" s="3"/>
      <c r="C1538" s="3"/>
      <c r="D1538" s="3"/>
      <c r="E1538" s="3"/>
      <c r="F1538" s="2"/>
      <c r="G1538" s="2"/>
      <c r="I1538" s="1"/>
      <c r="J1538" s="1"/>
    </row>
    <row r="1539" spans="1:10" x14ac:dyDescent="0.2">
      <c r="A1539" s="3"/>
      <c r="B1539" s="3"/>
      <c r="C1539" s="3"/>
      <c r="D1539" s="3"/>
      <c r="E1539" s="3"/>
      <c r="F1539" s="2"/>
      <c r="G1539" s="2"/>
      <c r="I1539" s="1"/>
      <c r="J1539" s="1"/>
    </row>
    <row r="1540" spans="1:10" x14ac:dyDescent="0.2">
      <c r="A1540" s="3"/>
      <c r="B1540" s="3"/>
      <c r="C1540" s="3"/>
      <c r="D1540" s="3"/>
      <c r="E1540" s="3"/>
      <c r="F1540" s="2"/>
      <c r="G1540" s="2"/>
      <c r="I1540" s="1"/>
      <c r="J1540" s="1"/>
    </row>
    <row r="1541" spans="1:10" x14ac:dyDescent="0.2">
      <c r="A1541" s="3"/>
      <c r="B1541" s="3"/>
      <c r="C1541" s="3"/>
      <c r="D1541" s="3"/>
      <c r="E1541" s="3"/>
      <c r="F1541" s="2"/>
      <c r="G1541" s="2"/>
      <c r="I1541" s="1"/>
      <c r="J1541" s="1"/>
    </row>
    <row r="1542" spans="1:10" x14ac:dyDescent="0.2">
      <c r="A1542" s="3"/>
      <c r="B1542" s="3"/>
      <c r="C1542" s="3"/>
      <c r="D1542" s="3"/>
      <c r="E1542" s="3"/>
      <c r="F1542" s="2"/>
      <c r="G1542" s="2"/>
      <c r="I1542" s="1"/>
      <c r="J1542" s="1"/>
    </row>
    <row r="1543" spans="1:10" x14ac:dyDescent="0.2">
      <c r="A1543" s="3"/>
      <c r="B1543" s="3"/>
      <c r="C1543" s="3"/>
      <c r="D1543" s="3"/>
      <c r="E1543" s="3"/>
      <c r="F1543" s="2"/>
      <c r="G1543" s="2"/>
      <c r="I1543" s="1"/>
      <c r="J1543" s="1"/>
    </row>
    <row r="1544" spans="1:10" x14ac:dyDescent="0.2">
      <c r="A1544" s="3"/>
      <c r="B1544" s="3"/>
      <c r="C1544" s="3"/>
      <c r="D1544" s="3"/>
      <c r="E1544" s="3"/>
      <c r="F1544" s="2"/>
      <c r="G1544" s="2"/>
      <c r="I1544" s="1"/>
      <c r="J1544" s="1"/>
    </row>
    <row r="1545" spans="1:10" x14ac:dyDescent="0.2">
      <c r="A1545" s="3"/>
      <c r="B1545" s="3"/>
      <c r="C1545" s="3"/>
      <c r="D1545" s="3"/>
      <c r="E1545" s="3"/>
      <c r="F1545" s="2"/>
      <c r="G1545" s="2"/>
      <c r="I1545" s="1"/>
      <c r="J1545" s="1"/>
    </row>
    <row r="1546" spans="1:10" x14ac:dyDescent="0.2">
      <c r="A1546" s="3"/>
      <c r="B1546" s="3"/>
      <c r="C1546" s="3"/>
      <c r="D1546" s="3"/>
      <c r="E1546" s="3"/>
      <c r="F1546" s="2"/>
      <c r="G1546" s="2"/>
      <c r="I1546" s="1"/>
      <c r="J1546" s="1"/>
    </row>
    <row r="1547" spans="1:10" x14ac:dyDescent="0.2">
      <c r="A1547" s="3"/>
      <c r="B1547" s="3"/>
      <c r="C1547" s="3"/>
      <c r="D1547" s="3"/>
      <c r="E1547" s="3"/>
      <c r="F1547" s="2"/>
      <c r="G1547" s="2"/>
      <c r="I1547" s="1"/>
      <c r="J1547" s="1"/>
    </row>
    <row r="1548" spans="1:10" x14ac:dyDescent="0.2">
      <c r="A1548" s="3"/>
      <c r="B1548" s="3"/>
      <c r="C1548" s="3"/>
      <c r="D1548" s="3"/>
      <c r="E1548" s="3"/>
      <c r="F1548" s="2"/>
      <c r="G1548" s="2"/>
      <c r="I1548" s="1"/>
      <c r="J1548" s="1"/>
    </row>
    <row r="1549" spans="1:10" x14ac:dyDescent="0.2">
      <c r="A1549" s="3"/>
      <c r="B1549" s="3"/>
      <c r="C1549" s="3"/>
      <c r="D1549" s="3"/>
      <c r="E1549" s="3"/>
      <c r="F1549" s="2"/>
      <c r="G1549" s="2"/>
      <c r="I1549" s="1"/>
      <c r="J1549" s="1"/>
    </row>
    <row r="1550" spans="1:10" x14ac:dyDescent="0.2">
      <c r="A1550" s="3"/>
      <c r="B1550" s="3"/>
      <c r="C1550" s="3"/>
      <c r="D1550" s="3"/>
      <c r="E1550" s="3"/>
      <c r="F1550" s="2"/>
      <c r="G1550" s="2"/>
      <c r="I1550" s="1"/>
      <c r="J1550" s="1"/>
    </row>
    <row r="1551" spans="1:10" x14ac:dyDescent="0.2">
      <c r="A1551" s="3"/>
      <c r="B1551" s="3"/>
      <c r="C1551" s="3"/>
      <c r="D1551" s="3"/>
      <c r="E1551" s="3"/>
      <c r="F1551" s="2"/>
      <c r="G1551" s="2"/>
      <c r="I1551" s="1"/>
      <c r="J1551" s="1"/>
    </row>
    <row r="1552" spans="1:10" x14ac:dyDescent="0.2">
      <c r="A1552" s="3"/>
      <c r="B1552" s="3"/>
      <c r="C1552" s="3"/>
      <c r="D1552" s="3"/>
      <c r="E1552" s="3"/>
      <c r="F1552" s="2"/>
      <c r="G1552" s="2"/>
      <c r="I1552" s="1"/>
      <c r="J1552" s="1"/>
    </row>
    <row r="1553" spans="1:10" x14ac:dyDescent="0.2">
      <c r="A1553" s="3"/>
      <c r="B1553" s="3"/>
      <c r="C1553" s="3"/>
      <c r="D1553" s="3"/>
      <c r="E1553" s="3"/>
      <c r="F1553" s="2"/>
      <c r="G1553" s="2"/>
      <c r="I1553" s="1"/>
      <c r="J1553" s="1"/>
    </row>
    <row r="1554" spans="1:10" x14ac:dyDescent="0.2">
      <c r="A1554" s="3"/>
      <c r="B1554" s="3"/>
      <c r="C1554" s="3"/>
      <c r="D1554" s="3"/>
      <c r="E1554" s="3"/>
      <c r="F1554" s="2"/>
      <c r="G1554" s="2"/>
      <c r="I1554" s="1"/>
      <c r="J1554" s="1"/>
    </row>
    <row r="1555" spans="1:10" x14ac:dyDescent="0.2">
      <c r="A1555" s="3"/>
      <c r="B1555" s="3"/>
      <c r="C1555" s="3"/>
      <c r="D1555" s="3"/>
      <c r="E1555" s="3"/>
      <c r="F1555" s="2"/>
      <c r="G1555" s="2"/>
      <c r="I1555" s="1"/>
      <c r="J1555" s="1"/>
    </row>
    <row r="1556" spans="1:10" x14ac:dyDescent="0.2">
      <c r="A1556" s="3"/>
      <c r="B1556" s="3"/>
      <c r="C1556" s="3"/>
      <c r="D1556" s="3"/>
      <c r="E1556" s="3"/>
      <c r="F1556" s="2"/>
      <c r="G1556" s="2"/>
      <c r="I1556" s="1"/>
      <c r="J1556" s="1"/>
    </row>
    <row r="1557" spans="1:10" x14ac:dyDescent="0.2">
      <c r="A1557" s="3"/>
      <c r="B1557" s="3"/>
      <c r="C1557" s="3"/>
      <c r="D1557" s="3"/>
      <c r="E1557" s="3"/>
      <c r="F1557" s="2"/>
      <c r="G1557" s="2"/>
      <c r="I1557" s="1"/>
      <c r="J1557" s="1"/>
    </row>
    <row r="1558" spans="1:10" x14ac:dyDescent="0.2">
      <c r="A1558" s="3"/>
      <c r="B1558" s="3"/>
      <c r="C1558" s="3"/>
      <c r="D1558" s="3"/>
      <c r="E1558" s="3"/>
      <c r="F1558" s="2"/>
      <c r="G1558" s="2"/>
      <c r="I1558" s="1"/>
      <c r="J1558" s="1"/>
    </row>
    <row r="1559" spans="1:10" x14ac:dyDescent="0.2">
      <c r="A1559" s="3"/>
      <c r="B1559" s="3"/>
      <c r="C1559" s="3"/>
      <c r="D1559" s="3"/>
      <c r="E1559" s="3"/>
      <c r="F1559" s="2"/>
      <c r="G1559" s="2"/>
      <c r="I1559" s="1"/>
      <c r="J1559" s="1"/>
    </row>
    <row r="1560" spans="1:10" x14ac:dyDescent="0.2">
      <c r="A1560" s="3"/>
      <c r="B1560" s="3"/>
      <c r="C1560" s="3"/>
      <c r="D1560" s="3"/>
      <c r="E1560" s="3"/>
      <c r="F1560" s="2"/>
      <c r="G1560" s="2"/>
      <c r="I1560" s="1"/>
      <c r="J1560" s="1"/>
    </row>
    <row r="1561" spans="1:10" x14ac:dyDescent="0.2">
      <c r="A1561" s="3"/>
      <c r="B1561" s="3"/>
      <c r="C1561" s="3"/>
      <c r="D1561" s="3"/>
      <c r="E1561" s="3"/>
      <c r="F1561" s="2"/>
      <c r="G1561" s="2"/>
      <c r="I1561" s="1"/>
      <c r="J1561" s="1"/>
    </row>
    <row r="1562" spans="1:10" x14ac:dyDescent="0.2">
      <c r="A1562" s="3"/>
      <c r="B1562" s="3"/>
      <c r="C1562" s="3"/>
      <c r="D1562" s="3"/>
      <c r="E1562" s="3"/>
      <c r="F1562" s="2"/>
      <c r="G1562" s="2"/>
      <c r="I1562" s="1"/>
      <c r="J1562" s="1"/>
    </row>
    <row r="1563" spans="1:10" x14ac:dyDescent="0.2">
      <c r="A1563" s="3"/>
      <c r="B1563" s="3"/>
      <c r="C1563" s="3"/>
      <c r="D1563" s="3"/>
      <c r="E1563" s="3"/>
      <c r="F1563" s="2"/>
      <c r="G1563" s="2"/>
      <c r="I1563" s="1"/>
      <c r="J1563" s="1"/>
    </row>
    <row r="1564" spans="1:10" x14ac:dyDescent="0.2">
      <c r="A1564" s="3"/>
      <c r="B1564" s="3"/>
      <c r="C1564" s="3"/>
      <c r="D1564" s="3"/>
      <c r="E1564" s="3"/>
      <c r="F1564" s="2"/>
      <c r="G1564" s="2"/>
      <c r="I1564" s="1"/>
      <c r="J1564" s="1"/>
    </row>
    <row r="1565" spans="1:10" x14ac:dyDescent="0.2">
      <c r="A1565" s="3"/>
      <c r="B1565" s="3"/>
      <c r="C1565" s="3"/>
      <c r="D1565" s="3"/>
      <c r="E1565" s="3"/>
      <c r="F1565" s="2"/>
      <c r="G1565" s="2"/>
      <c r="I1565" s="1"/>
      <c r="J1565" s="1"/>
    </row>
    <row r="1566" spans="1:10" x14ac:dyDescent="0.2">
      <c r="A1566" s="3"/>
      <c r="B1566" s="3"/>
      <c r="C1566" s="3"/>
      <c r="D1566" s="3"/>
      <c r="E1566" s="3"/>
      <c r="F1566" s="2"/>
      <c r="G1566" s="2"/>
      <c r="I1566" s="1"/>
      <c r="J1566" s="1"/>
    </row>
    <row r="1567" spans="1:10" x14ac:dyDescent="0.2">
      <c r="A1567" s="3"/>
      <c r="B1567" s="3"/>
      <c r="C1567" s="3"/>
      <c r="D1567" s="3"/>
      <c r="E1567" s="3"/>
      <c r="F1567" s="2"/>
      <c r="G1567" s="2"/>
      <c r="I1567" s="1"/>
      <c r="J1567" s="1"/>
    </row>
    <row r="1568" spans="1:10" x14ac:dyDescent="0.2">
      <c r="A1568" s="3"/>
      <c r="B1568" s="3"/>
      <c r="C1568" s="3"/>
      <c r="D1568" s="3"/>
      <c r="E1568" s="3"/>
      <c r="F1568" s="2"/>
      <c r="G1568" s="2"/>
      <c r="I1568" s="1"/>
      <c r="J1568" s="1"/>
    </row>
    <row r="1569" spans="1:10" x14ac:dyDescent="0.2">
      <c r="A1569" s="3"/>
      <c r="B1569" s="3"/>
      <c r="C1569" s="3"/>
      <c r="D1569" s="3"/>
      <c r="E1569" s="3"/>
      <c r="F1569" s="2"/>
      <c r="G1569" s="2"/>
      <c r="I1569" s="1"/>
      <c r="J1569" s="1"/>
    </row>
    <row r="1570" spans="1:10" x14ac:dyDescent="0.2">
      <c r="A1570" s="3"/>
      <c r="B1570" s="3"/>
      <c r="C1570" s="3"/>
      <c r="D1570" s="3"/>
      <c r="E1570" s="3"/>
      <c r="F1570" s="2"/>
      <c r="G1570" s="2"/>
      <c r="I1570" s="1"/>
      <c r="J1570" s="1"/>
    </row>
    <row r="1571" spans="1:10" x14ac:dyDescent="0.2">
      <c r="A1571" s="3"/>
      <c r="B1571" s="3"/>
      <c r="C1571" s="3"/>
      <c r="D1571" s="3"/>
      <c r="E1571" s="3"/>
      <c r="F1571" s="2"/>
      <c r="G1571" s="2"/>
      <c r="I1571" s="1"/>
      <c r="J1571" s="1"/>
    </row>
    <row r="1572" spans="1:10" x14ac:dyDescent="0.2">
      <c r="A1572" s="3"/>
      <c r="B1572" s="3"/>
      <c r="C1572" s="3"/>
      <c r="D1572" s="3"/>
      <c r="E1572" s="3"/>
      <c r="F1572" s="2"/>
      <c r="G1572" s="2"/>
      <c r="I1572" s="1"/>
      <c r="J1572" s="1"/>
    </row>
    <row r="1573" spans="1:10" x14ac:dyDescent="0.2">
      <c r="A1573" s="3"/>
      <c r="B1573" s="3"/>
      <c r="C1573" s="3"/>
      <c r="D1573" s="3"/>
      <c r="E1573" s="3"/>
      <c r="F1573" s="2"/>
      <c r="G1573" s="2"/>
      <c r="I1573" s="1"/>
      <c r="J1573" s="1"/>
    </row>
    <row r="1574" spans="1:10" x14ac:dyDescent="0.2">
      <c r="A1574" s="3"/>
      <c r="B1574" s="3"/>
      <c r="C1574" s="3"/>
      <c r="D1574" s="3"/>
      <c r="E1574" s="3"/>
      <c r="F1574" s="2"/>
      <c r="G1574" s="2"/>
      <c r="I1574" s="1"/>
      <c r="J1574" s="1"/>
    </row>
    <row r="1575" spans="1:10" x14ac:dyDescent="0.2">
      <c r="A1575" s="3"/>
      <c r="B1575" s="3"/>
      <c r="C1575" s="3"/>
      <c r="D1575" s="3"/>
      <c r="E1575" s="3"/>
      <c r="F1575" s="2"/>
      <c r="G1575" s="2"/>
      <c r="I1575" s="1"/>
      <c r="J1575" s="1"/>
    </row>
    <row r="1576" spans="1:10" x14ac:dyDescent="0.2">
      <c r="A1576" s="3"/>
      <c r="B1576" s="3"/>
      <c r="C1576" s="3"/>
      <c r="D1576" s="3"/>
      <c r="E1576" s="3"/>
      <c r="F1576" s="2"/>
      <c r="G1576" s="2"/>
      <c r="I1576" s="1"/>
      <c r="J1576" s="1"/>
    </row>
    <row r="1577" spans="1:10" x14ac:dyDescent="0.2">
      <c r="A1577" s="3"/>
      <c r="B1577" s="3"/>
      <c r="C1577" s="3"/>
      <c r="D1577" s="3"/>
      <c r="E1577" s="3"/>
      <c r="F1577" s="2"/>
      <c r="G1577" s="2"/>
      <c r="I1577" s="1"/>
      <c r="J1577" s="1"/>
    </row>
    <row r="1578" spans="1:10" x14ac:dyDescent="0.2">
      <c r="A1578" s="3"/>
      <c r="B1578" s="3"/>
      <c r="C1578" s="3"/>
      <c r="D1578" s="3"/>
      <c r="E1578" s="3"/>
      <c r="F1578" s="2"/>
      <c r="G1578" s="2"/>
      <c r="I1578" s="1"/>
      <c r="J1578" s="1"/>
    </row>
    <row r="1579" spans="1:10" x14ac:dyDescent="0.2">
      <c r="A1579" s="3"/>
      <c r="B1579" s="3"/>
      <c r="C1579" s="3"/>
      <c r="D1579" s="3"/>
      <c r="E1579" s="3"/>
      <c r="F1579" s="2"/>
      <c r="G1579" s="2"/>
      <c r="I1579" s="1"/>
      <c r="J1579" s="1"/>
    </row>
    <row r="1580" spans="1:10" x14ac:dyDescent="0.2">
      <c r="A1580" s="3"/>
      <c r="B1580" s="3"/>
      <c r="C1580" s="3"/>
      <c r="D1580" s="3"/>
      <c r="E1580" s="3"/>
      <c r="F1580" s="2"/>
      <c r="G1580" s="2"/>
      <c r="I1580" s="1"/>
      <c r="J1580" s="1"/>
    </row>
    <row r="1581" spans="1:10" x14ac:dyDescent="0.2">
      <c r="A1581" s="3"/>
      <c r="B1581" s="3"/>
      <c r="C1581" s="3"/>
      <c r="D1581" s="3"/>
      <c r="E1581" s="3"/>
      <c r="F1581" s="2"/>
      <c r="G1581" s="2"/>
      <c r="I1581" s="1"/>
      <c r="J1581" s="1"/>
    </row>
    <row r="1582" spans="1:10" x14ac:dyDescent="0.2">
      <c r="A1582" s="3"/>
      <c r="B1582" s="3"/>
      <c r="C1582" s="3"/>
      <c r="D1582" s="3"/>
      <c r="E1582" s="3"/>
      <c r="F1582" s="2"/>
      <c r="G1582" s="2"/>
      <c r="I1582" s="1"/>
      <c r="J1582" s="1"/>
    </row>
    <row r="1583" spans="1:10" x14ac:dyDescent="0.2">
      <c r="A1583" s="3"/>
      <c r="B1583" s="3"/>
      <c r="C1583" s="3"/>
      <c r="D1583" s="3"/>
      <c r="E1583" s="3"/>
      <c r="F1583" s="2"/>
      <c r="G1583" s="2"/>
      <c r="I1583" s="1"/>
      <c r="J1583" s="1"/>
    </row>
    <row r="1584" spans="1:10" x14ac:dyDescent="0.2">
      <c r="A1584" s="3"/>
      <c r="B1584" s="3"/>
      <c r="C1584" s="3"/>
      <c r="D1584" s="3"/>
      <c r="E1584" s="3"/>
      <c r="F1584" s="2"/>
      <c r="G1584" s="2"/>
      <c r="I1584" s="1"/>
      <c r="J1584" s="1"/>
    </row>
    <row r="1585" spans="1:10" x14ac:dyDescent="0.2">
      <c r="A1585" s="3"/>
      <c r="B1585" s="3"/>
      <c r="C1585" s="3"/>
      <c r="D1585" s="3"/>
      <c r="E1585" s="3"/>
      <c r="F1585" s="2"/>
      <c r="G1585" s="2"/>
      <c r="I1585" s="1"/>
      <c r="J1585" s="1"/>
    </row>
    <row r="1586" spans="1:10" x14ac:dyDescent="0.2">
      <c r="A1586" s="3"/>
      <c r="B1586" s="3"/>
      <c r="C1586" s="3"/>
      <c r="D1586" s="3"/>
      <c r="E1586" s="3"/>
      <c r="F1586" s="2"/>
      <c r="G1586" s="2"/>
      <c r="I1586" s="1"/>
      <c r="J1586" s="1"/>
    </row>
    <row r="1587" spans="1:10" x14ac:dyDescent="0.2">
      <c r="A1587" s="3"/>
      <c r="B1587" s="3"/>
      <c r="C1587" s="3"/>
      <c r="D1587" s="3"/>
      <c r="E1587" s="3"/>
      <c r="F1587" s="2"/>
      <c r="G1587" s="2"/>
      <c r="I1587" s="1"/>
      <c r="J1587" s="1"/>
    </row>
    <row r="1588" spans="1:10" x14ac:dyDescent="0.2">
      <c r="A1588" s="3"/>
      <c r="B1588" s="3"/>
      <c r="C1588" s="3"/>
      <c r="D1588" s="3"/>
      <c r="E1588" s="3"/>
      <c r="F1588" s="2"/>
      <c r="G1588" s="2"/>
      <c r="I1588" s="1"/>
      <c r="J1588" s="1"/>
    </row>
    <row r="1589" spans="1:10" x14ac:dyDescent="0.2">
      <c r="A1589" s="3"/>
      <c r="B1589" s="3"/>
      <c r="C1589" s="3"/>
      <c r="D1589" s="3"/>
      <c r="E1589" s="3"/>
      <c r="F1589" s="2"/>
      <c r="G1589" s="2"/>
      <c r="I1589" s="1"/>
      <c r="J1589" s="1"/>
    </row>
    <row r="1590" spans="1:10" x14ac:dyDescent="0.2">
      <c r="A1590" s="3"/>
      <c r="B1590" s="3"/>
      <c r="C1590" s="3"/>
      <c r="D1590" s="3"/>
      <c r="E1590" s="3"/>
      <c r="F1590" s="2"/>
      <c r="G1590" s="2"/>
      <c r="I1590" s="1"/>
      <c r="J1590" s="1"/>
    </row>
    <row r="1591" spans="1:10" x14ac:dyDescent="0.2">
      <c r="A1591" s="3"/>
      <c r="B1591" s="3"/>
      <c r="C1591" s="3"/>
      <c r="D1591" s="3"/>
      <c r="E1591" s="3"/>
      <c r="F1591" s="2"/>
      <c r="G1591" s="2"/>
      <c r="I1591" s="1"/>
      <c r="J1591" s="1"/>
    </row>
    <row r="1592" spans="1:10" x14ac:dyDescent="0.2">
      <c r="A1592" s="3"/>
      <c r="B1592" s="3"/>
      <c r="C1592" s="3"/>
      <c r="D1592" s="3"/>
      <c r="E1592" s="3"/>
      <c r="F1592" s="2"/>
      <c r="G1592" s="2"/>
      <c r="I1592" s="1"/>
      <c r="J1592" s="1"/>
    </row>
    <row r="1593" spans="1:10" x14ac:dyDescent="0.2">
      <c r="A1593" s="3"/>
      <c r="B1593" s="3"/>
      <c r="C1593" s="3"/>
      <c r="D1593" s="3"/>
      <c r="E1593" s="3"/>
      <c r="F1593" s="2"/>
      <c r="G1593" s="2"/>
      <c r="I1593" s="1"/>
      <c r="J1593" s="1"/>
    </row>
    <row r="1594" spans="1:10" x14ac:dyDescent="0.2">
      <c r="A1594" s="3"/>
      <c r="B1594" s="3"/>
      <c r="C1594" s="3"/>
      <c r="D1594" s="3"/>
      <c r="E1594" s="3"/>
      <c r="F1594" s="2"/>
      <c r="G1594" s="2"/>
      <c r="I1594" s="1"/>
      <c r="J1594" s="1"/>
    </row>
    <row r="1595" spans="1:10" x14ac:dyDescent="0.2">
      <c r="A1595" s="3"/>
      <c r="B1595" s="3"/>
      <c r="C1595" s="3"/>
      <c r="D1595" s="3"/>
      <c r="E1595" s="3"/>
      <c r="F1595" s="2"/>
      <c r="G1595" s="2"/>
      <c r="I1595" s="1"/>
      <c r="J1595" s="1"/>
    </row>
    <row r="1596" spans="1:10" x14ac:dyDescent="0.2">
      <c r="A1596" s="3"/>
      <c r="B1596" s="3"/>
      <c r="C1596" s="3"/>
      <c r="D1596" s="3"/>
      <c r="E1596" s="3"/>
      <c r="F1596" s="2"/>
      <c r="G1596" s="2"/>
      <c r="I1596" s="1"/>
      <c r="J1596" s="1"/>
    </row>
    <row r="1597" spans="1:10" x14ac:dyDescent="0.2">
      <c r="A1597" s="3"/>
      <c r="B1597" s="3"/>
      <c r="C1597" s="3"/>
      <c r="D1597" s="3"/>
      <c r="E1597" s="3"/>
      <c r="F1597" s="2"/>
      <c r="G1597" s="2"/>
      <c r="I1597" s="1"/>
      <c r="J1597" s="1"/>
    </row>
    <row r="1598" spans="1:10" x14ac:dyDescent="0.2">
      <c r="A1598" s="3"/>
      <c r="B1598" s="3"/>
      <c r="C1598" s="3"/>
      <c r="D1598" s="3"/>
      <c r="E1598" s="3"/>
      <c r="F1598" s="2"/>
      <c r="G1598" s="2"/>
      <c r="I1598" s="1"/>
      <c r="J1598" s="1"/>
    </row>
    <row r="1599" spans="1:10" x14ac:dyDescent="0.2">
      <c r="A1599" s="3"/>
      <c r="B1599" s="3"/>
      <c r="C1599" s="3"/>
      <c r="D1599" s="3"/>
      <c r="E1599" s="3"/>
      <c r="F1599" s="2"/>
      <c r="G1599" s="2"/>
      <c r="I1599" s="1"/>
      <c r="J1599" s="1"/>
    </row>
    <row r="1600" spans="1:10" x14ac:dyDescent="0.2">
      <c r="A1600" s="3"/>
      <c r="B1600" s="3"/>
      <c r="C1600" s="3"/>
      <c r="D1600" s="3"/>
      <c r="E1600" s="3"/>
      <c r="F1600" s="2"/>
      <c r="G1600" s="2"/>
      <c r="I1600" s="1"/>
      <c r="J1600" s="1"/>
    </row>
    <row r="1601" spans="1:10" x14ac:dyDescent="0.2">
      <c r="A1601" s="3"/>
      <c r="B1601" s="3"/>
      <c r="C1601" s="3"/>
      <c r="D1601" s="3"/>
      <c r="E1601" s="3"/>
      <c r="F1601" s="2"/>
      <c r="G1601" s="2"/>
      <c r="I1601" s="1"/>
      <c r="J1601" s="1"/>
    </row>
    <row r="1602" spans="1:10" x14ac:dyDescent="0.2">
      <c r="A1602" s="3"/>
      <c r="B1602" s="3"/>
      <c r="C1602" s="3"/>
      <c r="D1602" s="3"/>
      <c r="E1602" s="3"/>
      <c r="F1602" s="2"/>
      <c r="G1602" s="2"/>
      <c r="I1602" s="1"/>
      <c r="J1602" s="1"/>
    </row>
    <row r="1603" spans="1:10" x14ac:dyDescent="0.2">
      <c r="A1603" s="3"/>
      <c r="B1603" s="3"/>
      <c r="C1603" s="3"/>
      <c r="D1603" s="3"/>
      <c r="E1603" s="3"/>
      <c r="F1603" s="2"/>
      <c r="G1603" s="2"/>
      <c r="I1603" s="1"/>
      <c r="J1603" s="1"/>
    </row>
    <row r="1604" spans="1:10" x14ac:dyDescent="0.2">
      <c r="A1604" s="3"/>
      <c r="B1604" s="3"/>
      <c r="C1604" s="3"/>
      <c r="D1604" s="3"/>
      <c r="E1604" s="3"/>
      <c r="F1604" s="2"/>
      <c r="G1604" s="2"/>
      <c r="I1604" s="1"/>
      <c r="J1604" s="1"/>
    </row>
    <row r="1605" spans="1:10" x14ac:dyDescent="0.2">
      <c r="A1605" s="3"/>
      <c r="B1605" s="3"/>
      <c r="C1605" s="3"/>
      <c r="D1605" s="3"/>
      <c r="E1605" s="3"/>
      <c r="F1605" s="2"/>
      <c r="G1605" s="2"/>
      <c r="I1605" s="1"/>
      <c r="J1605" s="1"/>
    </row>
    <row r="1606" spans="1:10" x14ac:dyDescent="0.2">
      <c r="A1606" s="3"/>
      <c r="B1606" s="3"/>
      <c r="C1606" s="3"/>
      <c r="D1606" s="3"/>
      <c r="E1606" s="3"/>
      <c r="F1606" s="2"/>
      <c r="G1606" s="2"/>
      <c r="I1606" s="1"/>
      <c r="J1606" s="1"/>
    </row>
    <row r="1607" spans="1:10" x14ac:dyDescent="0.2">
      <c r="A1607" s="3"/>
      <c r="B1607" s="3"/>
      <c r="C1607" s="3"/>
      <c r="D1607" s="3"/>
      <c r="E1607" s="3"/>
      <c r="F1607" s="2"/>
      <c r="G1607" s="2"/>
      <c r="I1607" s="1"/>
      <c r="J1607" s="1"/>
    </row>
    <row r="1608" spans="1:10" x14ac:dyDescent="0.2">
      <c r="A1608" s="3"/>
      <c r="B1608" s="3"/>
      <c r="C1608" s="3"/>
      <c r="D1608" s="3"/>
      <c r="E1608" s="3"/>
      <c r="F1608" s="2"/>
      <c r="G1608" s="2"/>
      <c r="I1608" s="1"/>
      <c r="J1608" s="1"/>
    </row>
    <row r="1609" spans="1:10" x14ac:dyDescent="0.2">
      <c r="A1609" s="3"/>
      <c r="B1609" s="3"/>
      <c r="C1609" s="3"/>
      <c r="D1609" s="3"/>
      <c r="E1609" s="3"/>
      <c r="F1609" s="2"/>
      <c r="G1609" s="2"/>
      <c r="I1609" s="1"/>
      <c r="J1609" s="1"/>
    </row>
    <row r="1610" spans="1:10" x14ac:dyDescent="0.2">
      <c r="A1610" s="3"/>
      <c r="B1610" s="3"/>
      <c r="C1610" s="3"/>
      <c r="D1610" s="3"/>
      <c r="E1610" s="3"/>
      <c r="F1610" s="2"/>
      <c r="G1610" s="2"/>
      <c r="I1610" s="1"/>
      <c r="J1610" s="1"/>
    </row>
    <row r="1611" spans="1:10" x14ac:dyDescent="0.2">
      <c r="A1611" s="3"/>
      <c r="B1611" s="3"/>
      <c r="C1611" s="3"/>
      <c r="D1611" s="3"/>
      <c r="E1611" s="3"/>
      <c r="F1611" s="2"/>
      <c r="G1611" s="2"/>
      <c r="I1611" s="1"/>
      <c r="J1611" s="1"/>
    </row>
    <row r="1612" spans="1:10" x14ac:dyDescent="0.2">
      <c r="A1612" s="3"/>
      <c r="B1612" s="3"/>
      <c r="C1612" s="3"/>
      <c r="D1612" s="3"/>
      <c r="E1612" s="3"/>
      <c r="F1612" s="2"/>
      <c r="G1612" s="2"/>
      <c r="I1612" s="1"/>
      <c r="J1612" s="1"/>
    </row>
    <row r="1613" spans="1:10" x14ac:dyDescent="0.2">
      <c r="A1613" s="3"/>
      <c r="B1613" s="3"/>
      <c r="C1613" s="3"/>
      <c r="D1613" s="3"/>
      <c r="E1613" s="3"/>
      <c r="F1613" s="2"/>
      <c r="G1613" s="2"/>
      <c r="I1613" s="1"/>
      <c r="J1613" s="1"/>
    </row>
    <row r="1614" spans="1:10" x14ac:dyDescent="0.2">
      <c r="A1614" s="3"/>
      <c r="B1614" s="3"/>
      <c r="C1614" s="3"/>
      <c r="D1614" s="3"/>
      <c r="E1614" s="3"/>
      <c r="F1614" s="2"/>
      <c r="G1614" s="2"/>
      <c r="I1614" s="1"/>
      <c r="J1614" s="1"/>
    </row>
    <row r="1615" spans="1:10" x14ac:dyDescent="0.2">
      <c r="A1615" s="3"/>
      <c r="B1615" s="3"/>
      <c r="C1615" s="3"/>
      <c r="D1615" s="3"/>
      <c r="E1615" s="3"/>
      <c r="F1615" s="2"/>
      <c r="G1615" s="2"/>
      <c r="I1615" s="1"/>
      <c r="J1615" s="1"/>
    </row>
    <row r="1616" spans="1:10" x14ac:dyDescent="0.2">
      <c r="A1616" s="3"/>
      <c r="B1616" s="3"/>
      <c r="C1616" s="3"/>
      <c r="D1616" s="3"/>
      <c r="E1616" s="3"/>
      <c r="F1616" s="2"/>
      <c r="G1616" s="2"/>
      <c r="I1616" s="1"/>
      <c r="J1616" s="1"/>
    </row>
    <row r="1617" spans="1:10" x14ac:dyDescent="0.2">
      <c r="A1617" s="3"/>
      <c r="B1617" s="3"/>
      <c r="C1617" s="3"/>
      <c r="D1617" s="3"/>
      <c r="E1617" s="3"/>
      <c r="F1617" s="2"/>
      <c r="G1617" s="2"/>
      <c r="I1617" s="1"/>
      <c r="J1617" s="1"/>
    </row>
    <row r="1618" spans="1:10" x14ac:dyDescent="0.2">
      <c r="A1618" s="3"/>
      <c r="B1618" s="3"/>
      <c r="C1618" s="3"/>
      <c r="D1618" s="3"/>
      <c r="E1618" s="3"/>
      <c r="F1618" s="2"/>
      <c r="G1618" s="2"/>
      <c r="I1618" s="1"/>
      <c r="J1618" s="1"/>
    </row>
    <row r="1619" spans="1:10" x14ac:dyDescent="0.2">
      <c r="A1619" s="3"/>
      <c r="B1619" s="3"/>
      <c r="C1619" s="3"/>
      <c r="D1619" s="3"/>
      <c r="E1619" s="3"/>
      <c r="F1619" s="2"/>
      <c r="G1619" s="2"/>
      <c r="I1619" s="1"/>
      <c r="J1619" s="1"/>
    </row>
    <row r="1620" spans="1:10" x14ac:dyDescent="0.2">
      <c r="A1620" s="3"/>
      <c r="B1620" s="3"/>
      <c r="C1620" s="3"/>
      <c r="D1620" s="3"/>
      <c r="E1620" s="3"/>
      <c r="F1620" s="2"/>
      <c r="G1620" s="2"/>
      <c r="I1620" s="1"/>
      <c r="J1620" s="1"/>
    </row>
    <row r="1621" spans="1:10" x14ac:dyDescent="0.2">
      <c r="A1621" s="3"/>
      <c r="B1621" s="3"/>
      <c r="C1621" s="3"/>
      <c r="D1621" s="3"/>
      <c r="E1621" s="3"/>
      <c r="F1621" s="2"/>
      <c r="G1621" s="2"/>
      <c r="I1621" s="1"/>
      <c r="J1621" s="1"/>
    </row>
    <row r="1622" spans="1:10" x14ac:dyDescent="0.2">
      <c r="A1622" s="3"/>
      <c r="B1622" s="3"/>
      <c r="C1622" s="3"/>
      <c r="D1622" s="3"/>
      <c r="E1622" s="3"/>
      <c r="F1622" s="2"/>
      <c r="G1622" s="2"/>
      <c r="I1622" s="1"/>
      <c r="J1622" s="1"/>
    </row>
    <row r="1623" spans="1:10" x14ac:dyDescent="0.2">
      <c r="A1623" s="3"/>
      <c r="B1623" s="3"/>
      <c r="C1623" s="3"/>
      <c r="D1623" s="3"/>
      <c r="E1623" s="3"/>
      <c r="F1623" s="2"/>
      <c r="G1623" s="2"/>
      <c r="I1623" s="1"/>
      <c r="J1623" s="1"/>
    </row>
    <row r="1624" spans="1:10" x14ac:dyDescent="0.2">
      <c r="A1624" s="3"/>
      <c r="B1624" s="3"/>
      <c r="C1624" s="3"/>
      <c r="D1624" s="3"/>
      <c r="E1624" s="3"/>
      <c r="F1624" s="2"/>
      <c r="G1624" s="2"/>
      <c r="I1624" s="1"/>
      <c r="J1624" s="1"/>
    </row>
    <row r="1625" spans="1:10" x14ac:dyDescent="0.2">
      <c r="A1625" s="3"/>
      <c r="B1625" s="3"/>
      <c r="C1625" s="3"/>
      <c r="D1625" s="3"/>
      <c r="E1625" s="3"/>
      <c r="F1625" s="2"/>
      <c r="G1625" s="2"/>
      <c r="I1625" s="1"/>
      <c r="J1625" s="1"/>
    </row>
    <row r="1626" spans="1:10" x14ac:dyDescent="0.2">
      <c r="A1626" s="3"/>
      <c r="B1626" s="3"/>
      <c r="C1626" s="3"/>
      <c r="D1626" s="3"/>
      <c r="E1626" s="3"/>
      <c r="F1626" s="2"/>
      <c r="G1626" s="2"/>
      <c r="I1626" s="1"/>
      <c r="J1626" s="1"/>
    </row>
    <row r="1627" spans="1:10" x14ac:dyDescent="0.2">
      <c r="A1627" s="3"/>
      <c r="B1627" s="3"/>
      <c r="C1627" s="3"/>
      <c r="D1627" s="3"/>
      <c r="E1627" s="3"/>
      <c r="F1627" s="2"/>
      <c r="G1627" s="2"/>
      <c r="I1627" s="1"/>
      <c r="J1627" s="1"/>
    </row>
    <row r="1628" spans="1:10" x14ac:dyDescent="0.2">
      <c r="A1628" s="3"/>
      <c r="B1628" s="3"/>
      <c r="C1628" s="3"/>
      <c r="D1628" s="3"/>
      <c r="E1628" s="3"/>
      <c r="F1628" s="2"/>
      <c r="G1628" s="2"/>
      <c r="I1628" s="1"/>
      <c r="J1628" s="1"/>
    </row>
    <row r="1629" spans="1:10" x14ac:dyDescent="0.2">
      <c r="A1629" s="3"/>
      <c r="B1629" s="3"/>
      <c r="C1629" s="3"/>
      <c r="D1629" s="3"/>
      <c r="E1629" s="3"/>
      <c r="F1629" s="2"/>
      <c r="G1629" s="2"/>
      <c r="I1629" s="1"/>
      <c r="J1629" s="1"/>
    </row>
    <row r="1630" spans="1:10" x14ac:dyDescent="0.2">
      <c r="A1630" s="3"/>
      <c r="B1630" s="3"/>
      <c r="C1630" s="3"/>
      <c r="D1630" s="3"/>
      <c r="E1630" s="3"/>
      <c r="F1630" s="2"/>
      <c r="G1630" s="2"/>
      <c r="I1630" s="1"/>
      <c r="J1630" s="1"/>
    </row>
    <row r="1631" spans="1:10" x14ac:dyDescent="0.2">
      <c r="A1631" s="3"/>
      <c r="B1631" s="3"/>
      <c r="C1631" s="3"/>
      <c r="D1631" s="3"/>
      <c r="E1631" s="3"/>
      <c r="F1631" s="2"/>
      <c r="G1631" s="2"/>
      <c r="I1631" s="1"/>
      <c r="J1631" s="1"/>
    </row>
    <row r="1632" spans="1:10" x14ac:dyDescent="0.2">
      <c r="A1632" s="3"/>
      <c r="B1632" s="3"/>
      <c r="C1632" s="3"/>
      <c r="D1632" s="3"/>
      <c r="E1632" s="3"/>
      <c r="F1632" s="2"/>
      <c r="G1632" s="2"/>
      <c r="I1632" s="1"/>
      <c r="J1632" s="1"/>
    </row>
    <row r="1633" spans="1:10" x14ac:dyDescent="0.2">
      <c r="A1633" s="3"/>
      <c r="B1633" s="3"/>
      <c r="C1633" s="3"/>
      <c r="D1633" s="3"/>
      <c r="E1633" s="3"/>
      <c r="F1633" s="2"/>
      <c r="G1633" s="2"/>
      <c r="I1633" s="1"/>
      <c r="J1633" s="1"/>
    </row>
    <row r="1634" spans="1:10" x14ac:dyDescent="0.2">
      <c r="A1634" s="3"/>
      <c r="B1634" s="3"/>
      <c r="C1634" s="3"/>
      <c r="D1634" s="3"/>
      <c r="E1634" s="3"/>
      <c r="F1634" s="2"/>
      <c r="G1634" s="2"/>
      <c r="I1634" s="1"/>
      <c r="J1634" s="1"/>
    </row>
    <row r="1635" spans="1:10" x14ac:dyDescent="0.2">
      <c r="A1635" s="3"/>
      <c r="B1635" s="3"/>
      <c r="C1635" s="3"/>
      <c r="D1635" s="3"/>
      <c r="E1635" s="3"/>
      <c r="F1635" s="2"/>
      <c r="G1635" s="2"/>
      <c r="I1635" s="1"/>
      <c r="J1635" s="1"/>
    </row>
    <row r="1636" spans="1:10" x14ac:dyDescent="0.2">
      <c r="A1636" s="3"/>
      <c r="B1636" s="3"/>
      <c r="C1636" s="3"/>
      <c r="D1636" s="3"/>
      <c r="E1636" s="3"/>
      <c r="F1636" s="2"/>
      <c r="G1636" s="2"/>
      <c r="I1636" s="1"/>
      <c r="J1636" s="1"/>
    </row>
    <row r="1637" spans="1:10" x14ac:dyDescent="0.2">
      <c r="A1637" s="3"/>
      <c r="B1637" s="3"/>
      <c r="C1637" s="3"/>
      <c r="D1637" s="3"/>
      <c r="E1637" s="3"/>
      <c r="F1637" s="2"/>
      <c r="G1637" s="2"/>
      <c r="I1637" s="1"/>
      <c r="J1637" s="1"/>
    </row>
    <row r="1638" spans="1:10" x14ac:dyDescent="0.2">
      <c r="A1638" s="3"/>
      <c r="B1638" s="3"/>
      <c r="C1638" s="3"/>
      <c r="D1638" s="3"/>
      <c r="E1638" s="3"/>
      <c r="F1638" s="2"/>
      <c r="G1638" s="2"/>
      <c r="I1638" s="1"/>
      <c r="J1638" s="1"/>
    </row>
    <row r="1639" spans="1:10" x14ac:dyDescent="0.2">
      <c r="A1639" s="3"/>
      <c r="B1639" s="3"/>
      <c r="C1639" s="3"/>
      <c r="D1639" s="3"/>
      <c r="E1639" s="3"/>
      <c r="F1639" s="2"/>
      <c r="G1639" s="2"/>
      <c r="I1639" s="1"/>
      <c r="J1639" s="1"/>
    </row>
    <row r="1640" spans="1:10" x14ac:dyDescent="0.2">
      <c r="A1640" s="3"/>
      <c r="B1640" s="3"/>
      <c r="C1640" s="3"/>
      <c r="D1640" s="3"/>
      <c r="E1640" s="3"/>
      <c r="F1640" s="2"/>
      <c r="G1640" s="2"/>
      <c r="I1640" s="1"/>
      <c r="J1640" s="1"/>
    </row>
    <row r="1641" spans="1:10" x14ac:dyDescent="0.2">
      <c r="A1641" s="3"/>
      <c r="B1641" s="3"/>
      <c r="C1641" s="3"/>
      <c r="D1641" s="3"/>
      <c r="E1641" s="3"/>
      <c r="F1641" s="2"/>
      <c r="G1641" s="2"/>
      <c r="I1641" s="1"/>
      <c r="J1641" s="1"/>
    </row>
    <row r="1642" spans="1:10" x14ac:dyDescent="0.2">
      <c r="A1642" s="3"/>
      <c r="B1642" s="3"/>
      <c r="C1642" s="3"/>
      <c r="D1642" s="3"/>
      <c r="E1642" s="3"/>
      <c r="F1642" s="2"/>
      <c r="G1642" s="2"/>
      <c r="I1642" s="1"/>
      <c r="J1642" s="1"/>
    </row>
    <row r="1643" spans="1:10" x14ac:dyDescent="0.2">
      <c r="A1643" s="3"/>
      <c r="B1643" s="3"/>
      <c r="C1643" s="3"/>
      <c r="D1643" s="3"/>
      <c r="E1643" s="3"/>
      <c r="F1643" s="2"/>
      <c r="G1643" s="2"/>
      <c r="I1643" s="1"/>
      <c r="J1643" s="1"/>
    </row>
    <row r="1644" spans="1:10" x14ac:dyDescent="0.2">
      <c r="A1644" s="3"/>
      <c r="B1644" s="3"/>
      <c r="C1644" s="3"/>
      <c r="D1644" s="3"/>
      <c r="E1644" s="3"/>
      <c r="F1644" s="2"/>
      <c r="G1644" s="2"/>
      <c r="I1644" s="1"/>
      <c r="J1644" s="1"/>
    </row>
    <row r="1645" spans="1:10" x14ac:dyDescent="0.2">
      <c r="A1645" s="3"/>
      <c r="B1645" s="3"/>
      <c r="C1645" s="3"/>
      <c r="D1645" s="3"/>
      <c r="E1645" s="3"/>
      <c r="F1645" s="2"/>
      <c r="G1645" s="2"/>
      <c r="I1645" s="1"/>
      <c r="J1645" s="1"/>
    </row>
    <row r="1646" spans="1:10" x14ac:dyDescent="0.2">
      <c r="A1646" s="3"/>
      <c r="B1646" s="3"/>
      <c r="C1646" s="3"/>
      <c r="D1646" s="3"/>
      <c r="E1646" s="3"/>
      <c r="F1646" s="2"/>
      <c r="G1646" s="2"/>
      <c r="I1646" s="1"/>
      <c r="J1646" s="1"/>
    </row>
    <row r="1647" spans="1:10" x14ac:dyDescent="0.2">
      <c r="A1647" s="3"/>
      <c r="B1647" s="3"/>
      <c r="C1647" s="3"/>
      <c r="D1647" s="3"/>
      <c r="E1647" s="3"/>
      <c r="F1647" s="2"/>
      <c r="G1647" s="2"/>
      <c r="I1647" s="1"/>
      <c r="J1647" s="1"/>
    </row>
    <row r="1648" spans="1:10" x14ac:dyDescent="0.2">
      <c r="A1648" s="3"/>
      <c r="B1648" s="3"/>
      <c r="C1648" s="3"/>
      <c r="D1648" s="3"/>
      <c r="E1648" s="3"/>
      <c r="F1648" s="2"/>
      <c r="G1648" s="2"/>
      <c r="I1648" s="1"/>
      <c r="J1648" s="1"/>
    </row>
    <row r="1649" spans="1:10" x14ac:dyDescent="0.2">
      <c r="A1649" s="3"/>
      <c r="B1649" s="3"/>
      <c r="C1649" s="3"/>
      <c r="D1649" s="3"/>
      <c r="E1649" s="3"/>
      <c r="F1649" s="2"/>
      <c r="G1649" s="2"/>
      <c r="I1649" s="1"/>
      <c r="J1649" s="1"/>
    </row>
    <row r="1650" spans="1:10" x14ac:dyDescent="0.2">
      <c r="A1650" s="3"/>
      <c r="B1650" s="3"/>
      <c r="C1650" s="3"/>
      <c r="D1650" s="3"/>
      <c r="E1650" s="3"/>
      <c r="F1650" s="2"/>
      <c r="G1650" s="2"/>
      <c r="I1650" s="1"/>
      <c r="J1650" s="1"/>
    </row>
    <row r="1651" spans="1:10" x14ac:dyDescent="0.2">
      <c r="A1651" s="3"/>
      <c r="B1651" s="3"/>
      <c r="C1651" s="3"/>
      <c r="D1651" s="3"/>
      <c r="E1651" s="3"/>
      <c r="F1651" s="2"/>
      <c r="G1651" s="2"/>
      <c r="I1651" s="1"/>
      <c r="J1651" s="1"/>
    </row>
    <row r="1652" spans="1:10" x14ac:dyDescent="0.2">
      <c r="A1652" s="3"/>
      <c r="B1652" s="3"/>
      <c r="C1652" s="3"/>
      <c r="D1652" s="3"/>
      <c r="E1652" s="3"/>
      <c r="F1652" s="2"/>
      <c r="G1652" s="2"/>
      <c r="I1652" s="1"/>
      <c r="J1652" s="1"/>
    </row>
    <row r="1653" spans="1:10" x14ac:dyDescent="0.2">
      <c r="A1653" s="3"/>
      <c r="B1653" s="3"/>
      <c r="C1653" s="3"/>
      <c r="D1653" s="3"/>
      <c r="E1653" s="3"/>
      <c r="F1653" s="2"/>
      <c r="G1653" s="2"/>
      <c r="I1653" s="1"/>
      <c r="J1653" s="1"/>
    </row>
    <row r="1654" spans="1:10" x14ac:dyDescent="0.2">
      <c r="A1654" s="3"/>
      <c r="B1654" s="3"/>
      <c r="C1654" s="3"/>
      <c r="D1654" s="3"/>
      <c r="E1654" s="3"/>
      <c r="F1654" s="2"/>
      <c r="G1654" s="2"/>
      <c r="I1654" s="1"/>
      <c r="J1654" s="1"/>
    </row>
    <row r="1655" spans="1:10" x14ac:dyDescent="0.2">
      <c r="A1655" s="3"/>
      <c r="B1655" s="3"/>
      <c r="C1655" s="3"/>
      <c r="D1655" s="3"/>
      <c r="E1655" s="3"/>
      <c r="F1655" s="2"/>
      <c r="G1655" s="2"/>
      <c r="I1655" s="1"/>
      <c r="J1655" s="1"/>
    </row>
    <row r="1656" spans="1:10" x14ac:dyDescent="0.2">
      <c r="A1656" s="3"/>
      <c r="B1656" s="3"/>
      <c r="C1656" s="3"/>
      <c r="D1656" s="3"/>
      <c r="E1656" s="3"/>
      <c r="F1656" s="2"/>
      <c r="G1656" s="2"/>
      <c r="I1656" s="1"/>
      <c r="J1656" s="1"/>
    </row>
    <row r="1657" spans="1:10" x14ac:dyDescent="0.2">
      <c r="A1657" s="3"/>
      <c r="B1657" s="3"/>
      <c r="C1657" s="3"/>
      <c r="D1657" s="3"/>
      <c r="E1657" s="3"/>
      <c r="F1657" s="2"/>
      <c r="G1657" s="2"/>
      <c r="I1657" s="1"/>
      <c r="J1657" s="1"/>
    </row>
    <row r="1658" spans="1:10" x14ac:dyDescent="0.2">
      <c r="A1658" s="3"/>
      <c r="B1658" s="3"/>
      <c r="C1658" s="3"/>
      <c r="D1658" s="3"/>
      <c r="E1658" s="3"/>
      <c r="F1658" s="2"/>
      <c r="G1658" s="2"/>
      <c r="I1658" s="1"/>
      <c r="J1658" s="1"/>
    </row>
    <row r="1659" spans="1:10" x14ac:dyDescent="0.2">
      <c r="A1659" s="3"/>
      <c r="B1659" s="3"/>
      <c r="C1659" s="3"/>
      <c r="D1659" s="3"/>
      <c r="E1659" s="3"/>
      <c r="F1659" s="2"/>
      <c r="G1659" s="2"/>
      <c r="I1659" s="1"/>
      <c r="J1659" s="1"/>
    </row>
    <row r="1660" spans="1:10" x14ac:dyDescent="0.2">
      <c r="A1660" s="3"/>
      <c r="B1660" s="3"/>
      <c r="C1660" s="3"/>
      <c r="D1660" s="3"/>
      <c r="E1660" s="3"/>
      <c r="F1660" s="2"/>
      <c r="G1660" s="2"/>
      <c r="I1660" s="1"/>
      <c r="J1660" s="1"/>
    </row>
    <row r="1661" spans="1:10" x14ac:dyDescent="0.2">
      <c r="A1661" s="3"/>
      <c r="B1661" s="3"/>
      <c r="C1661" s="3"/>
      <c r="D1661" s="3"/>
      <c r="E1661" s="3"/>
      <c r="F1661" s="2"/>
      <c r="G1661" s="2"/>
      <c r="I1661" s="1"/>
      <c r="J1661" s="1"/>
    </row>
    <row r="1662" spans="1:10" x14ac:dyDescent="0.2">
      <c r="A1662" s="3"/>
      <c r="B1662" s="3"/>
      <c r="C1662" s="3"/>
      <c r="D1662" s="3"/>
      <c r="E1662" s="3"/>
      <c r="F1662" s="2"/>
      <c r="G1662" s="2"/>
      <c r="I1662" s="1"/>
      <c r="J1662" s="1"/>
    </row>
    <row r="1663" spans="1:10" x14ac:dyDescent="0.2">
      <c r="A1663" s="3"/>
      <c r="B1663" s="3"/>
      <c r="C1663" s="3"/>
      <c r="D1663" s="3"/>
      <c r="E1663" s="3"/>
      <c r="F1663" s="2"/>
      <c r="G1663" s="2"/>
      <c r="I1663" s="1"/>
      <c r="J1663" s="1"/>
    </row>
    <row r="1664" spans="1:10" x14ac:dyDescent="0.2">
      <c r="A1664" s="3"/>
      <c r="B1664" s="3"/>
      <c r="C1664" s="3"/>
      <c r="D1664" s="3"/>
      <c r="E1664" s="3"/>
      <c r="F1664" s="2"/>
      <c r="G1664" s="2"/>
      <c r="I1664" s="1"/>
      <c r="J1664" s="1"/>
    </row>
    <row r="1665" spans="1:10" x14ac:dyDescent="0.2">
      <c r="A1665" s="3"/>
      <c r="B1665" s="3"/>
      <c r="C1665" s="3"/>
      <c r="D1665" s="3"/>
      <c r="E1665" s="3"/>
      <c r="F1665" s="2"/>
      <c r="G1665" s="2"/>
      <c r="I1665" s="1"/>
      <c r="J1665" s="1"/>
    </row>
    <row r="1666" spans="1:10" x14ac:dyDescent="0.2">
      <c r="A1666" s="3"/>
      <c r="B1666" s="3"/>
      <c r="C1666" s="3"/>
      <c r="D1666" s="3"/>
      <c r="E1666" s="3"/>
      <c r="F1666" s="2"/>
      <c r="G1666" s="2"/>
      <c r="I1666" s="1"/>
      <c r="J1666" s="1"/>
    </row>
    <row r="1667" spans="1:10" x14ac:dyDescent="0.2">
      <c r="A1667" s="3"/>
      <c r="B1667" s="3"/>
      <c r="C1667" s="3"/>
      <c r="D1667" s="3"/>
      <c r="E1667" s="3"/>
      <c r="F1667" s="2"/>
      <c r="G1667" s="2"/>
      <c r="I1667" s="1"/>
      <c r="J1667" s="1"/>
    </row>
    <row r="1668" spans="1:10" x14ac:dyDescent="0.2">
      <c r="A1668" s="3"/>
      <c r="B1668" s="3"/>
      <c r="C1668" s="3"/>
      <c r="D1668" s="3"/>
      <c r="E1668" s="3"/>
      <c r="F1668" s="2"/>
      <c r="G1668" s="2"/>
      <c r="I1668" s="1"/>
      <c r="J1668" s="1"/>
    </row>
    <row r="1669" spans="1:10" x14ac:dyDescent="0.2">
      <c r="A1669" s="3"/>
      <c r="B1669" s="3"/>
      <c r="C1669" s="3"/>
      <c r="D1669" s="3"/>
      <c r="E1669" s="3"/>
      <c r="F1669" s="2"/>
      <c r="G1669" s="2"/>
      <c r="I1669" s="1"/>
      <c r="J1669" s="1"/>
    </row>
    <row r="1670" spans="1:10" x14ac:dyDescent="0.2">
      <c r="A1670" s="3"/>
      <c r="B1670" s="3"/>
      <c r="C1670" s="3"/>
      <c r="D1670" s="3"/>
      <c r="E1670" s="3"/>
      <c r="F1670" s="2"/>
      <c r="G1670" s="2"/>
      <c r="I1670" s="1"/>
      <c r="J1670" s="1"/>
    </row>
    <row r="1671" spans="1:10" x14ac:dyDescent="0.2">
      <c r="A1671" s="3"/>
      <c r="B1671" s="3"/>
      <c r="C1671" s="3"/>
      <c r="D1671" s="3"/>
      <c r="E1671" s="3"/>
      <c r="F1671" s="2"/>
      <c r="G1671" s="2"/>
      <c r="I1671" s="1"/>
      <c r="J1671" s="1"/>
    </row>
    <row r="1672" spans="1:10" x14ac:dyDescent="0.2">
      <c r="A1672" s="3"/>
      <c r="B1672" s="3"/>
      <c r="C1672" s="3"/>
      <c r="D1672" s="3"/>
      <c r="E1672" s="3"/>
      <c r="F1672" s="2"/>
      <c r="G1672" s="2"/>
      <c r="I1672" s="1"/>
      <c r="J1672" s="1"/>
    </row>
    <row r="1673" spans="1:10" x14ac:dyDescent="0.2">
      <c r="A1673" s="3"/>
      <c r="B1673" s="3"/>
      <c r="C1673" s="3"/>
      <c r="D1673" s="3"/>
      <c r="E1673" s="3"/>
      <c r="F1673" s="2"/>
      <c r="G1673" s="2"/>
      <c r="I1673" s="1"/>
      <c r="J1673" s="1"/>
    </row>
    <row r="1674" spans="1:10" x14ac:dyDescent="0.2">
      <c r="A1674" s="3"/>
      <c r="B1674" s="3"/>
      <c r="C1674" s="3"/>
      <c r="D1674" s="3"/>
      <c r="E1674" s="3"/>
      <c r="F1674" s="2"/>
      <c r="G1674" s="2"/>
      <c r="I1674" s="1"/>
      <c r="J1674" s="1"/>
    </row>
    <row r="1675" spans="1:10" x14ac:dyDescent="0.2">
      <c r="A1675" s="3"/>
      <c r="B1675" s="3"/>
      <c r="C1675" s="3"/>
      <c r="D1675" s="3"/>
      <c r="E1675" s="3"/>
      <c r="F1675" s="2"/>
      <c r="G1675" s="2"/>
      <c r="I1675" s="1"/>
      <c r="J1675" s="1"/>
    </row>
    <row r="1676" spans="1:10" x14ac:dyDescent="0.2">
      <c r="A1676" s="3"/>
      <c r="B1676" s="3"/>
      <c r="C1676" s="3"/>
      <c r="D1676" s="3"/>
      <c r="E1676" s="3"/>
      <c r="F1676" s="2"/>
      <c r="G1676" s="2"/>
      <c r="I1676" s="1"/>
      <c r="J1676" s="1"/>
    </row>
    <row r="1677" spans="1:10" x14ac:dyDescent="0.2">
      <c r="A1677" s="3"/>
      <c r="B1677" s="3"/>
      <c r="C1677" s="3"/>
      <c r="D1677" s="3"/>
      <c r="E1677" s="3"/>
      <c r="F1677" s="2"/>
      <c r="G1677" s="2"/>
      <c r="I1677" s="1"/>
      <c r="J1677" s="1"/>
    </row>
    <row r="1678" spans="1:10" x14ac:dyDescent="0.2">
      <c r="A1678" s="3"/>
      <c r="B1678" s="3"/>
      <c r="C1678" s="3"/>
      <c r="D1678" s="3"/>
      <c r="E1678" s="3"/>
      <c r="F1678" s="2"/>
      <c r="G1678" s="2"/>
      <c r="I1678" s="1"/>
      <c r="J1678" s="1"/>
    </row>
    <row r="1679" spans="1:10" x14ac:dyDescent="0.2">
      <c r="A1679" s="3"/>
      <c r="B1679" s="3"/>
      <c r="C1679" s="3"/>
      <c r="D1679" s="3"/>
      <c r="E1679" s="3"/>
      <c r="F1679" s="2"/>
      <c r="G1679" s="2"/>
      <c r="I1679" s="1"/>
      <c r="J1679" s="1"/>
    </row>
    <row r="1680" spans="1:10" x14ac:dyDescent="0.2">
      <c r="A1680" s="3"/>
      <c r="B1680" s="3"/>
      <c r="C1680" s="3"/>
      <c r="D1680" s="3"/>
      <c r="E1680" s="3"/>
      <c r="F1680" s="2"/>
      <c r="G1680" s="2"/>
      <c r="I1680" s="1"/>
      <c r="J1680" s="1"/>
    </row>
    <row r="1681" spans="1:10" x14ac:dyDescent="0.2">
      <c r="A1681" s="3"/>
      <c r="B1681" s="3"/>
      <c r="C1681" s="3"/>
      <c r="D1681" s="3"/>
      <c r="E1681" s="3"/>
      <c r="F1681" s="2"/>
      <c r="G1681" s="2"/>
      <c r="I1681" s="1"/>
      <c r="J1681" s="1"/>
    </row>
    <row r="1682" spans="1:10" x14ac:dyDescent="0.2">
      <c r="A1682" s="3"/>
      <c r="B1682" s="3"/>
      <c r="C1682" s="3"/>
      <c r="D1682" s="3"/>
      <c r="E1682" s="3"/>
      <c r="F1682" s="2"/>
      <c r="G1682" s="2"/>
      <c r="I1682" s="1"/>
      <c r="J1682" s="1"/>
    </row>
    <row r="1683" spans="1:10" x14ac:dyDescent="0.2">
      <c r="A1683" s="3"/>
      <c r="B1683" s="3"/>
      <c r="C1683" s="3"/>
      <c r="D1683" s="3"/>
      <c r="E1683" s="3"/>
      <c r="F1683" s="2"/>
      <c r="G1683" s="2"/>
      <c r="I1683" s="1"/>
      <c r="J1683" s="1"/>
    </row>
    <row r="1684" spans="1:10" x14ac:dyDescent="0.2">
      <c r="A1684" s="3"/>
      <c r="B1684" s="3"/>
      <c r="C1684" s="3"/>
      <c r="D1684" s="3"/>
      <c r="E1684" s="3"/>
      <c r="F1684" s="2"/>
      <c r="G1684" s="2"/>
      <c r="I1684" s="1"/>
      <c r="J1684" s="1"/>
    </row>
    <row r="1685" spans="1:10" x14ac:dyDescent="0.2">
      <c r="A1685" s="3"/>
      <c r="B1685" s="3"/>
      <c r="C1685" s="3"/>
      <c r="D1685" s="3"/>
      <c r="E1685" s="3"/>
      <c r="F1685" s="2"/>
      <c r="G1685" s="2"/>
      <c r="I1685" s="1"/>
      <c r="J1685" s="1"/>
    </row>
    <row r="1686" spans="1:10" x14ac:dyDescent="0.2">
      <c r="A1686" s="3"/>
      <c r="B1686" s="3"/>
      <c r="C1686" s="3"/>
      <c r="D1686" s="3"/>
      <c r="E1686" s="3"/>
      <c r="F1686" s="2"/>
      <c r="G1686" s="2"/>
      <c r="I1686" s="1"/>
      <c r="J1686" s="1"/>
    </row>
    <row r="1687" spans="1:10" x14ac:dyDescent="0.2">
      <c r="A1687" s="3"/>
      <c r="B1687" s="3"/>
      <c r="C1687" s="3"/>
      <c r="D1687" s="3"/>
      <c r="E1687" s="3"/>
      <c r="F1687" s="2"/>
      <c r="G1687" s="2"/>
      <c r="I1687" s="1"/>
      <c r="J1687" s="1"/>
    </row>
    <row r="1688" spans="1:10" x14ac:dyDescent="0.2">
      <c r="A1688" s="3"/>
      <c r="B1688" s="3"/>
      <c r="C1688" s="3"/>
      <c r="D1688" s="3"/>
      <c r="E1688" s="3"/>
      <c r="F1688" s="2"/>
      <c r="G1688" s="2"/>
      <c r="I1688" s="1"/>
      <c r="J1688" s="1"/>
    </row>
    <row r="1689" spans="1:10" x14ac:dyDescent="0.2">
      <c r="A1689" s="3"/>
      <c r="B1689" s="3"/>
      <c r="C1689" s="3"/>
      <c r="D1689" s="3"/>
      <c r="E1689" s="3"/>
      <c r="F1689" s="2"/>
      <c r="G1689" s="2"/>
      <c r="I1689" s="1"/>
      <c r="J1689" s="1"/>
    </row>
    <row r="1690" spans="1:10" x14ac:dyDescent="0.2">
      <c r="A1690" s="3"/>
      <c r="B1690" s="3"/>
      <c r="C1690" s="3"/>
      <c r="D1690" s="3"/>
      <c r="E1690" s="3"/>
      <c r="F1690" s="2"/>
      <c r="G1690" s="2"/>
      <c r="I1690" s="1"/>
      <c r="J1690" s="1"/>
    </row>
    <row r="1691" spans="1:10" x14ac:dyDescent="0.2">
      <c r="A1691" s="3"/>
      <c r="B1691" s="3"/>
      <c r="C1691" s="3"/>
      <c r="D1691" s="3"/>
      <c r="E1691" s="3"/>
      <c r="F1691" s="2"/>
      <c r="G1691" s="2"/>
      <c r="I1691" s="1"/>
      <c r="J1691" s="1"/>
    </row>
    <row r="1692" spans="1:10" x14ac:dyDescent="0.2">
      <c r="A1692" s="3"/>
      <c r="B1692" s="3"/>
      <c r="C1692" s="3"/>
      <c r="D1692" s="3"/>
      <c r="E1692" s="3"/>
      <c r="F1692" s="2"/>
      <c r="G1692" s="2"/>
      <c r="I1692" s="1"/>
      <c r="J1692" s="1"/>
    </row>
    <row r="1693" spans="1:10" x14ac:dyDescent="0.2">
      <c r="A1693" s="3"/>
      <c r="B1693" s="3"/>
      <c r="C1693" s="3"/>
      <c r="D1693" s="3"/>
      <c r="E1693" s="3"/>
      <c r="F1693" s="2"/>
      <c r="G1693" s="2"/>
      <c r="I1693" s="1"/>
      <c r="J1693" s="1"/>
    </row>
    <row r="1694" spans="1:10" x14ac:dyDescent="0.2">
      <c r="A1694" s="3"/>
      <c r="B1694" s="3"/>
      <c r="C1694" s="3"/>
      <c r="D1694" s="3"/>
      <c r="E1694" s="3"/>
      <c r="F1694" s="2"/>
      <c r="G1694" s="2"/>
      <c r="I1694" s="1"/>
      <c r="J1694" s="1"/>
    </row>
    <row r="1695" spans="1:10" x14ac:dyDescent="0.2">
      <c r="A1695" s="3"/>
      <c r="B1695" s="3"/>
      <c r="C1695" s="3"/>
      <c r="D1695" s="3"/>
      <c r="E1695" s="3"/>
      <c r="F1695" s="2"/>
      <c r="G1695" s="2"/>
      <c r="I1695" s="1"/>
      <c r="J1695" s="1"/>
    </row>
    <row r="1696" spans="1:10" x14ac:dyDescent="0.2">
      <c r="A1696" s="3"/>
      <c r="B1696" s="3"/>
      <c r="C1696" s="3"/>
      <c r="D1696" s="3"/>
      <c r="E1696" s="3"/>
      <c r="F1696" s="2"/>
      <c r="G1696" s="2"/>
      <c r="I1696" s="1"/>
      <c r="J1696" s="1"/>
    </row>
    <row r="1697" spans="1:10" x14ac:dyDescent="0.2">
      <c r="A1697" s="3"/>
      <c r="B1697" s="3"/>
      <c r="C1697" s="3"/>
      <c r="D1697" s="3"/>
      <c r="E1697" s="3"/>
      <c r="F1697" s="2"/>
      <c r="G1697" s="2"/>
      <c r="I1697" s="1"/>
      <c r="J1697" s="1"/>
    </row>
    <row r="1698" spans="1:10" x14ac:dyDescent="0.2">
      <c r="A1698" s="3"/>
      <c r="B1698" s="3"/>
      <c r="C1698" s="3"/>
      <c r="D1698" s="3"/>
      <c r="E1698" s="3"/>
      <c r="F1698" s="2"/>
      <c r="G1698" s="2"/>
      <c r="I1698" s="1"/>
      <c r="J1698" s="1"/>
    </row>
    <row r="1699" spans="1:10" x14ac:dyDescent="0.2">
      <c r="A1699" s="3"/>
      <c r="B1699" s="3"/>
      <c r="C1699" s="3"/>
      <c r="D1699" s="3"/>
      <c r="E1699" s="3"/>
      <c r="F1699" s="2"/>
      <c r="G1699" s="2"/>
      <c r="I1699" s="1"/>
      <c r="J1699" s="1"/>
    </row>
    <row r="1700" spans="1:10" x14ac:dyDescent="0.2">
      <c r="A1700" s="3"/>
      <c r="B1700" s="3"/>
      <c r="C1700" s="3"/>
      <c r="D1700" s="3"/>
      <c r="E1700" s="3"/>
      <c r="F1700" s="2"/>
      <c r="G1700" s="2"/>
      <c r="I1700" s="1"/>
      <c r="J1700" s="1"/>
    </row>
    <row r="1701" spans="1:10" x14ac:dyDescent="0.2">
      <c r="A1701" s="3"/>
      <c r="B1701" s="3"/>
      <c r="C1701" s="3"/>
      <c r="D1701" s="3"/>
      <c r="E1701" s="3"/>
      <c r="F1701" s="2"/>
      <c r="G1701" s="2"/>
      <c r="I1701" s="1"/>
      <c r="J1701" s="1"/>
    </row>
    <row r="1702" spans="1:10" x14ac:dyDescent="0.2">
      <c r="A1702" s="3"/>
      <c r="B1702" s="3"/>
      <c r="C1702" s="3"/>
      <c r="D1702" s="3"/>
      <c r="E1702" s="3"/>
      <c r="F1702" s="2"/>
      <c r="G1702" s="2"/>
      <c r="I1702" s="1"/>
      <c r="J1702" s="1"/>
    </row>
    <row r="1703" spans="1:10" x14ac:dyDescent="0.2">
      <c r="A1703" s="3"/>
      <c r="B1703" s="3"/>
      <c r="C1703" s="3"/>
      <c r="D1703" s="3"/>
      <c r="E1703" s="3"/>
      <c r="F1703" s="2"/>
      <c r="G1703" s="2"/>
      <c r="I1703" s="1"/>
      <c r="J1703" s="1"/>
    </row>
    <row r="1704" spans="1:10" x14ac:dyDescent="0.2">
      <c r="A1704" s="3"/>
      <c r="B1704" s="3"/>
      <c r="C1704" s="3"/>
      <c r="D1704" s="3"/>
      <c r="E1704" s="3"/>
      <c r="F1704" s="2"/>
      <c r="G1704" s="2"/>
      <c r="I1704" s="1"/>
      <c r="J1704" s="1"/>
    </row>
    <row r="1705" spans="1:10" x14ac:dyDescent="0.2">
      <c r="A1705" s="3"/>
      <c r="B1705" s="3"/>
      <c r="C1705" s="3"/>
      <c r="D1705" s="3"/>
      <c r="E1705" s="3"/>
      <c r="F1705" s="2"/>
      <c r="G1705" s="2"/>
      <c r="I1705" s="1"/>
      <c r="J1705" s="1"/>
    </row>
    <row r="1706" spans="1:10" x14ac:dyDescent="0.2">
      <c r="A1706" s="3"/>
      <c r="B1706" s="3"/>
      <c r="C1706" s="3"/>
      <c r="D1706" s="3"/>
      <c r="E1706" s="3"/>
      <c r="F1706" s="2"/>
      <c r="G1706" s="2"/>
      <c r="I1706" s="1"/>
      <c r="J1706" s="1"/>
    </row>
    <row r="1707" spans="1:10" x14ac:dyDescent="0.2">
      <c r="A1707" s="3"/>
      <c r="B1707" s="3"/>
      <c r="C1707" s="3"/>
      <c r="D1707" s="3"/>
      <c r="E1707" s="3"/>
      <c r="F1707" s="2"/>
      <c r="G1707" s="2"/>
      <c r="I1707" s="1"/>
      <c r="J1707" s="1"/>
    </row>
    <row r="1708" spans="1:10" x14ac:dyDescent="0.2">
      <c r="A1708" s="3"/>
      <c r="B1708" s="3"/>
      <c r="C1708" s="3"/>
      <c r="D1708" s="3"/>
      <c r="E1708" s="3"/>
      <c r="F1708" s="2"/>
      <c r="G1708" s="2"/>
      <c r="I1708" s="1"/>
      <c r="J1708" s="1"/>
    </row>
    <row r="1709" spans="1:10" x14ac:dyDescent="0.2">
      <c r="A1709" s="3"/>
      <c r="B1709" s="3"/>
      <c r="C1709" s="3"/>
      <c r="D1709" s="3"/>
      <c r="E1709" s="3"/>
      <c r="F1709" s="2"/>
      <c r="G1709" s="2"/>
      <c r="I1709" s="1"/>
      <c r="J1709" s="1"/>
    </row>
    <row r="1710" spans="1:10" x14ac:dyDescent="0.2">
      <c r="A1710" s="3"/>
      <c r="B1710" s="3"/>
      <c r="C1710" s="3"/>
      <c r="D1710" s="3"/>
      <c r="E1710" s="3"/>
      <c r="F1710" s="2"/>
      <c r="G1710" s="2"/>
      <c r="I1710" s="1"/>
      <c r="J1710" s="1"/>
    </row>
    <row r="1711" spans="1:10" x14ac:dyDescent="0.2">
      <c r="A1711" s="3"/>
      <c r="B1711" s="3"/>
      <c r="C1711" s="3"/>
      <c r="D1711" s="3"/>
      <c r="E1711" s="3"/>
      <c r="F1711" s="2"/>
      <c r="G1711" s="2"/>
      <c r="I1711" s="1"/>
      <c r="J1711" s="1"/>
    </row>
    <row r="1712" spans="1:10" x14ac:dyDescent="0.2">
      <c r="A1712" s="3"/>
      <c r="B1712" s="3"/>
      <c r="C1712" s="3"/>
      <c r="D1712" s="3"/>
      <c r="E1712" s="3"/>
      <c r="F1712" s="2"/>
      <c r="G1712" s="2"/>
      <c r="I1712" s="1"/>
      <c r="J1712" s="1"/>
    </row>
    <row r="1713" spans="1:10" x14ac:dyDescent="0.2">
      <c r="A1713" s="3"/>
      <c r="B1713" s="3"/>
      <c r="C1713" s="3"/>
      <c r="D1713" s="3"/>
      <c r="E1713" s="3"/>
      <c r="F1713" s="2"/>
      <c r="G1713" s="2"/>
      <c r="I1713" s="1"/>
      <c r="J1713" s="1"/>
    </row>
    <row r="1714" spans="1:10" x14ac:dyDescent="0.2">
      <c r="A1714" s="3"/>
      <c r="B1714" s="3"/>
      <c r="C1714" s="3"/>
      <c r="D1714" s="3"/>
      <c r="E1714" s="3"/>
      <c r="F1714" s="2"/>
      <c r="G1714" s="2"/>
      <c r="I1714" s="1"/>
      <c r="J1714" s="1"/>
    </row>
    <row r="1715" spans="1:10" x14ac:dyDescent="0.2">
      <c r="A1715" s="3"/>
      <c r="B1715" s="3"/>
      <c r="C1715" s="3"/>
      <c r="D1715" s="3"/>
      <c r="E1715" s="3"/>
      <c r="F1715" s="2"/>
      <c r="G1715" s="2"/>
      <c r="I1715" s="1"/>
      <c r="J1715" s="1"/>
    </row>
    <row r="1716" spans="1:10" x14ac:dyDescent="0.2">
      <c r="A1716" s="3"/>
      <c r="B1716" s="3"/>
      <c r="C1716" s="3"/>
      <c r="D1716" s="3"/>
      <c r="E1716" s="3"/>
      <c r="F1716" s="2"/>
      <c r="G1716" s="2"/>
      <c r="I1716" s="1"/>
      <c r="J1716" s="1"/>
    </row>
    <row r="1717" spans="1:10" x14ac:dyDescent="0.2">
      <c r="A1717" s="3"/>
      <c r="B1717" s="3"/>
      <c r="C1717" s="3"/>
      <c r="D1717" s="3"/>
      <c r="E1717" s="3"/>
      <c r="F1717" s="2"/>
      <c r="G1717" s="2"/>
      <c r="I1717" s="1"/>
      <c r="J1717" s="1"/>
    </row>
    <row r="1718" spans="1:10" x14ac:dyDescent="0.2">
      <c r="A1718" s="3"/>
      <c r="B1718" s="3"/>
      <c r="C1718" s="3"/>
      <c r="D1718" s="3"/>
      <c r="E1718" s="3"/>
      <c r="F1718" s="2"/>
      <c r="G1718" s="2"/>
      <c r="I1718" s="1"/>
      <c r="J1718" s="1"/>
    </row>
    <row r="1719" spans="1:10" x14ac:dyDescent="0.2">
      <c r="A1719" s="3"/>
      <c r="B1719" s="3"/>
      <c r="C1719" s="3"/>
      <c r="D1719" s="3"/>
      <c r="E1719" s="3"/>
      <c r="F1719" s="2"/>
      <c r="G1719" s="2"/>
      <c r="I1719" s="1"/>
      <c r="J1719" s="1"/>
    </row>
    <row r="1720" spans="1:10" x14ac:dyDescent="0.2">
      <c r="A1720" s="3"/>
      <c r="B1720" s="3"/>
      <c r="C1720" s="3"/>
      <c r="D1720" s="3"/>
      <c r="E1720" s="3"/>
      <c r="F1720" s="2"/>
      <c r="G1720" s="2"/>
      <c r="I1720" s="1"/>
      <c r="J1720" s="1"/>
    </row>
    <row r="1721" spans="1:10" x14ac:dyDescent="0.2">
      <c r="A1721" s="3"/>
      <c r="B1721" s="3"/>
      <c r="C1721" s="3"/>
      <c r="D1721" s="3"/>
      <c r="E1721" s="3"/>
      <c r="F1721" s="2"/>
      <c r="G1721" s="2"/>
      <c r="I1721" s="1"/>
      <c r="J1721" s="1"/>
    </row>
    <row r="1722" spans="1:10" x14ac:dyDescent="0.2">
      <c r="A1722" s="3"/>
      <c r="B1722" s="3"/>
      <c r="C1722" s="3"/>
      <c r="D1722" s="3"/>
      <c r="E1722" s="3"/>
      <c r="F1722" s="2"/>
      <c r="G1722" s="2"/>
      <c r="I1722" s="1"/>
      <c r="J1722" s="1"/>
    </row>
    <row r="1723" spans="1:10" x14ac:dyDescent="0.2">
      <c r="A1723" s="3"/>
      <c r="B1723" s="3"/>
      <c r="C1723" s="3"/>
      <c r="D1723" s="3"/>
      <c r="E1723" s="3"/>
      <c r="F1723" s="2"/>
      <c r="G1723" s="2"/>
      <c r="I1723" s="1"/>
      <c r="J1723" s="1"/>
    </row>
    <row r="1724" spans="1:10" x14ac:dyDescent="0.2">
      <c r="A1724" s="3"/>
      <c r="B1724" s="3"/>
      <c r="C1724" s="3"/>
      <c r="D1724" s="3"/>
      <c r="E1724" s="3"/>
      <c r="F1724" s="2"/>
      <c r="G1724" s="2"/>
      <c r="I1724" s="1"/>
      <c r="J1724" s="1"/>
    </row>
    <row r="1725" spans="1:10" x14ac:dyDescent="0.2">
      <c r="A1725" s="3"/>
      <c r="B1725" s="3"/>
      <c r="C1725" s="3"/>
      <c r="D1725" s="3"/>
      <c r="E1725" s="3"/>
      <c r="F1725" s="2"/>
      <c r="G1725" s="2"/>
      <c r="I1725" s="1"/>
      <c r="J1725" s="1"/>
    </row>
    <row r="1726" spans="1:10" x14ac:dyDescent="0.2">
      <c r="A1726" s="3"/>
      <c r="B1726" s="3"/>
      <c r="C1726" s="3"/>
      <c r="D1726" s="3"/>
      <c r="E1726" s="3"/>
      <c r="F1726" s="2"/>
      <c r="G1726" s="2"/>
      <c r="I1726" s="1"/>
      <c r="J1726" s="1"/>
    </row>
    <row r="1727" spans="1:10" x14ac:dyDescent="0.2">
      <c r="A1727" s="3"/>
      <c r="B1727" s="3"/>
      <c r="C1727" s="3"/>
      <c r="D1727" s="3"/>
      <c r="E1727" s="3"/>
      <c r="F1727" s="2"/>
      <c r="G1727" s="2"/>
      <c r="I1727" s="1"/>
      <c r="J1727" s="1"/>
    </row>
    <row r="1728" spans="1:10" x14ac:dyDescent="0.2">
      <c r="A1728" s="3"/>
      <c r="B1728" s="3"/>
      <c r="C1728" s="3"/>
      <c r="D1728" s="3"/>
      <c r="E1728" s="3"/>
      <c r="F1728" s="2"/>
      <c r="G1728" s="2"/>
      <c r="I1728" s="1"/>
      <c r="J1728" s="1"/>
    </row>
    <row r="1729" spans="1:10" x14ac:dyDescent="0.2">
      <c r="A1729" s="3"/>
      <c r="B1729" s="3"/>
      <c r="C1729" s="3"/>
      <c r="D1729" s="3"/>
      <c r="E1729" s="3"/>
      <c r="F1729" s="2"/>
      <c r="G1729" s="2"/>
      <c r="I1729" s="1"/>
      <c r="J1729" s="1"/>
    </row>
    <row r="1730" spans="1:10" x14ac:dyDescent="0.2">
      <c r="A1730" s="3"/>
      <c r="B1730" s="3"/>
      <c r="C1730" s="3"/>
      <c r="D1730" s="3"/>
      <c r="E1730" s="3"/>
      <c r="F1730" s="2"/>
      <c r="G1730" s="2"/>
      <c r="I1730" s="1"/>
      <c r="J1730" s="1"/>
    </row>
    <row r="1731" spans="1:10" x14ac:dyDescent="0.2">
      <c r="A1731" s="3"/>
      <c r="B1731" s="3"/>
      <c r="C1731" s="3"/>
      <c r="D1731" s="3"/>
      <c r="E1731" s="3"/>
      <c r="F1731" s="2"/>
      <c r="G1731" s="2"/>
      <c r="I1731" s="1"/>
      <c r="J1731" s="1"/>
    </row>
    <row r="1732" spans="1:10" x14ac:dyDescent="0.2">
      <c r="A1732" s="3"/>
      <c r="B1732" s="3"/>
      <c r="C1732" s="3"/>
      <c r="D1732" s="3"/>
      <c r="E1732" s="3"/>
      <c r="F1732" s="2"/>
      <c r="G1732" s="2"/>
      <c r="I1732" s="1"/>
      <c r="J1732" s="1"/>
    </row>
    <row r="1733" spans="1:10" x14ac:dyDescent="0.2">
      <c r="A1733" s="3"/>
      <c r="B1733" s="3"/>
      <c r="C1733" s="3"/>
      <c r="D1733" s="3"/>
      <c r="E1733" s="3"/>
      <c r="F1733" s="2"/>
      <c r="G1733" s="2"/>
      <c r="I1733" s="1"/>
      <c r="J1733" s="1"/>
    </row>
    <row r="1734" spans="1:10" x14ac:dyDescent="0.2">
      <c r="A1734" s="3"/>
      <c r="B1734" s="3"/>
      <c r="C1734" s="3"/>
      <c r="D1734" s="3"/>
      <c r="E1734" s="3"/>
      <c r="F1734" s="2"/>
      <c r="G1734" s="2"/>
      <c r="I1734" s="1"/>
      <c r="J1734" s="1"/>
    </row>
    <row r="1735" spans="1:10" x14ac:dyDescent="0.2">
      <c r="A1735" s="3"/>
      <c r="B1735" s="3"/>
      <c r="C1735" s="3"/>
      <c r="D1735" s="3"/>
      <c r="E1735" s="3"/>
      <c r="F1735" s="2"/>
      <c r="G1735" s="2"/>
      <c r="I1735" s="1"/>
      <c r="J1735" s="1"/>
    </row>
    <row r="1736" spans="1:10" x14ac:dyDescent="0.2">
      <c r="A1736" s="3"/>
      <c r="B1736" s="3"/>
      <c r="C1736" s="3"/>
      <c r="D1736" s="3"/>
      <c r="E1736" s="3"/>
      <c r="F1736" s="2"/>
      <c r="G1736" s="2"/>
      <c r="I1736" s="1"/>
      <c r="J1736" s="1"/>
    </row>
    <row r="1737" spans="1:10" x14ac:dyDescent="0.2">
      <c r="A1737" s="3"/>
      <c r="B1737" s="3"/>
      <c r="C1737" s="3"/>
      <c r="D1737" s="3"/>
      <c r="E1737" s="3"/>
      <c r="F1737" s="2"/>
      <c r="G1737" s="2"/>
      <c r="I1737" s="1"/>
      <c r="J1737" s="1"/>
    </row>
    <row r="1738" spans="1:10" x14ac:dyDescent="0.2">
      <c r="A1738" s="3"/>
      <c r="B1738" s="3"/>
      <c r="C1738" s="3"/>
      <c r="D1738" s="3"/>
      <c r="E1738" s="3"/>
      <c r="F1738" s="2"/>
      <c r="G1738" s="2"/>
      <c r="I1738" s="1"/>
      <c r="J1738" s="1"/>
    </row>
    <row r="1739" spans="1:10" x14ac:dyDescent="0.2">
      <c r="A1739" s="3"/>
      <c r="B1739" s="3"/>
      <c r="C1739" s="3"/>
      <c r="D1739" s="3"/>
      <c r="E1739" s="3"/>
      <c r="F1739" s="2"/>
      <c r="G1739" s="2"/>
      <c r="I1739" s="1"/>
      <c r="J1739" s="1"/>
    </row>
    <row r="1740" spans="1:10" x14ac:dyDescent="0.2">
      <c r="A1740" s="3"/>
      <c r="B1740" s="3"/>
      <c r="C1740" s="3"/>
      <c r="D1740" s="3"/>
      <c r="E1740" s="3"/>
      <c r="F1740" s="2"/>
      <c r="G1740" s="2"/>
      <c r="I1740" s="1"/>
      <c r="J1740" s="1"/>
    </row>
    <row r="1741" spans="1:10" x14ac:dyDescent="0.2">
      <c r="A1741" s="3"/>
      <c r="B1741" s="3"/>
      <c r="C1741" s="3"/>
      <c r="D1741" s="3"/>
      <c r="E1741" s="3"/>
      <c r="F1741" s="2"/>
      <c r="G1741" s="2"/>
      <c r="I1741" s="1"/>
      <c r="J1741" s="1"/>
    </row>
    <row r="1742" spans="1:10" x14ac:dyDescent="0.2">
      <c r="A1742" s="3"/>
      <c r="B1742" s="3"/>
      <c r="C1742" s="3"/>
      <c r="D1742" s="3"/>
      <c r="E1742" s="3"/>
      <c r="F1742" s="2"/>
      <c r="G1742" s="2"/>
      <c r="I1742" s="1"/>
      <c r="J1742" s="1"/>
    </row>
    <row r="1743" spans="1:10" x14ac:dyDescent="0.2">
      <c r="A1743" s="3"/>
      <c r="B1743" s="3"/>
      <c r="C1743" s="3"/>
      <c r="D1743" s="3"/>
      <c r="E1743" s="3"/>
      <c r="F1743" s="2"/>
      <c r="G1743" s="2"/>
      <c r="I1743" s="1"/>
      <c r="J1743" s="1"/>
    </row>
    <row r="1744" spans="1:10" x14ac:dyDescent="0.2">
      <c r="A1744" s="3"/>
      <c r="B1744" s="3"/>
      <c r="C1744" s="3"/>
      <c r="D1744" s="3"/>
      <c r="E1744" s="3"/>
      <c r="F1744" s="2"/>
      <c r="G1744" s="2"/>
      <c r="I1744" s="1"/>
      <c r="J1744" s="1"/>
    </row>
    <row r="1745" spans="1:10" x14ac:dyDescent="0.2">
      <c r="A1745" s="3"/>
      <c r="B1745" s="3"/>
      <c r="C1745" s="3"/>
      <c r="D1745" s="3"/>
      <c r="E1745" s="3"/>
      <c r="F1745" s="2"/>
      <c r="G1745" s="2"/>
      <c r="I1745" s="1"/>
      <c r="J1745" s="1"/>
    </row>
    <row r="1746" spans="1:10" x14ac:dyDescent="0.2">
      <c r="A1746" s="3"/>
      <c r="B1746" s="3"/>
      <c r="C1746" s="3"/>
      <c r="D1746" s="3"/>
      <c r="E1746" s="3"/>
      <c r="F1746" s="2"/>
      <c r="G1746" s="2"/>
      <c r="I1746" s="1"/>
      <c r="J1746" s="1"/>
    </row>
    <row r="1747" spans="1:10" x14ac:dyDescent="0.2">
      <c r="A1747" s="3"/>
      <c r="B1747" s="3"/>
      <c r="C1747" s="3"/>
      <c r="D1747" s="3"/>
      <c r="E1747" s="3"/>
      <c r="F1747" s="2"/>
      <c r="G1747" s="2"/>
      <c r="I1747" s="1"/>
      <c r="J1747" s="1"/>
    </row>
    <row r="1748" spans="1:10" x14ac:dyDescent="0.2">
      <c r="A1748" s="3"/>
      <c r="B1748" s="3"/>
      <c r="C1748" s="3"/>
      <c r="D1748" s="3"/>
      <c r="E1748" s="3"/>
      <c r="F1748" s="2"/>
      <c r="G1748" s="2"/>
      <c r="I1748" s="1"/>
      <c r="J1748" s="1"/>
    </row>
    <row r="1749" spans="1:10" x14ac:dyDescent="0.2">
      <c r="A1749" s="3"/>
      <c r="B1749" s="3"/>
      <c r="C1749" s="3"/>
      <c r="D1749" s="3"/>
      <c r="E1749" s="3"/>
      <c r="F1749" s="2"/>
      <c r="G1749" s="2"/>
      <c r="I1749" s="1"/>
      <c r="J1749" s="1"/>
    </row>
    <row r="1750" spans="1:10" x14ac:dyDescent="0.2">
      <c r="A1750" s="3"/>
      <c r="B1750" s="3"/>
      <c r="C1750" s="3"/>
      <c r="D1750" s="3"/>
      <c r="E1750" s="3"/>
      <c r="F1750" s="2"/>
      <c r="G1750" s="2"/>
      <c r="I1750" s="1"/>
      <c r="J1750" s="1"/>
    </row>
    <row r="1751" spans="1:10" x14ac:dyDescent="0.2">
      <c r="A1751" s="3"/>
      <c r="B1751" s="3"/>
      <c r="C1751" s="3"/>
      <c r="D1751" s="3"/>
      <c r="E1751" s="3"/>
      <c r="F1751" s="2"/>
      <c r="G1751" s="2"/>
      <c r="I1751" s="1"/>
      <c r="J1751" s="1"/>
    </row>
    <row r="1752" spans="1:10" x14ac:dyDescent="0.2">
      <c r="A1752" s="3"/>
      <c r="B1752" s="3"/>
      <c r="C1752" s="3"/>
      <c r="D1752" s="3"/>
      <c r="E1752" s="3"/>
      <c r="F1752" s="2"/>
      <c r="G1752" s="2"/>
      <c r="I1752" s="1"/>
      <c r="J1752" s="1"/>
    </row>
    <row r="1753" spans="1:10" x14ac:dyDescent="0.2">
      <c r="A1753" s="3"/>
      <c r="B1753" s="3"/>
      <c r="C1753" s="3"/>
      <c r="D1753" s="3"/>
      <c r="E1753" s="3"/>
      <c r="F1753" s="2"/>
      <c r="G1753" s="2"/>
      <c r="I1753" s="1"/>
      <c r="J1753" s="1"/>
    </row>
    <row r="1754" spans="1:10" x14ac:dyDescent="0.2">
      <c r="A1754" s="3"/>
      <c r="B1754" s="3"/>
      <c r="C1754" s="3"/>
      <c r="D1754" s="3"/>
      <c r="E1754" s="3"/>
      <c r="F1754" s="2"/>
      <c r="G1754" s="2"/>
      <c r="I1754" s="1"/>
      <c r="J1754" s="1"/>
    </row>
    <row r="1755" spans="1:10" x14ac:dyDescent="0.2">
      <c r="A1755" s="3"/>
      <c r="B1755" s="3"/>
      <c r="C1755" s="3"/>
      <c r="D1755" s="3"/>
      <c r="E1755" s="3"/>
      <c r="F1755" s="2"/>
      <c r="G1755" s="2"/>
      <c r="I1755" s="1"/>
      <c r="J1755" s="1"/>
    </row>
    <row r="1756" spans="1:10" x14ac:dyDescent="0.2">
      <c r="A1756" s="3"/>
      <c r="B1756" s="3"/>
      <c r="C1756" s="3"/>
      <c r="D1756" s="3"/>
      <c r="E1756" s="3"/>
      <c r="F1756" s="2"/>
      <c r="G1756" s="2"/>
      <c r="I1756" s="1"/>
      <c r="J1756" s="1"/>
    </row>
    <row r="1757" spans="1:10" x14ac:dyDescent="0.2">
      <c r="A1757" s="3"/>
      <c r="B1757" s="3"/>
      <c r="C1757" s="3"/>
      <c r="D1757" s="3"/>
      <c r="E1757" s="3"/>
      <c r="F1757" s="2"/>
      <c r="G1757" s="2"/>
      <c r="I1757" s="1"/>
      <c r="J1757" s="1"/>
    </row>
    <row r="1758" spans="1:10" x14ac:dyDescent="0.2">
      <c r="A1758" s="3"/>
      <c r="B1758" s="3"/>
      <c r="C1758" s="3"/>
      <c r="D1758" s="3"/>
      <c r="E1758" s="3"/>
      <c r="F1758" s="2"/>
      <c r="G1758" s="2"/>
      <c r="I1758" s="1"/>
      <c r="J1758" s="1"/>
    </row>
    <row r="1759" spans="1:10" x14ac:dyDescent="0.2">
      <c r="A1759" s="3"/>
      <c r="B1759" s="3"/>
      <c r="C1759" s="3"/>
      <c r="D1759" s="3"/>
      <c r="E1759" s="3"/>
      <c r="F1759" s="2"/>
      <c r="G1759" s="2"/>
      <c r="I1759" s="1"/>
      <c r="J1759" s="1"/>
    </row>
    <row r="1760" spans="1:10" x14ac:dyDescent="0.2">
      <c r="A1760" s="3"/>
      <c r="B1760" s="3"/>
      <c r="C1760" s="3"/>
      <c r="D1760" s="3"/>
      <c r="E1760" s="3"/>
      <c r="F1760" s="2"/>
      <c r="G1760" s="2"/>
      <c r="I1760" s="1"/>
      <c r="J1760" s="1"/>
    </row>
    <row r="1761" spans="1:10" x14ac:dyDescent="0.2">
      <c r="A1761" s="3"/>
      <c r="B1761" s="3"/>
      <c r="C1761" s="3"/>
      <c r="D1761" s="3"/>
      <c r="E1761" s="3"/>
      <c r="F1761" s="2"/>
      <c r="G1761" s="2"/>
      <c r="I1761" s="1"/>
      <c r="J1761" s="1"/>
    </row>
    <row r="1762" spans="1:10" x14ac:dyDescent="0.2">
      <c r="A1762" s="3"/>
      <c r="B1762" s="3"/>
      <c r="C1762" s="3"/>
      <c r="D1762" s="3"/>
      <c r="E1762" s="3"/>
      <c r="F1762" s="2"/>
      <c r="G1762" s="2"/>
      <c r="I1762" s="1"/>
      <c r="J1762" s="1"/>
    </row>
    <row r="1763" spans="1:10" x14ac:dyDescent="0.2">
      <c r="A1763" s="3"/>
      <c r="B1763" s="3"/>
      <c r="C1763" s="3"/>
      <c r="D1763" s="3"/>
      <c r="E1763" s="3"/>
      <c r="F1763" s="2"/>
      <c r="G1763" s="2"/>
      <c r="I1763" s="1"/>
      <c r="J1763" s="1"/>
    </row>
    <row r="1764" spans="1:10" x14ac:dyDescent="0.2">
      <c r="A1764" s="3"/>
      <c r="B1764" s="3"/>
      <c r="C1764" s="3"/>
      <c r="D1764" s="3"/>
      <c r="E1764" s="3"/>
      <c r="F1764" s="2"/>
      <c r="G1764" s="2"/>
      <c r="I1764" s="1"/>
      <c r="J1764" s="1"/>
    </row>
    <row r="1765" spans="1:10" x14ac:dyDescent="0.2">
      <c r="A1765" s="3"/>
      <c r="B1765" s="3"/>
      <c r="C1765" s="3"/>
      <c r="D1765" s="3"/>
      <c r="E1765" s="3"/>
      <c r="F1765" s="2"/>
      <c r="G1765" s="2"/>
      <c r="I1765" s="1"/>
      <c r="J1765" s="1"/>
    </row>
    <row r="1766" spans="1:10" x14ac:dyDescent="0.2">
      <c r="A1766" s="3"/>
      <c r="B1766" s="3"/>
      <c r="C1766" s="3"/>
      <c r="D1766" s="3"/>
      <c r="E1766" s="3"/>
      <c r="F1766" s="2"/>
      <c r="G1766" s="2"/>
      <c r="I1766" s="1"/>
      <c r="J1766" s="1"/>
    </row>
    <row r="1767" spans="1:10" x14ac:dyDescent="0.2">
      <c r="A1767" s="3"/>
      <c r="B1767" s="3"/>
      <c r="C1767" s="3"/>
      <c r="D1767" s="3"/>
      <c r="E1767" s="3"/>
      <c r="F1767" s="2"/>
      <c r="G1767" s="2"/>
      <c r="I1767" s="1"/>
      <c r="J1767" s="1"/>
    </row>
    <row r="1768" spans="1:10" x14ac:dyDescent="0.2">
      <c r="A1768" s="3"/>
      <c r="B1768" s="3"/>
      <c r="C1768" s="3"/>
      <c r="D1768" s="3"/>
      <c r="E1768" s="3"/>
      <c r="F1768" s="2"/>
      <c r="G1768" s="2"/>
      <c r="I1768" s="1"/>
      <c r="J1768" s="1"/>
    </row>
    <row r="1769" spans="1:10" x14ac:dyDescent="0.2">
      <c r="A1769" s="3"/>
      <c r="B1769" s="3"/>
      <c r="C1769" s="3"/>
      <c r="D1769" s="3"/>
      <c r="E1769" s="3"/>
      <c r="F1769" s="2"/>
      <c r="G1769" s="2"/>
      <c r="I1769" s="1"/>
      <c r="J1769" s="1"/>
    </row>
    <row r="1770" spans="1:10" x14ac:dyDescent="0.2">
      <c r="A1770" s="3"/>
      <c r="B1770" s="3"/>
      <c r="C1770" s="3"/>
      <c r="D1770" s="3"/>
      <c r="E1770" s="3"/>
      <c r="F1770" s="2"/>
      <c r="G1770" s="2"/>
      <c r="I1770" s="1"/>
      <c r="J1770" s="1"/>
    </row>
    <row r="1771" spans="1:10" x14ac:dyDescent="0.2">
      <c r="A1771" s="3"/>
      <c r="B1771" s="3"/>
      <c r="C1771" s="3"/>
      <c r="D1771" s="3"/>
      <c r="E1771" s="3"/>
      <c r="F1771" s="2"/>
      <c r="G1771" s="2"/>
      <c r="I1771" s="1"/>
      <c r="J1771" s="1"/>
    </row>
    <row r="1772" spans="1:10" x14ac:dyDescent="0.2">
      <c r="A1772" s="3"/>
      <c r="B1772" s="3"/>
      <c r="C1772" s="3"/>
      <c r="D1772" s="3"/>
      <c r="E1772" s="3"/>
      <c r="F1772" s="2"/>
      <c r="G1772" s="2"/>
      <c r="I1772" s="1"/>
      <c r="J1772" s="1"/>
    </row>
    <row r="1773" spans="1:10" x14ac:dyDescent="0.2">
      <c r="A1773" s="3"/>
      <c r="B1773" s="3"/>
      <c r="C1773" s="3"/>
      <c r="D1773" s="3"/>
      <c r="E1773" s="3"/>
      <c r="F1773" s="2"/>
      <c r="G1773" s="2"/>
      <c r="I1773" s="1"/>
      <c r="J1773" s="1"/>
    </row>
    <row r="1774" spans="1:10" x14ac:dyDescent="0.2">
      <c r="A1774" s="3"/>
      <c r="B1774" s="3"/>
      <c r="C1774" s="3"/>
      <c r="D1774" s="3"/>
      <c r="E1774" s="3"/>
      <c r="F1774" s="2"/>
      <c r="G1774" s="2"/>
      <c r="I1774" s="1"/>
      <c r="J1774" s="1"/>
    </row>
    <row r="1775" spans="1:10" x14ac:dyDescent="0.2">
      <c r="A1775" s="3"/>
      <c r="B1775" s="3"/>
      <c r="C1775" s="3"/>
      <c r="D1775" s="3"/>
      <c r="E1775" s="3"/>
      <c r="F1775" s="2"/>
      <c r="G1775" s="2"/>
      <c r="I1775" s="1"/>
      <c r="J1775" s="1"/>
    </row>
    <row r="1776" spans="1:10" x14ac:dyDescent="0.2">
      <c r="A1776" s="3"/>
      <c r="B1776" s="3"/>
      <c r="C1776" s="3"/>
      <c r="D1776" s="3"/>
      <c r="E1776" s="3"/>
      <c r="F1776" s="2"/>
      <c r="G1776" s="2"/>
      <c r="I1776" s="1"/>
      <c r="J1776" s="1"/>
    </row>
    <row r="1777" spans="1:10" x14ac:dyDescent="0.2">
      <c r="A1777" s="3"/>
      <c r="B1777" s="3"/>
      <c r="C1777" s="3"/>
      <c r="D1777" s="3"/>
      <c r="E1777" s="3"/>
      <c r="F1777" s="2"/>
      <c r="G1777" s="2"/>
      <c r="I1777" s="1"/>
      <c r="J1777" s="1"/>
    </row>
    <row r="1778" spans="1:10" x14ac:dyDescent="0.2">
      <c r="A1778" s="3"/>
      <c r="B1778" s="3"/>
      <c r="C1778" s="3"/>
      <c r="D1778" s="3"/>
      <c r="E1778" s="3"/>
      <c r="F1778" s="2"/>
      <c r="G1778" s="2"/>
      <c r="I1778" s="1"/>
      <c r="J1778" s="1"/>
    </row>
    <row r="1779" spans="1:10" x14ac:dyDescent="0.2">
      <c r="A1779" s="3"/>
      <c r="B1779" s="3"/>
      <c r="C1779" s="3"/>
      <c r="D1779" s="3"/>
      <c r="E1779" s="3"/>
      <c r="F1779" s="2"/>
      <c r="G1779" s="2"/>
      <c r="I1779" s="1"/>
      <c r="J1779" s="1"/>
    </row>
    <row r="1780" spans="1:10" x14ac:dyDescent="0.2">
      <c r="A1780" s="3"/>
      <c r="B1780" s="3"/>
      <c r="C1780" s="3"/>
      <c r="D1780" s="3"/>
      <c r="E1780" s="3"/>
      <c r="F1780" s="2"/>
      <c r="G1780" s="2"/>
      <c r="I1780" s="1"/>
      <c r="J1780" s="1"/>
    </row>
    <row r="1781" spans="1:10" x14ac:dyDescent="0.2">
      <c r="A1781" s="3"/>
      <c r="B1781" s="3"/>
      <c r="C1781" s="3"/>
      <c r="D1781" s="3"/>
      <c r="E1781" s="3"/>
      <c r="F1781" s="2"/>
      <c r="G1781" s="2"/>
      <c r="I1781" s="1"/>
      <c r="J1781" s="1"/>
    </row>
    <row r="1782" spans="1:10" x14ac:dyDescent="0.2">
      <c r="A1782" s="3"/>
      <c r="B1782" s="3"/>
      <c r="C1782" s="3"/>
      <c r="D1782" s="3"/>
      <c r="E1782" s="3"/>
      <c r="F1782" s="2"/>
      <c r="G1782" s="2"/>
      <c r="I1782" s="1"/>
      <c r="J1782" s="1"/>
    </row>
    <row r="1783" spans="1:10" x14ac:dyDescent="0.2">
      <c r="A1783" s="3"/>
      <c r="B1783" s="3"/>
      <c r="C1783" s="3"/>
      <c r="D1783" s="3"/>
      <c r="E1783" s="3"/>
      <c r="F1783" s="2"/>
      <c r="G1783" s="2"/>
      <c r="I1783" s="1"/>
      <c r="J1783" s="1"/>
    </row>
    <row r="1784" spans="1:10" x14ac:dyDescent="0.2">
      <c r="A1784" s="3"/>
      <c r="B1784" s="3"/>
      <c r="C1784" s="3"/>
      <c r="D1784" s="3"/>
      <c r="E1784" s="3"/>
      <c r="F1784" s="2"/>
      <c r="G1784" s="2"/>
      <c r="I1784" s="1"/>
      <c r="J1784" s="1"/>
    </row>
    <row r="1785" spans="1:10" x14ac:dyDescent="0.2">
      <c r="A1785" s="3"/>
      <c r="B1785" s="3"/>
      <c r="C1785" s="3"/>
      <c r="D1785" s="3"/>
      <c r="E1785" s="3"/>
      <c r="F1785" s="2"/>
      <c r="G1785" s="2"/>
      <c r="I1785" s="1"/>
      <c r="J1785" s="1"/>
    </row>
    <row r="1786" spans="1:10" x14ac:dyDescent="0.2">
      <c r="A1786" s="3"/>
      <c r="B1786" s="3"/>
      <c r="C1786" s="3"/>
      <c r="D1786" s="3"/>
      <c r="E1786" s="3"/>
      <c r="F1786" s="2"/>
      <c r="G1786" s="2"/>
      <c r="I1786" s="1"/>
      <c r="J1786" s="1"/>
    </row>
    <row r="1787" spans="1:10" x14ac:dyDescent="0.2">
      <c r="A1787" s="3"/>
      <c r="B1787" s="3"/>
      <c r="C1787" s="3"/>
      <c r="D1787" s="3"/>
      <c r="E1787" s="3"/>
      <c r="F1787" s="2"/>
      <c r="G1787" s="2"/>
      <c r="I1787" s="1"/>
      <c r="J1787" s="1"/>
    </row>
    <row r="1788" spans="1:10" x14ac:dyDescent="0.2">
      <c r="A1788" s="3"/>
      <c r="B1788" s="3"/>
      <c r="C1788" s="3"/>
      <c r="D1788" s="3"/>
      <c r="E1788" s="3"/>
      <c r="F1788" s="2"/>
      <c r="G1788" s="2"/>
      <c r="I1788" s="1"/>
      <c r="J1788" s="1"/>
    </row>
    <row r="1789" spans="1:10" x14ac:dyDescent="0.2">
      <c r="A1789" s="3"/>
      <c r="B1789" s="3"/>
      <c r="C1789" s="3"/>
      <c r="D1789" s="3"/>
      <c r="E1789" s="3"/>
      <c r="F1789" s="2"/>
      <c r="G1789" s="2"/>
      <c r="I1789" s="1"/>
      <c r="J1789" s="1"/>
    </row>
    <row r="1790" spans="1:10" x14ac:dyDescent="0.2">
      <c r="A1790" s="3"/>
      <c r="B1790" s="3"/>
      <c r="C1790" s="3"/>
      <c r="D1790" s="3"/>
      <c r="E1790" s="3"/>
      <c r="F1790" s="2"/>
      <c r="G1790" s="2"/>
      <c r="I1790" s="1"/>
      <c r="J1790" s="1"/>
    </row>
    <row r="1791" spans="1:10" x14ac:dyDescent="0.2">
      <c r="A1791" s="3"/>
      <c r="B1791" s="3"/>
      <c r="C1791" s="3"/>
      <c r="D1791" s="3"/>
      <c r="E1791" s="3"/>
      <c r="F1791" s="2"/>
      <c r="G1791" s="2"/>
      <c r="I1791" s="1"/>
      <c r="J1791" s="1"/>
    </row>
    <row r="1792" spans="1:10" x14ac:dyDescent="0.2">
      <c r="A1792" s="3"/>
      <c r="B1792" s="3"/>
      <c r="C1792" s="3"/>
      <c r="D1792" s="3"/>
      <c r="E1792" s="3"/>
      <c r="F1792" s="2"/>
      <c r="G1792" s="2"/>
      <c r="I1792" s="1"/>
      <c r="J1792" s="1"/>
    </row>
    <row r="1793" spans="1:10" x14ac:dyDescent="0.2">
      <c r="A1793" s="3"/>
      <c r="B1793" s="3"/>
      <c r="C1793" s="3"/>
      <c r="D1793" s="3"/>
      <c r="E1793" s="3"/>
      <c r="F1793" s="2"/>
      <c r="G1793" s="2"/>
      <c r="I1793" s="1"/>
      <c r="J1793" s="1"/>
    </row>
    <row r="1794" spans="1:10" x14ac:dyDescent="0.2">
      <c r="A1794" s="3"/>
      <c r="B1794" s="3"/>
      <c r="C1794" s="3"/>
      <c r="D1794" s="3"/>
      <c r="E1794" s="3"/>
      <c r="F1794" s="2"/>
      <c r="G1794" s="2"/>
      <c r="I1794" s="1"/>
      <c r="J1794" s="1"/>
    </row>
    <row r="1795" spans="1:10" x14ac:dyDescent="0.2">
      <c r="A1795" s="3"/>
      <c r="B1795" s="3"/>
      <c r="C1795" s="3"/>
      <c r="D1795" s="3"/>
      <c r="E1795" s="3"/>
      <c r="F1795" s="2"/>
      <c r="G1795" s="2"/>
      <c r="I1795" s="1"/>
      <c r="J1795" s="1"/>
    </row>
    <row r="1796" spans="1:10" x14ac:dyDescent="0.2">
      <c r="A1796" s="3"/>
      <c r="B1796" s="3"/>
      <c r="C1796" s="3"/>
      <c r="D1796" s="3"/>
      <c r="E1796" s="3"/>
      <c r="F1796" s="2"/>
      <c r="G1796" s="2"/>
      <c r="I1796" s="1"/>
      <c r="J1796" s="1"/>
    </row>
    <row r="1797" spans="1:10" x14ac:dyDescent="0.2">
      <c r="A1797" s="3"/>
      <c r="B1797" s="3"/>
      <c r="C1797" s="3"/>
      <c r="D1797" s="3"/>
      <c r="E1797" s="3"/>
      <c r="F1797" s="2"/>
      <c r="G1797" s="2"/>
      <c r="I1797" s="1"/>
      <c r="J1797" s="1"/>
    </row>
    <row r="1798" spans="1:10" x14ac:dyDescent="0.2">
      <c r="A1798" s="3"/>
      <c r="B1798" s="3"/>
      <c r="C1798" s="3"/>
      <c r="D1798" s="3"/>
      <c r="E1798" s="3"/>
      <c r="F1798" s="2"/>
      <c r="G1798" s="2"/>
      <c r="I1798" s="1"/>
      <c r="J1798" s="1"/>
    </row>
    <row r="1799" spans="1:10" x14ac:dyDescent="0.2">
      <c r="A1799" s="3"/>
      <c r="B1799" s="3"/>
      <c r="C1799" s="3"/>
      <c r="D1799" s="3"/>
      <c r="E1799" s="3"/>
      <c r="F1799" s="2"/>
      <c r="G1799" s="2"/>
      <c r="I1799" s="1"/>
      <c r="J1799" s="1"/>
    </row>
    <row r="1800" spans="1:10" x14ac:dyDescent="0.2">
      <c r="A1800" s="3"/>
      <c r="B1800" s="3"/>
      <c r="C1800" s="3"/>
      <c r="D1800" s="3"/>
      <c r="E1800" s="3"/>
      <c r="F1800" s="2"/>
      <c r="G1800" s="2"/>
      <c r="I1800" s="1"/>
      <c r="J1800" s="1"/>
    </row>
    <row r="1801" spans="1:10" x14ac:dyDescent="0.2">
      <c r="A1801" s="3"/>
      <c r="B1801" s="3"/>
      <c r="C1801" s="3"/>
      <c r="D1801" s="3"/>
      <c r="E1801" s="3"/>
      <c r="F1801" s="2"/>
      <c r="G1801" s="2"/>
      <c r="I1801" s="1"/>
      <c r="J1801" s="1"/>
    </row>
    <row r="1802" spans="1:10" x14ac:dyDescent="0.2">
      <c r="A1802" s="3"/>
      <c r="B1802" s="3"/>
      <c r="C1802" s="3"/>
      <c r="D1802" s="3"/>
      <c r="E1802" s="3"/>
      <c r="F1802" s="2"/>
      <c r="G1802" s="2"/>
      <c r="I1802" s="1"/>
      <c r="J1802" s="1"/>
    </row>
    <row r="1803" spans="1:10" x14ac:dyDescent="0.2">
      <c r="A1803" s="3"/>
      <c r="B1803" s="3"/>
      <c r="C1803" s="3"/>
      <c r="D1803" s="3"/>
      <c r="E1803" s="3"/>
      <c r="F1803" s="2"/>
      <c r="G1803" s="2"/>
      <c r="I1803" s="1"/>
      <c r="J1803" s="1"/>
    </row>
    <row r="1804" spans="1:10" x14ac:dyDescent="0.2">
      <c r="A1804" s="3"/>
      <c r="B1804" s="3"/>
      <c r="C1804" s="3"/>
      <c r="D1804" s="3"/>
      <c r="E1804" s="3"/>
      <c r="F1804" s="2"/>
      <c r="G1804" s="2"/>
      <c r="I1804" s="1"/>
      <c r="J1804" s="1"/>
    </row>
    <row r="1805" spans="1:10" x14ac:dyDescent="0.2">
      <c r="A1805" s="3"/>
      <c r="B1805" s="3"/>
      <c r="C1805" s="3"/>
      <c r="D1805" s="3"/>
      <c r="E1805" s="3"/>
      <c r="F1805" s="2"/>
      <c r="G1805" s="2"/>
      <c r="I1805" s="1"/>
      <c r="J1805" s="1"/>
    </row>
    <row r="1806" spans="1:10" x14ac:dyDescent="0.2">
      <c r="A1806" s="3"/>
      <c r="B1806" s="3"/>
      <c r="C1806" s="3"/>
      <c r="D1806" s="3"/>
      <c r="E1806" s="3"/>
      <c r="F1806" s="2"/>
      <c r="G1806" s="2"/>
      <c r="I1806" s="1"/>
      <c r="J1806" s="1"/>
    </row>
    <row r="1807" spans="1:10" x14ac:dyDescent="0.2">
      <c r="A1807" s="3"/>
      <c r="B1807" s="3"/>
      <c r="C1807" s="3"/>
      <c r="D1807" s="3"/>
      <c r="E1807" s="3"/>
      <c r="F1807" s="2"/>
      <c r="G1807" s="2"/>
      <c r="I1807" s="1"/>
      <c r="J1807" s="1"/>
    </row>
    <row r="1808" spans="1:10" x14ac:dyDescent="0.2">
      <c r="A1808" s="3"/>
      <c r="B1808" s="3"/>
      <c r="C1808" s="3"/>
      <c r="D1808" s="3"/>
      <c r="E1808" s="3"/>
      <c r="F1808" s="2"/>
      <c r="G1808" s="2"/>
      <c r="I1808" s="1"/>
      <c r="J1808" s="1"/>
    </row>
    <row r="1809" spans="1:10" x14ac:dyDescent="0.2">
      <c r="A1809" s="3"/>
      <c r="B1809" s="3"/>
      <c r="C1809" s="3"/>
      <c r="D1809" s="3"/>
      <c r="E1809" s="3"/>
      <c r="F1809" s="2"/>
      <c r="G1809" s="2"/>
      <c r="I1809" s="1"/>
      <c r="J1809" s="1"/>
    </row>
    <row r="1810" spans="1:10" x14ac:dyDescent="0.2">
      <c r="A1810" s="3"/>
      <c r="B1810" s="3"/>
      <c r="C1810" s="3"/>
      <c r="D1810" s="3"/>
      <c r="E1810" s="3"/>
      <c r="F1810" s="2"/>
      <c r="G1810" s="2"/>
      <c r="I1810" s="1"/>
      <c r="J1810" s="1"/>
    </row>
    <row r="1811" spans="1:10" x14ac:dyDescent="0.2">
      <c r="A1811" s="3"/>
      <c r="B1811" s="3"/>
      <c r="C1811" s="3"/>
      <c r="D1811" s="3"/>
      <c r="E1811" s="3"/>
      <c r="F1811" s="2"/>
      <c r="G1811" s="2"/>
      <c r="I1811" s="1"/>
      <c r="J1811" s="1"/>
    </row>
    <row r="1812" spans="1:10" x14ac:dyDescent="0.2">
      <c r="A1812" s="3"/>
      <c r="B1812" s="3"/>
      <c r="C1812" s="3"/>
      <c r="D1812" s="3"/>
      <c r="E1812" s="3"/>
      <c r="F1812" s="2"/>
      <c r="G1812" s="2"/>
      <c r="I1812" s="1"/>
      <c r="J1812" s="1"/>
    </row>
    <row r="1813" spans="1:10" x14ac:dyDescent="0.2">
      <c r="A1813" s="3"/>
      <c r="B1813" s="3"/>
      <c r="C1813" s="3"/>
      <c r="D1813" s="3"/>
      <c r="E1813" s="3"/>
      <c r="F1813" s="2"/>
      <c r="G1813" s="2"/>
      <c r="I1813" s="1"/>
      <c r="J1813" s="1"/>
    </row>
    <row r="1814" spans="1:10" x14ac:dyDescent="0.2">
      <c r="A1814" s="3"/>
      <c r="B1814" s="3"/>
      <c r="C1814" s="3"/>
      <c r="D1814" s="3"/>
      <c r="E1814" s="3"/>
      <c r="F1814" s="2"/>
      <c r="G1814" s="2"/>
      <c r="I1814" s="1"/>
      <c r="J1814" s="1"/>
    </row>
    <row r="1815" spans="1:10" x14ac:dyDescent="0.2">
      <c r="A1815" s="3"/>
      <c r="B1815" s="3"/>
      <c r="C1815" s="3"/>
      <c r="D1815" s="3"/>
      <c r="E1815" s="3"/>
      <c r="F1815" s="2"/>
      <c r="G1815" s="2"/>
      <c r="I1815" s="1"/>
      <c r="J1815" s="1"/>
    </row>
    <row r="1816" spans="1:10" x14ac:dyDescent="0.2">
      <c r="A1816" s="3"/>
      <c r="B1816" s="3"/>
      <c r="C1816" s="3"/>
      <c r="D1816" s="3"/>
      <c r="E1816" s="3"/>
      <c r="F1816" s="2"/>
      <c r="G1816" s="2"/>
      <c r="I1816" s="1"/>
      <c r="J1816" s="1"/>
    </row>
    <row r="1817" spans="1:10" x14ac:dyDescent="0.2">
      <c r="A1817" s="3"/>
      <c r="B1817" s="3"/>
      <c r="C1817" s="3"/>
      <c r="D1817" s="3"/>
      <c r="E1817" s="3"/>
      <c r="F1817" s="2"/>
      <c r="G1817" s="2"/>
      <c r="I1817" s="1"/>
      <c r="J1817" s="1"/>
    </row>
    <row r="1818" spans="1:10" x14ac:dyDescent="0.2">
      <c r="A1818" s="3"/>
      <c r="B1818" s="3"/>
      <c r="C1818" s="3"/>
      <c r="D1818" s="3"/>
      <c r="E1818" s="3"/>
      <c r="F1818" s="2"/>
      <c r="G1818" s="2"/>
      <c r="I1818" s="1"/>
      <c r="J1818" s="1"/>
    </row>
    <row r="1819" spans="1:10" x14ac:dyDescent="0.2">
      <c r="A1819" s="3"/>
      <c r="B1819" s="3"/>
      <c r="C1819" s="3"/>
      <c r="D1819" s="3"/>
      <c r="E1819" s="3"/>
      <c r="F1819" s="2"/>
      <c r="G1819" s="2"/>
      <c r="I1819" s="1"/>
      <c r="J1819" s="1"/>
    </row>
    <row r="1820" spans="1:10" x14ac:dyDescent="0.2">
      <c r="A1820" s="3"/>
      <c r="B1820" s="3"/>
      <c r="C1820" s="3"/>
      <c r="D1820" s="3"/>
      <c r="E1820" s="3"/>
      <c r="F1820" s="2"/>
      <c r="G1820" s="2"/>
      <c r="I1820" s="1"/>
      <c r="J1820" s="1"/>
    </row>
    <row r="1821" spans="1:10" x14ac:dyDescent="0.2">
      <c r="A1821" s="3"/>
      <c r="B1821" s="3"/>
      <c r="C1821" s="3"/>
      <c r="D1821" s="3"/>
      <c r="E1821" s="3"/>
      <c r="F1821" s="2"/>
      <c r="G1821" s="2"/>
      <c r="I1821" s="1"/>
      <c r="J1821" s="1"/>
    </row>
    <row r="1822" spans="1:10" x14ac:dyDescent="0.2">
      <c r="A1822" s="3"/>
      <c r="B1822" s="3"/>
      <c r="C1822" s="3"/>
      <c r="D1822" s="3"/>
      <c r="E1822" s="3"/>
      <c r="F1822" s="2"/>
      <c r="G1822" s="2"/>
      <c r="I1822" s="1"/>
      <c r="J1822" s="1"/>
    </row>
    <row r="1823" spans="1:10" x14ac:dyDescent="0.2">
      <c r="A1823" s="3"/>
      <c r="B1823" s="3"/>
      <c r="C1823" s="3"/>
      <c r="D1823" s="3"/>
      <c r="E1823" s="3"/>
      <c r="F1823" s="2"/>
      <c r="G1823" s="2"/>
      <c r="I1823" s="1"/>
      <c r="J1823" s="1"/>
    </row>
    <row r="1824" spans="1:10" x14ac:dyDescent="0.2">
      <c r="A1824" s="3"/>
      <c r="B1824" s="3"/>
      <c r="C1824" s="3"/>
      <c r="D1824" s="3"/>
      <c r="E1824" s="3"/>
      <c r="F1824" s="2"/>
      <c r="G1824" s="2"/>
      <c r="I1824" s="1"/>
      <c r="J1824" s="1"/>
    </row>
    <row r="1825" spans="1:10" x14ac:dyDescent="0.2">
      <c r="A1825" s="3"/>
      <c r="B1825" s="3"/>
      <c r="C1825" s="3"/>
      <c r="D1825" s="3"/>
      <c r="E1825" s="3"/>
      <c r="F1825" s="2"/>
      <c r="G1825" s="2"/>
      <c r="I1825" s="1"/>
      <c r="J1825" s="1"/>
    </row>
    <row r="1826" spans="1:10" x14ac:dyDescent="0.2">
      <c r="A1826" s="3"/>
      <c r="B1826" s="3"/>
      <c r="C1826" s="3"/>
      <c r="D1826" s="3"/>
      <c r="E1826" s="3"/>
      <c r="F1826" s="2"/>
      <c r="G1826" s="2"/>
      <c r="I1826" s="1"/>
      <c r="J1826" s="1"/>
    </row>
    <row r="1827" spans="1:10" x14ac:dyDescent="0.2">
      <c r="A1827" s="3"/>
      <c r="B1827" s="3"/>
      <c r="C1827" s="3"/>
      <c r="D1827" s="3"/>
      <c r="E1827" s="3"/>
      <c r="F1827" s="2"/>
      <c r="G1827" s="2"/>
      <c r="I1827" s="1"/>
      <c r="J1827" s="1"/>
    </row>
    <row r="1828" spans="1:10" x14ac:dyDescent="0.2">
      <c r="A1828" s="3"/>
      <c r="B1828" s="3"/>
      <c r="C1828" s="3"/>
      <c r="D1828" s="3"/>
      <c r="E1828" s="3"/>
      <c r="F1828" s="2"/>
      <c r="G1828" s="2"/>
      <c r="I1828" s="1"/>
      <c r="J1828" s="1"/>
    </row>
    <row r="1829" spans="1:10" x14ac:dyDescent="0.2">
      <c r="A1829" s="3"/>
      <c r="B1829" s="3"/>
      <c r="C1829" s="3"/>
      <c r="D1829" s="3"/>
      <c r="E1829" s="3"/>
      <c r="F1829" s="2"/>
      <c r="G1829" s="2"/>
      <c r="I1829" s="1"/>
      <c r="J1829" s="1"/>
    </row>
    <row r="1830" spans="1:10" x14ac:dyDescent="0.2">
      <c r="A1830" s="3"/>
      <c r="B1830" s="3"/>
      <c r="C1830" s="3"/>
      <c r="D1830" s="3"/>
      <c r="E1830" s="3"/>
      <c r="F1830" s="2"/>
      <c r="G1830" s="2"/>
      <c r="I1830" s="1"/>
      <c r="J1830" s="1"/>
    </row>
    <row r="1831" spans="1:10" x14ac:dyDescent="0.2">
      <c r="A1831" s="3"/>
      <c r="B1831" s="3"/>
      <c r="C1831" s="3"/>
      <c r="D1831" s="3"/>
      <c r="E1831" s="3"/>
      <c r="F1831" s="2"/>
      <c r="G1831" s="2"/>
      <c r="I1831" s="1"/>
      <c r="J1831" s="1"/>
    </row>
    <row r="1832" spans="1:10" x14ac:dyDescent="0.2">
      <c r="A1832" s="3"/>
      <c r="B1832" s="3"/>
      <c r="C1832" s="3"/>
      <c r="D1832" s="3"/>
      <c r="E1832" s="3"/>
      <c r="F1832" s="2"/>
      <c r="G1832" s="2"/>
      <c r="I1832" s="1"/>
      <c r="J1832" s="1"/>
    </row>
    <row r="1833" spans="1:10" x14ac:dyDescent="0.2">
      <c r="A1833" s="3"/>
      <c r="B1833" s="3"/>
      <c r="C1833" s="3"/>
      <c r="D1833" s="3"/>
      <c r="E1833" s="3"/>
      <c r="F1833" s="2"/>
      <c r="G1833" s="2"/>
      <c r="I1833" s="1"/>
      <c r="J1833" s="1"/>
    </row>
    <row r="1834" spans="1:10" x14ac:dyDescent="0.2">
      <c r="A1834" s="3"/>
      <c r="B1834" s="3"/>
      <c r="C1834" s="3"/>
      <c r="D1834" s="3"/>
      <c r="E1834" s="3"/>
      <c r="F1834" s="2"/>
      <c r="G1834" s="2"/>
      <c r="I1834" s="1"/>
      <c r="J1834" s="1"/>
    </row>
    <row r="1835" spans="1:10" x14ac:dyDescent="0.2">
      <c r="A1835" s="3"/>
      <c r="B1835" s="3"/>
      <c r="C1835" s="3"/>
      <c r="D1835" s="3"/>
      <c r="E1835" s="3"/>
      <c r="F1835" s="2"/>
      <c r="G1835" s="2"/>
      <c r="I1835" s="1"/>
      <c r="J1835" s="1"/>
    </row>
    <row r="1836" spans="1:10" x14ac:dyDescent="0.2">
      <c r="A1836" s="3"/>
      <c r="B1836" s="3"/>
      <c r="C1836" s="3"/>
      <c r="D1836" s="3"/>
      <c r="E1836" s="3"/>
      <c r="F1836" s="2"/>
      <c r="G1836" s="2"/>
      <c r="I1836" s="1"/>
      <c r="J1836" s="1"/>
    </row>
    <row r="1837" spans="1:10" x14ac:dyDescent="0.2">
      <c r="A1837" s="3"/>
      <c r="B1837" s="3"/>
      <c r="C1837" s="3"/>
      <c r="D1837" s="3"/>
      <c r="E1837" s="3"/>
      <c r="F1837" s="2"/>
      <c r="G1837" s="2"/>
      <c r="I1837" s="1"/>
      <c r="J1837" s="1"/>
    </row>
    <row r="1838" spans="1:10" x14ac:dyDescent="0.2">
      <c r="A1838" s="3"/>
      <c r="B1838" s="3"/>
      <c r="C1838" s="3"/>
      <c r="D1838" s="3"/>
      <c r="E1838" s="3"/>
      <c r="F1838" s="2"/>
      <c r="G1838" s="2"/>
      <c r="I1838" s="1"/>
      <c r="J1838" s="1"/>
    </row>
    <row r="1839" spans="1:10" x14ac:dyDescent="0.2">
      <c r="A1839" s="3"/>
      <c r="B1839" s="3"/>
      <c r="C1839" s="3"/>
      <c r="D1839" s="3"/>
      <c r="E1839" s="3"/>
      <c r="F1839" s="2"/>
      <c r="G1839" s="2"/>
      <c r="I1839" s="1"/>
      <c r="J1839" s="1"/>
    </row>
    <row r="1840" spans="1:10" x14ac:dyDescent="0.2">
      <c r="A1840" s="3"/>
      <c r="B1840" s="3"/>
      <c r="C1840" s="3"/>
      <c r="D1840" s="3"/>
      <c r="E1840" s="3"/>
      <c r="F1840" s="2"/>
      <c r="G1840" s="2"/>
      <c r="I1840" s="1"/>
      <c r="J1840" s="1"/>
    </row>
    <row r="1841" spans="1:10" x14ac:dyDescent="0.2">
      <c r="A1841" s="3"/>
      <c r="B1841" s="3"/>
      <c r="C1841" s="3"/>
      <c r="D1841" s="3"/>
      <c r="E1841" s="3"/>
      <c r="F1841" s="2"/>
      <c r="G1841" s="2"/>
      <c r="I1841" s="1"/>
      <c r="J1841" s="1"/>
    </row>
    <row r="1842" spans="1:10" x14ac:dyDescent="0.2">
      <c r="A1842" s="3"/>
      <c r="B1842" s="3"/>
      <c r="C1842" s="3"/>
      <c r="D1842" s="3"/>
      <c r="E1842" s="3"/>
      <c r="F1842" s="2"/>
      <c r="G1842" s="2"/>
      <c r="I1842" s="1"/>
      <c r="J1842" s="1"/>
    </row>
    <row r="1843" spans="1:10" x14ac:dyDescent="0.2">
      <c r="A1843" s="3"/>
      <c r="B1843" s="3"/>
      <c r="C1843" s="3"/>
      <c r="D1843" s="3"/>
      <c r="E1843" s="3"/>
      <c r="F1843" s="2"/>
      <c r="G1843" s="2"/>
      <c r="I1843" s="1"/>
      <c r="J1843" s="1"/>
    </row>
    <row r="1844" spans="1:10" x14ac:dyDescent="0.2">
      <c r="A1844" s="3"/>
      <c r="B1844" s="3"/>
      <c r="C1844" s="3"/>
      <c r="D1844" s="3"/>
      <c r="E1844" s="3"/>
      <c r="F1844" s="2"/>
      <c r="G1844" s="2"/>
      <c r="I1844" s="1"/>
      <c r="J1844" s="1"/>
    </row>
    <row r="1845" spans="1:10" x14ac:dyDescent="0.2">
      <c r="A1845" s="3"/>
      <c r="B1845" s="3"/>
      <c r="C1845" s="3"/>
      <c r="D1845" s="3"/>
      <c r="E1845" s="3"/>
      <c r="F1845" s="2"/>
      <c r="G1845" s="2"/>
      <c r="I1845" s="1"/>
      <c r="J1845" s="1"/>
    </row>
    <row r="1846" spans="1:10" x14ac:dyDescent="0.2">
      <c r="A1846" s="3"/>
      <c r="B1846" s="3"/>
      <c r="C1846" s="3"/>
      <c r="D1846" s="3"/>
      <c r="E1846" s="3"/>
      <c r="F1846" s="2"/>
      <c r="G1846" s="2"/>
      <c r="I1846" s="1"/>
      <c r="J1846" s="1"/>
    </row>
    <row r="1847" spans="1:10" x14ac:dyDescent="0.2">
      <c r="A1847" s="3"/>
      <c r="B1847" s="3"/>
      <c r="C1847" s="3"/>
      <c r="D1847" s="3"/>
      <c r="E1847" s="3"/>
      <c r="F1847" s="2"/>
      <c r="G1847" s="2"/>
      <c r="I1847" s="1"/>
      <c r="J1847" s="1"/>
    </row>
    <row r="1848" spans="1:10" x14ac:dyDescent="0.2">
      <c r="A1848" s="3"/>
      <c r="B1848" s="3"/>
      <c r="C1848" s="3"/>
      <c r="D1848" s="3"/>
      <c r="E1848" s="3"/>
      <c r="F1848" s="2"/>
      <c r="G1848" s="2"/>
      <c r="I1848" s="1"/>
      <c r="J1848" s="1"/>
    </row>
    <row r="1849" spans="1:10" x14ac:dyDescent="0.2">
      <c r="A1849" s="3"/>
      <c r="B1849" s="3"/>
      <c r="C1849" s="3"/>
      <c r="D1849" s="3"/>
      <c r="E1849" s="3"/>
      <c r="F1849" s="2"/>
      <c r="G1849" s="2"/>
      <c r="I1849" s="1"/>
      <c r="J1849" s="1"/>
    </row>
    <row r="1850" spans="1:10" x14ac:dyDescent="0.2">
      <c r="A1850" s="3"/>
      <c r="B1850" s="3"/>
      <c r="C1850" s="3"/>
      <c r="D1850" s="3"/>
      <c r="E1850" s="3"/>
      <c r="F1850" s="2"/>
      <c r="G1850" s="2"/>
      <c r="I1850" s="1"/>
      <c r="J1850" s="1"/>
    </row>
    <row r="1851" spans="1:10" x14ac:dyDescent="0.2">
      <c r="A1851" s="3"/>
      <c r="B1851" s="3"/>
      <c r="C1851" s="3"/>
      <c r="D1851" s="3"/>
      <c r="E1851" s="3"/>
      <c r="F1851" s="2"/>
      <c r="G1851" s="2"/>
      <c r="I1851" s="1"/>
      <c r="J1851" s="1"/>
    </row>
    <row r="1852" spans="1:10" x14ac:dyDescent="0.2">
      <c r="A1852" s="3"/>
      <c r="B1852" s="3"/>
      <c r="C1852" s="3"/>
      <c r="D1852" s="3"/>
      <c r="E1852" s="3"/>
      <c r="F1852" s="2"/>
      <c r="G1852" s="2"/>
      <c r="I1852" s="1"/>
      <c r="J1852" s="1"/>
    </row>
    <row r="1853" spans="1:10" x14ac:dyDescent="0.2">
      <c r="A1853" s="3"/>
      <c r="B1853" s="3"/>
      <c r="C1853" s="3"/>
      <c r="D1853" s="3"/>
      <c r="E1853" s="3"/>
      <c r="F1853" s="2"/>
      <c r="G1853" s="2"/>
      <c r="I1853" s="1"/>
      <c r="J1853" s="1"/>
    </row>
    <row r="1854" spans="1:10" x14ac:dyDescent="0.2">
      <c r="A1854" s="3"/>
      <c r="B1854" s="3"/>
      <c r="C1854" s="3"/>
      <c r="D1854" s="3"/>
      <c r="E1854" s="3"/>
      <c r="F1854" s="2"/>
      <c r="G1854" s="2"/>
      <c r="I1854" s="1"/>
      <c r="J1854" s="1"/>
    </row>
    <row r="1855" spans="1:10" x14ac:dyDescent="0.2">
      <c r="A1855" s="3"/>
      <c r="B1855" s="3"/>
      <c r="C1855" s="3"/>
      <c r="D1855" s="3"/>
      <c r="E1855" s="3"/>
      <c r="F1855" s="2"/>
      <c r="G1855" s="2"/>
      <c r="I1855" s="1"/>
      <c r="J1855" s="1"/>
    </row>
    <row r="1856" spans="1:10" x14ac:dyDescent="0.2">
      <c r="A1856" s="3"/>
      <c r="B1856" s="3"/>
      <c r="C1856" s="3"/>
      <c r="D1856" s="3"/>
      <c r="E1856" s="3"/>
      <c r="F1856" s="2"/>
      <c r="G1856" s="2"/>
      <c r="I1856" s="1"/>
      <c r="J1856" s="1"/>
    </row>
    <row r="1857" spans="1:10" x14ac:dyDescent="0.2">
      <c r="A1857" s="3"/>
      <c r="B1857" s="3"/>
      <c r="C1857" s="3"/>
      <c r="D1857" s="3"/>
      <c r="E1857" s="3"/>
      <c r="F1857" s="2"/>
      <c r="G1857" s="2"/>
      <c r="I1857" s="1"/>
      <c r="J1857" s="1"/>
    </row>
    <row r="1858" spans="1:10" x14ac:dyDescent="0.2">
      <c r="A1858" s="3"/>
      <c r="B1858" s="3"/>
      <c r="C1858" s="3"/>
      <c r="D1858" s="3"/>
      <c r="E1858" s="3"/>
      <c r="F1858" s="2"/>
      <c r="G1858" s="2"/>
      <c r="I1858" s="1"/>
      <c r="J1858" s="1"/>
    </row>
    <row r="1859" spans="1:10" x14ac:dyDescent="0.2">
      <c r="A1859" s="3"/>
      <c r="B1859" s="3"/>
      <c r="C1859" s="3"/>
      <c r="D1859" s="3"/>
      <c r="E1859" s="3"/>
      <c r="F1859" s="2"/>
      <c r="G1859" s="2"/>
      <c r="I1859" s="1"/>
      <c r="J1859" s="1"/>
    </row>
    <row r="1860" spans="1:10" x14ac:dyDescent="0.2">
      <c r="A1860" s="3"/>
      <c r="B1860" s="3"/>
      <c r="C1860" s="3"/>
      <c r="D1860" s="3"/>
      <c r="E1860" s="3"/>
      <c r="F1860" s="2"/>
      <c r="G1860" s="2"/>
      <c r="I1860" s="1"/>
      <c r="J1860" s="1"/>
    </row>
    <row r="1861" spans="1:10" x14ac:dyDescent="0.2">
      <c r="A1861" s="3"/>
      <c r="B1861" s="3"/>
      <c r="C1861" s="3"/>
      <c r="D1861" s="3"/>
      <c r="E1861" s="3"/>
      <c r="F1861" s="2"/>
      <c r="G1861" s="2"/>
      <c r="I1861" s="1"/>
      <c r="J1861" s="1"/>
    </row>
    <row r="1862" spans="1:10" x14ac:dyDescent="0.2">
      <c r="A1862" s="3"/>
      <c r="B1862" s="3"/>
      <c r="C1862" s="3"/>
      <c r="D1862" s="3"/>
      <c r="E1862" s="3"/>
      <c r="F1862" s="2"/>
      <c r="G1862" s="2"/>
      <c r="I1862" s="1"/>
      <c r="J1862" s="1"/>
    </row>
    <row r="1863" spans="1:10" x14ac:dyDescent="0.2">
      <c r="A1863" s="3"/>
      <c r="B1863" s="3"/>
      <c r="C1863" s="3"/>
      <c r="D1863" s="3"/>
      <c r="E1863" s="3"/>
      <c r="F1863" s="2"/>
      <c r="G1863" s="2"/>
      <c r="I1863" s="1"/>
      <c r="J1863" s="1"/>
    </row>
    <row r="1864" spans="1:10" x14ac:dyDescent="0.2">
      <c r="A1864" s="3"/>
      <c r="B1864" s="3"/>
      <c r="C1864" s="3"/>
      <c r="D1864" s="3"/>
      <c r="E1864" s="3"/>
      <c r="F1864" s="2"/>
      <c r="G1864" s="2"/>
      <c r="I1864" s="1"/>
      <c r="J1864" s="1"/>
    </row>
    <row r="1865" spans="1:10" x14ac:dyDescent="0.2">
      <c r="A1865" s="3"/>
      <c r="B1865" s="3"/>
      <c r="C1865" s="3"/>
      <c r="D1865" s="3"/>
      <c r="E1865" s="3"/>
      <c r="F1865" s="2"/>
      <c r="G1865" s="2"/>
      <c r="I1865" s="1"/>
      <c r="J1865" s="1"/>
    </row>
    <row r="1866" spans="1:10" x14ac:dyDescent="0.2">
      <c r="A1866" s="3"/>
      <c r="B1866" s="3"/>
      <c r="C1866" s="3"/>
      <c r="D1866" s="3"/>
      <c r="E1866" s="3"/>
      <c r="F1866" s="2"/>
      <c r="G1866" s="2"/>
      <c r="I1866" s="1"/>
      <c r="J1866" s="1"/>
    </row>
    <row r="1867" spans="1:10" x14ac:dyDescent="0.2">
      <c r="A1867" s="3"/>
      <c r="B1867" s="3"/>
      <c r="C1867" s="3"/>
      <c r="D1867" s="3"/>
      <c r="E1867" s="3"/>
      <c r="F1867" s="2"/>
      <c r="G1867" s="2"/>
      <c r="I1867" s="1"/>
      <c r="J1867" s="1"/>
    </row>
    <row r="1868" spans="1:10" x14ac:dyDescent="0.2">
      <c r="A1868" s="3"/>
      <c r="B1868" s="3"/>
      <c r="C1868" s="3"/>
      <c r="D1868" s="3"/>
      <c r="E1868" s="3"/>
      <c r="F1868" s="2"/>
      <c r="G1868" s="2"/>
      <c r="I1868" s="1"/>
      <c r="J1868" s="1"/>
    </row>
    <row r="1869" spans="1:10" x14ac:dyDescent="0.2">
      <c r="A1869" s="3"/>
      <c r="B1869" s="3"/>
      <c r="C1869" s="3"/>
      <c r="D1869" s="3"/>
      <c r="E1869" s="3"/>
      <c r="F1869" s="2"/>
      <c r="G1869" s="2"/>
      <c r="I1869" s="1"/>
      <c r="J1869" s="1"/>
    </row>
    <row r="1870" spans="1:10" x14ac:dyDescent="0.2">
      <c r="A1870" s="3"/>
      <c r="B1870" s="3"/>
      <c r="C1870" s="3"/>
      <c r="D1870" s="3"/>
      <c r="E1870" s="3"/>
      <c r="F1870" s="2"/>
      <c r="G1870" s="2"/>
      <c r="I1870" s="1"/>
      <c r="J1870" s="1"/>
    </row>
    <row r="1871" spans="1:10" x14ac:dyDescent="0.2">
      <c r="A1871" s="3"/>
      <c r="B1871" s="3"/>
      <c r="C1871" s="3"/>
      <c r="D1871" s="3"/>
      <c r="E1871" s="3"/>
      <c r="F1871" s="2"/>
      <c r="G1871" s="2"/>
      <c r="I1871" s="1"/>
      <c r="J1871" s="1"/>
    </row>
    <row r="1872" spans="1:10" x14ac:dyDescent="0.2">
      <c r="A1872" s="3"/>
      <c r="B1872" s="3"/>
      <c r="C1872" s="3"/>
      <c r="D1872" s="3"/>
      <c r="E1872" s="3"/>
      <c r="F1872" s="2"/>
      <c r="G1872" s="2"/>
      <c r="I1872" s="1"/>
      <c r="J1872" s="1"/>
    </row>
    <row r="1873" spans="1:10" x14ac:dyDescent="0.2">
      <c r="A1873" s="3"/>
      <c r="B1873" s="3"/>
      <c r="C1873" s="3"/>
      <c r="D1873" s="3"/>
      <c r="E1873" s="3"/>
      <c r="F1873" s="2"/>
      <c r="G1873" s="2"/>
      <c r="I1873" s="1"/>
      <c r="J1873" s="1"/>
    </row>
    <row r="1874" spans="1:10" x14ac:dyDescent="0.2">
      <c r="A1874" s="3"/>
      <c r="B1874" s="3"/>
      <c r="C1874" s="3"/>
      <c r="D1874" s="3"/>
      <c r="E1874" s="3"/>
      <c r="F1874" s="2"/>
      <c r="G1874" s="2"/>
      <c r="I1874" s="1"/>
      <c r="J1874" s="1"/>
    </row>
    <row r="1875" spans="1:10" x14ac:dyDescent="0.2">
      <c r="A1875" s="3"/>
      <c r="B1875" s="3"/>
      <c r="C1875" s="3"/>
      <c r="D1875" s="3"/>
      <c r="E1875" s="3"/>
      <c r="F1875" s="2"/>
      <c r="G1875" s="2"/>
      <c r="I1875" s="1"/>
      <c r="J1875" s="1"/>
    </row>
    <row r="1876" spans="1:10" x14ac:dyDescent="0.2">
      <c r="A1876" s="3"/>
      <c r="B1876" s="3"/>
      <c r="C1876" s="3"/>
      <c r="D1876" s="3"/>
      <c r="E1876" s="3"/>
      <c r="F1876" s="2"/>
      <c r="G1876" s="2"/>
      <c r="I1876" s="1"/>
      <c r="J1876" s="1"/>
    </row>
    <row r="1877" spans="1:10" x14ac:dyDescent="0.2">
      <c r="A1877" s="3"/>
      <c r="B1877" s="3"/>
      <c r="C1877" s="3"/>
      <c r="D1877" s="3"/>
      <c r="E1877" s="3"/>
      <c r="F1877" s="2"/>
      <c r="G1877" s="2"/>
      <c r="I1877" s="1"/>
      <c r="J1877" s="1"/>
    </row>
    <row r="1878" spans="1:10" x14ac:dyDescent="0.2">
      <c r="A1878" s="3"/>
      <c r="B1878" s="3"/>
      <c r="C1878" s="3"/>
      <c r="D1878" s="3"/>
      <c r="E1878" s="3"/>
      <c r="F1878" s="2"/>
      <c r="G1878" s="2"/>
      <c r="I1878" s="1"/>
      <c r="J1878" s="1"/>
    </row>
    <row r="1879" spans="1:10" x14ac:dyDescent="0.2">
      <c r="A1879" s="3"/>
      <c r="B1879" s="3"/>
      <c r="C1879" s="3"/>
      <c r="D1879" s="3"/>
      <c r="E1879" s="3"/>
      <c r="F1879" s="2"/>
      <c r="G1879" s="2"/>
      <c r="I1879" s="1"/>
      <c r="J1879" s="1"/>
    </row>
    <row r="1880" spans="1:10" x14ac:dyDescent="0.2">
      <c r="A1880" s="3"/>
      <c r="B1880" s="3"/>
      <c r="C1880" s="3"/>
      <c r="D1880" s="3"/>
      <c r="E1880" s="3"/>
      <c r="F1880" s="2"/>
      <c r="G1880" s="2"/>
      <c r="I1880" s="1"/>
      <c r="J1880" s="1"/>
    </row>
    <row r="1881" spans="1:10" x14ac:dyDescent="0.2">
      <c r="A1881" s="3"/>
      <c r="B1881" s="3"/>
      <c r="C1881" s="3"/>
      <c r="D1881" s="3"/>
      <c r="E1881" s="3"/>
      <c r="F1881" s="2"/>
      <c r="G1881" s="2"/>
      <c r="I1881" s="1"/>
      <c r="J1881" s="1"/>
    </row>
    <row r="1882" spans="1:10" x14ac:dyDescent="0.2">
      <c r="A1882" s="3"/>
      <c r="B1882" s="3"/>
      <c r="C1882" s="3"/>
      <c r="D1882" s="3"/>
      <c r="E1882" s="3"/>
      <c r="F1882" s="2"/>
      <c r="G1882" s="2"/>
      <c r="I1882" s="1"/>
      <c r="J1882" s="1"/>
    </row>
    <row r="1883" spans="1:10" x14ac:dyDescent="0.2">
      <c r="A1883" s="3"/>
      <c r="B1883" s="3"/>
      <c r="C1883" s="3"/>
      <c r="D1883" s="3"/>
      <c r="E1883" s="3"/>
      <c r="F1883" s="2"/>
      <c r="G1883" s="2"/>
      <c r="I1883" s="1"/>
      <c r="J1883" s="1"/>
    </row>
    <row r="1884" spans="1:10" x14ac:dyDescent="0.2">
      <c r="A1884" s="3"/>
      <c r="B1884" s="3"/>
      <c r="C1884" s="3"/>
      <c r="D1884" s="3"/>
      <c r="E1884" s="3"/>
      <c r="F1884" s="2"/>
      <c r="G1884" s="2"/>
      <c r="I1884" s="1"/>
      <c r="J1884" s="1"/>
    </row>
    <row r="1885" spans="1:10" x14ac:dyDescent="0.2">
      <c r="A1885" s="3"/>
      <c r="B1885" s="3"/>
      <c r="C1885" s="3"/>
      <c r="D1885" s="3"/>
      <c r="E1885" s="3"/>
      <c r="F1885" s="2"/>
      <c r="G1885" s="2"/>
      <c r="I1885" s="1"/>
      <c r="J1885" s="1"/>
    </row>
    <row r="1886" spans="1:10" x14ac:dyDescent="0.2">
      <c r="A1886" s="3"/>
      <c r="B1886" s="3"/>
      <c r="C1886" s="3"/>
      <c r="D1886" s="3"/>
      <c r="E1886" s="3"/>
      <c r="F1886" s="2"/>
      <c r="G1886" s="2"/>
      <c r="I1886" s="1"/>
      <c r="J1886" s="1"/>
    </row>
    <row r="1887" spans="1:10" x14ac:dyDescent="0.2">
      <c r="A1887" s="3"/>
      <c r="B1887" s="3"/>
      <c r="C1887" s="3"/>
      <c r="D1887" s="3"/>
      <c r="E1887" s="3"/>
      <c r="F1887" s="2"/>
      <c r="G1887" s="2"/>
      <c r="I1887" s="1"/>
      <c r="J1887" s="1"/>
    </row>
    <row r="1888" spans="1:10" x14ac:dyDescent="0.2">
      <c r="A1888" s="3"/>
      <c r="B1888" s="3"/>
      <c r="C1888" s="3"/>
      <c r="D1888" s="3"/>
      <c r="E1888" s="3"/>
      <c r="F1888" s="2"/>
      <c r="G1888" s="2"/>
      <c r="I1888" s="1"/>
      <c r="J1888" s="1"/>
    </row>
    <row r="1889" spans="1:10" x14ac:dyDescent="0.2">
      <c r="A1889" s="3"/>
      <c r="B1889" s="3"/>
      <c r="C1889" s="3"/>
      <c r="D1889" s="3"/>
      <c r="E1889" s="3"/>
      <c r="F1889" s="2"/>
      <c r="G1889" s="2"/>
      <c r="I1889" s="1"/>
      <c r="J1889" s="1"/>
    </row>
    <row r="1890" spans="1:10" x14ac:dyDescent="0.2">
      <c r="A1890" s="3"/>
      <c r="B1890" s="3"/>
      <c r="C1890" s="3"/>
      <c r="D1890" s="3"/>
      <c r="E1890" s="3"/>
      <c r="F1890" s="2"/>
      <c r="G1890" s="2"/>
      <c r="I1890" s="1"/>
      <c r="J1890" s="1"/>
    </row>
    <row r="1891" spans="1:10" x14ac:dyDescent="0.2">
      <c r="A1891" s="3"/>
      <c r="B1891" s="3"/>
      <c r="C1891" s="3"/>
      <c r="D1891" s="3"/>
      <c r="E1891" s="3"/>
      <c r="F1891" s="2"/>
      <c r="G1891" s="2"/>
      <c r="I1891" s="1"/>
      <c r="J1891" s="1"/>
    </row>
    <row r="1892" spans="1:10" x14ac:dyDescent="0.2">
      <c r="A1892" s="3"/>
      <c r="B1892" s="3"/>
      <c r="C1892" s="3"/>
      <c r="D1892" s="3"/>
      <c r="E1892" s="3"/>
      <c r="F1892" s="2"/>
      <c r="G1892" s="2"/>
      <c r="I1892" s="1"/>
      <c r="J1892" s="1"/>
    </row>
    <row r="1893" spans="1:10" x14ac:dyDescent="0.2">
      <c r="A1893" s="3"/>
      <c r="B1893" s="3"/>
      <c r="C1893" s="3"/>
      <c r="D1893" s="3"/>
      <c r="E1893" s="3"/>
      <c r="F1893" s="2"/>
      <c r="G1893" s="2"/>
      <c r="I1893" s="1"/>
      <c r="J1893" s="1"/>
    </row>
    <row r="1894" spans="1:10" x14ac:dyDescent="0.2">
      <c r="A1894" s="3"/>
      <c r="B1894" s="3"/>
      <c r="C1894" s="3"/>
      <c r="D1894" s="3"/>
      <c r="E1894" s="3"/>
      <c r="F1894" s="2"/>
      <c r="G1894" s="2"/>
      <c r="I1894" s="1"/>
      <c r="J1894" s="1"/>
    </row>
    <row r="1895" spans="1:10" x14ac:dyDescent="0.2">
      <c r="A1895" s="3"/>
      <c r="B1895" s="3"/>
      <c r="C1895" s="3"/>
      <c r="D1895" s="3"/>
      <c r="E1895" s="3"/>
      <c r="F1895" s="2"/>
      <c r="G1895" s="2"/>
      <c r="I1895" s="1"/>
      <c r="J1895" s="1"/>
    </row>
    <row r="1896" spans="1:10" x14ac:dyDescent="0.2">
      <c r="A1896" s="3"/>
      <c r="B1896" s="3"/>
      <c r="C1896" s="3"/>
      <c r="D1896" s="3"/>
      <c r="E1896" s="3"/>
      <c r="F1896" s="2"/>
      <c r="G1896" s="2"/>
      <c r="I1896" s="1"/>
      <c r="J1896" s="1"/>
    </row>
    <row r="1897" spans="1:10" x14ac:dyDescent="0.2">
      <c r="A1897" s="3"/>
      <c r="B1897" s="3"/>
      <c r="C1897" s="3"/>
      <c r="D1897" s="3"/>
      <c r="E1897" s="3"/>
      <c r="F1897" s="2"/>
      <c r="G1897" s="2"/>
      <c r="I1897" s="1"/>
      <c r="J1897" s="1"/>
    </row>
    <row r="1898" spans="1:10" x14ac:dyDescent="0.2">
      <c r="A1898" s="3"/>
      <c r="B1898" s="3"/>
      <c r="C1898" s="3"/>
      <c r="D1898" s="3"/>
      <c r="E1898" s="3"/>
      <c r="F1898" s="2"/>
      <c r="G1898" s="2"/>
      <c r="I1898" s="1"/>
      <c r="J1898" s="1"/>
    </row>
    <row r="1899" spans="1:10" x14ac:dyDescent="0.2">
      <c r="A1899" s="3"/>
      <c r="B1899" s="3"/>
      <c r="C1899" s="3"/>
      <c r="D1899" s="3"/>
      <c r="E1899" s="3"/>
      <c r="F1899" s="2"/>
      <c r="G1899" s="2"/>
      <c r="I1899" s="1"/>
      <c r="J1899" s="1"/>
    </row>
    <row r="1900" spans="1:10" x14ac:dyDescent="0.2">
      <c r="A1900" s="3"/>
      <c r="B1900" s="3"/>
      <c r="C1900" s="3"/>
      <c r="D1900" s="3"/>
      <c r="E1900" s="3"/>
      <c r="F1900" s="2"/>
      <c r="G1900" s="2"/>
      <c r="I1900" s="1"/>
      <c r="J1900" s="1"/>
    </row>
    <row r="1901" spans="1:10" x14ac:dyDescent="0.2">
      <c r="A1901" s="3"/>
      <c r="B1901" s="3"/>
      <c r="C1901" s="3"/>
      <c r="D1901" s="3"/>
      <c r="E1901" s="3"/>
      <c r="F1901" s="2"/>
      <c r="G1901" s="2"/>
      <c r="I1901" s="1"/>
      <c r="J1901" s="1"/>
    </row>
    <row r="1902" spans="1:10" x14ac:dyDescent="0.2">
      <c r="A1902" s="3"/>
      <c r="B1902" s="3"/>
      <c r="C1902" s="3"/>
      <c r="D1902" s="3"/>
      <c r="E1902" s="3"/>
      <c r="F1902" s="2"/>
      <c r="G1902" s="2"/>
      <c r="I1902" s="1"/>
      <c r="J1902" s="1"/>
    </row>
    <row r="1903" spans="1:10" x14ac:dyDescent="0.2">
      <c r="A1903" s="3"/>
      <c r="B1903" s="3"/>
      <c r="C1903" s="3"/>
      <c r="D1903" s="3"/>
      <c r="E1903" s="3"/>
      <c r="F1903" s="2"/>
      <c r="G1903" s="2"/>
      <c r="I1903" s="1"/>
      <c r="J1903" s="1"/>
    </row>
    <row r="1904" spans="1:10" x14ac:dyDescent="0.2">
      <c r="A1904" s="3"/>
      <c r="B1904" s="3"/>
      <c r="C1904" s="3"/>
      <c r="D1904" s="3"/>
      <c r="E1904" s="3"/>
      <c r="F1904" s="2"/>
      <c r="G1904" s="2"/>
      <c r="I1904" s="1"/>
      <c r="J1904" s="1"/>
    </row>
    <row r="1905" spans="1:10" x14ac:dyDescent="0.2">
      <c r="A1905" s="3"/>
      <c r="B1905" s="3"/>
      <c r="C1905" s="3"/>
      <c r="D1905" s="3"/>
      <c r="E1905" s="3"/>
      <c r="F1905" s="2"/>
      <c r="G1905" s="2"/>
      <c r="I1905" s="1"/>
      <c r="J1905" s="1"/>
    </row>
    <row r="1906" spans="1:10" x14ac:dyDescent="0.2">
      <c r="A1906" s="3"/>
      <c r="B1906" s="3"/>
      <c r="C1906" s="3"/>
      <c r="D1906" s="3"/>
      <c r="E1906" s="3"/>
      <c r="F1906" s="2"/>
      <c r="G1906" s="2"/>
      <c r="I1906" s="1"/>
      <c r="J1906" s="1"/>
    </row>
    <row r="1907" spans="1:10" x14ac:dyDescent="0.2">
      <c r="A1907" s="3"/>
      <c r="B1907" s="3"/>
      <c r="C1907" s="3"/>
      <c r="D1907" s="3"/>
      <c r="E1907" s="3"/>
      <c r="F1907" s="2"/>
      <c r="G1907" s="2"/>
      <c r="I1907" s="1"/>
      <c r="J1907" s="1"/>
    </row>
    <row r="1908" spans="1:10" x14ac:dyDescent="0.2">
      <c r="A1908" s="3"/>
      <c r="B1908" s="3"/>
      <c r="C1908" s="3"/>
      <c r="D1908" s="3"/>
      <c r="E1908" s="3"/>
      <c r="F1908" s="2"/>
      <c r="G1908" s="2"/>
      <c r="I1908" s="1"/>
      <c r="J1908" s="1"/>
    </row>
    <row r="1909" spans="1:10" x14ac:dyDescent="0.2">
      <c r="A1909" s="3"/>
      <c r="B1909" s="3"/>
      <c r="C1909" s="3"/>
      <c r="D1909" s="3"/>
      <c r="E1909" s="3"/>
      <c r="F1909" s="2"/>
      <c r="G1909" s="2"/>
      <c r="I1909" s="1"/>
      <c r="J1909" s="1"/>
    </row>
    <row r="1910" spans="1:10" x14ac:dyDescent="0.2">
      <c r="A1910" s="3"/>
      <c r="B1910" s="3"/>
      <c r="C1910" s="3"/>
      <c r="D1910" s="3"/>
      <c r="E1910" s="3"/>
      <c r="F1910" s="2"/>
      <c r="G1910" s="2"/>
      <c r="I1910" s="1"/>
      <c r="J1910" s="1"/>
    </row>
    <row r="1911" spans="1:10" x14ac:dyDescent="0.2">
      <c r="A1911" s="3"/>
      <c r="B1911" s="3"/>
      <c r="C1911" s="3"/>
      <c r="D1911" s="3"/>
      <c r="E1911" s="3"/>
      <c r="F1911" s="2"/>
      <c r="G1911" s="2"/>
      <c r="I1911" s="1"/>
      <c r="J1911" s="1"/>
    </row>
    <row r="1912" spans="1:10" x14ac:dyDescent="0.2">
      <c r="A1912" s="3"/>
      <c r="B1912" s="3"/>
      <c r="C1912" s="3"/>
      <c r="D1912" s="3"/>
      <c r="E1912" s="3"/>
      <c r="F1912" s="2"/>
      <c r="G1912" s="2"/>
      <c r="I1912" s="1"/>
      <c r="J1912" s="1"/>
    </row>
    <row r="1913" spans="1:10" x14ac:dyDescent="0.2">
      <c r="A1913" s="3"/>
      <c r="B1913" s="3"/>
      <c r="C1913" s="3"/>
      <c r="D1913" s="3"/>
      <c r="E1913" s="3"/>
      <c r="F1913" s="2"/>
      <c r="G1913" s="2"/>
      <c r="I1913" s="1"/>
      <c r="J1913" s="1"/>
    </row>
    <row r="1914" spans="1:10" x14ac:dyDescent="0.2">
      <c r="A1914" s="3"/>
      <c r="B1914" s="3"/>
      <c r="C1914" s="3"/>
      <c r="D1914" s="3"/>
      <c r="E1914" s="3"/>
      <c r="F1914" s="2"/>
      <c r="G1914" s="2"/>
      <c r="I1914" s="1"/>
      <c r="J1914" s="1"/>
    </row>
    <row r="1915" spans="1:10" x14ac:dyDescent="0.2">
      <c r="A1915" s="3"/>
      <c r="B1915" s="3"/>
      <c r="C1915" s="3"/>
      <c r="D1915" s="3"/>
      <c r="E1915" s="3"/>
      <c r="F1915" s="2"/>
      <c r="G1915" s="2"/>
      <c r="I1915" s="1"/>
      <c r="J1915" s="1"/>
    </row>
    <row r="1916" spans="1:10" x14ac:dyDescent="0.2">
      <c r="A1916" s="3"/>
      <c r="B1916" s="3"/>
      <c r="C1916" s="3"/>
      <c r="D1916" s="3"/>
      <c r="E1916" s="3"/>
      <c r="F1916" s="2"/>
      <c r="G1916" s="2"/>
      <c r="I1916" s="1"/>
      <c r="J1916" s="1"/>
    </row>
    <row r="1917" spans="1:10" x14ac:dyDescent="0.2">
      <c r="A1917" s="3"/>
      <c r="B1917" s="3"/>
      <c r="C1917" s="3"/>
      <c r="D1917" s="3"/>
      <c r="E1917" s="3"/>
      <c r="F1917" s="2"/>
      <c r="G1917" s="2"/>
      <c r="I1917" s="1"/>
      <c r="J1917" s="1"/>
    </row>
    <row r="1918" spans="1:10" x14ac:dyDescent="0.2">
      <c r="A1918" s="3"/>
      <c r="B1918" s="3"/>
      <c r="C1918" s="3"/>
      <c r="D1918" s="3"/>
      <c r="E1918" s="3"/>
      <c r="F1918" s="2"/>
      <c r="G1918" s="2"/>
      <c r="I1918" s="1"/>
      <c r="J1918" s="1"/>
    </row>
    <row r="1919" spans="1:10" x14ac:dyDescent="0.2">
      <c r="A1919" s="3"/>
      <c r="B1919" s="3"/>
      <c r="C1919" s="3"/>
      <c r="D1919" s="3"/>
      <c r="E1919" s="3"/>
      <c r="F1919" s="2"/>
      <c r="G1919" s="2"/>
      <c r="I1919" s="1"/>
      <c r="J1919" s="1"/>
    </row>
    <row r="1920" spans="1:10" x14ac:dyDescent="0.2">
      <c r="A1920" s="3"/>
      <c r="B1920" s="3"/>
      <c r="C1920" s="3"/>
      <c r="D1920" s="3"/>
      <c r="E1920" s="3"/>
      <c r="F1920" s="2"/>
      <c r="G1920" s="2"/>
      <c r="I1920" s="1"/>
      <c r="J1920" s="1"/>
    </row>
    <row r="1921" spans="1:10" x14ac:dyDescent="0.2">
      <c r="A1921" s="3"/>
      <c r="B1921" s="3"/>
      <c r="C1921" s="3"/>
      <c r="D1921" s="3"/>
      <c r="E1921" s="3"/>
      <c r="F1921" s="2"/>
      <c r="G1921" s="2"/>
      <c r="I1921" s="1"/>
      <c r="J1921" s="1"/>
    </row>
    <row r="1922" spans="1:10" x14ac:dyDescent="0.2">
      <c r="A1922" s="3"/>
      <c r="B1922" s="3"/>
      <c r="C1922" s="3"/>
      <c r="D1922" s="3"/>
      <c r="E1922" s="3"/>
      <c r="F1922" s="2"/>
      <c r="G1922" s="2"/>
      <c r="I1922" s="1"/>
      <c r="J1922" s="1"/>
    </row>
    <row r="1923" spans="1:10" x14ac:dyDescent="0.2">
      <c r="A1923" s="3"/>
      <c r="B1923" s="3"/>
      <c r="C1923" s="3"/>
      <c r="D1923" s="3"/>
      <c r="E1923" s="3"/>
      <c r="F1923" s="2"/>
      <c r="G1923" s="2"/>
      <c r="I1923" s="1"/>
      <c r="J1923" s="1"/>
    </row>
    <row r="1924" spans="1:10" x14ac:dyDescent="0.2">
      <c r="A1924" s="3"/>
      <c r="B1924" s="3"/>
      <c r="C1924" s="3"/>
      <c r="D1924" s="3"/>
      <c r="E1924" s="3"/>
      <c r="F1924" s="2"/>
      <c r="G1924" s="2"/>
      <c r="I1924" s="1"/>
      <c r="J1924" s="1"/>
    </row>
    <row r="1925" spans="1:10" x14ac:dyDescent="0.2">
      <c r="A1925" s="3"/>
      <c r="B1925" s="3"/>
      <c r="C1925" s="3"/>
      <c r="D1925" s="3"/>
      <c r="E1925" s="3"/>
      <c r="F1925" s="2"/>
      <c r="G1925" s="2"/>
      <c r="I1925" s="1"/>
      <c r="J1925" s="1"/>
    </row>
    <row r="1926" spans="1:10" x14ac:dyDescent="0.2">
      <c r="A1926" s="3"/>
      <c r="B1926" s="3"/>
      <c r="C1926" s="3"/>
      <c r="D1926" s="3"/>
      <c r="E1926" s="3"/>
      <c r="F1926" s="2"/>
      <c r="G1926" s="2"/>
      <c r="I1926" s="1"/>
      <c r="J1926" s="1"/>
    </row>
    <row r="1927" spans="1:10" x14ac:dyDescent="0.2">
      <c r="A1927" s="3"/>
      <c r="B1927" s="3"/>
      <c r="C1927" s="3"/>
      <c r="D1927" s="3"/>
      <c r="E1927" s="3"/>
      <c r="F1927" s="2"/>
      <c r="G1927" s="2"/>
      <c r="I1927" s="1"/>
      <c r="J1927" s="1"/>
    </row>
    <row r="1928" spans="1:10" x14ac:dyDescent="0.2">
      <c r="A1928" s="3"/>
      <c r="B1928" s="3"/>
      <c r="C1928" s="3"/>
      <c r="D1928" s="3"/>
      <c r="E1928" s="3"/>
      <c r="F1928" s="2"/>
      <c r="G1928" s="2"/>
      <c r="I1928" s="1"/>
      <c r="J1928" s="1"/>
    </row>
    <row r="1929" spans="1:10" x14ac:dyDescent="0.2">
      <c r="A1929" s="3"/>
      <c r="B1929" s="3"/>
      <c r="C1929" s="3"/>
      <c r="D1929" s="3"/>
      <c r="E1929" s="3"/>
      <c r="F1929" s="2"/>
      <c r="G1929" s="2"/>
      <c r="I1929" s="1"/>
      <c r="J1929" s="1"/>
    </row>
    <row r="1930" spans="1:10" x14ac:dyDescent="0.2">
      <c r="A1930" s="3"/>
      <c r="B1930" s="3"/>
      <c r="C1930" s="3"/>
      <c r="D1930" s="3"/>
      <c r="E1930" s="3"/>
      <c r="F1930" s="2"/>
      <c r="G1930" s="2"/>
      <c r="I1930" s="1"/>
      <c r="J1930" s="1"/>
    </row>
    <row r="1931" spans="1:10" x14ac:dyDescent="0.2">
      <c r="A1931" s="3"/>
      <c r="B1931" s="3"/>
      <c r="C1931" s="3"/>
      <c r="D1931" s="3"/>
      <c r="E1931" s="3"/>
      <c r="F1931" s="2"/>
      <c r="G1931" s="2"/>
      <c r="I1931" s="1"/>
      <c r="J1931" s="1"/>
    </row>
    <row r="1932" spans="1:10" x14ac:dyDescent="0.2">
      <c r="A1932" s="3"/>
      <c r="B1932" s="3"/>
      <c r="C1932" s="3"/>
      <c r="D1932" s="3"/>
      <c r="E1932" s="3"/>
      <c r="F1932" s="2"/>
      <c r="G1932" s="2"/>
      <c r="I1932" s="1"/>
      <c r="J1932" s="1"/>
    </row>
    <row r="1933" spans="1:10" x14ac:dyDescent="0.2">
      <c r="A1933" s="3"/>
      <c r="B1933" s="3"/>
      <c r="C1933" s="3"/>
      <c r="D1933" s="3"/>
      <c r="E1933" s="3"/>
      <c r="F1933" s="2"/>
      <c r="G1933" s="2"/>
      <c r="I1933" s="1"/>
      <c r="J1933" s="1"/>
    </row>
    <row r="1934" spans="1:10" x14ac:dyDescent="0.2">
      <c r="A1934" s="3"/>
      <c r="B1934" s="3"/>
      <c r="C1934" s="3"/>
      <c r="D1934" s="3"/>
      <c r="E1934" s="3"/>
      <c r="F1934" s="2"/>
      <c r="G1934" s="2"/>
      <c r="I1934" s="1"/>
      <c r="J1934" s="1"/>
    </row>
    <row r="1935" spans="1:10" x14ac:dyDescent="0.2">
      <c r="A1935" s="3"/>
      <c r="B1935" s="3"/>
      <c r="C1935" s="3"/>
      <c r="D1935" s="3"/>
      <c r="E1935" s="3"/>
      <c r="F1935" s="2"/>
      <c r="G1935" s="2"/>
      <c r="I1935" s="1"/>
      <c r="J1935" s="1"/>
    </row>
    <row r="1936" spans="1:10" x14ac:dyDescent="0.2">
      <c r="A1936" s="3"/>
      <c r="B1936" s="3"/>
      <c r="C1936" s="3"/>
      <c r="D1936" s="3"/>
      <c r="E1936" s="3"/>
      <c r="F1936" s="2"/>
      <c r="G1936" s="2"/>
      <c r="I1936" s="1"/>
      <c r="J1936" s="1"/>
    </row>
    <row r="1937" spans="1:10" x14ac:dyDescent="0.2">
      <c r="A1937" s="3"/>
      <c r="B1937" s="3"/>
      <c r="C1937" s="3"/>
      <c r="D1937" s="3"/>
      <c r="E1937" s="3"/>
      <c r="F1937" s="2"/>
      <c r="G1937" s="2"/>
      <c r="I1937" s="1"/>
      <c r="J1937" s="1"/>
    </row>
    <row r="1938" spans="1:10" x14ac:dyDescent="0.2">
      <c r="A1938" s="3"/>
      <c r="B1938" s="3"/>
      <c r="C1938" s="3"/>
      <c r="D1938" s="3"/>
      <c r="E1938" s="3"/>
      <c r="F1938" s="2"/>
      <c r="G1938" s="2"/>
      <c r="I1938" s="1"/>
      <c r="J1938" s="1"/>
    </row>
    <row r="1939" spans="1:10" x14ac:dyDescent="0.2">
      <c r="A1939" s="3"/>
      <c r="B1939" s="3"/>
      <c r="C1939" s="3"/>
      <c r="D1939" s="3"/>
      <c r="E1939" s="3"/>
      <c r="F1939" s="2"/>
      <c r="G1939" s="2"/>
      <c r="I1939" s="1"/>
      <c r="J1939" s="1"/>
    </row>
    <row r="1940" spans="1:10" x14ac:dyDescent="0.2">
      <c r="A1940" s="3"/>
      <c r="B1940" s="3"/>
      <c r="C1940" s="3"/>
      <c r="D1940" s="3"/>
      <c r="E1940" s="3"/>
      <c r="F1940" s="2"/>
      <c r="G1940" s="2"/>
      <c r="I1940" s="1"/>
      <c r="J1940" s="1"/>
    </row>
    <row r="1941" spans="1:10" x14ac:dyDescent="0.2">
      <c r="A1941" s="3"/>
      <c r="B1941" s="3"/>
      <c r="C1941" s="3"/>
      <c r="D1941" s="3"/>
      <c r="E1941" s="3"/>
      <c r="F1941" s="2"/>
      <c r="G1941" s="2"/>
      <c r="I1941" s="1"/>
      <c r="J1941" s="1"/>
    </row>
    <row r="1942" spans="1:10" x14ac:dyDescent="0.2">
      <c r="A1942" s="3"/>
      <c r="B1942" s="3"/>
      <c r="C1942" s="3"/>
      <c r="D1942" s="3"/>
      <c r="E1942" s="3"/>
      <c r="F1942" s="2"/>
      <c r="G1942" s="2"/>
      <c r="I1942" s="1"/>
      <c r="J1942" s="1"/>
    </row>
    <row r="1943" spans="1:10" x14ac:dyDescent="0.2">
      <c r="A1943" s="3"/>
      <c r="B1943" s="3"/>
      <c r="C1943" s="3"/>
      <c r="D1943" s="3"/>
      <c r="E1943" s="3"/>
      <c r="F1943" s="2"/>
      <c r="G1943" s="2"/>
      <c r="I1943" s="1"/>
      <c r="J1943" s="1"/>
    </row>
    <row r="1944" spans="1:10" x14ac:dyDescent="0.2">
      <c r="A1944" s="3"/>
      <c r="B1944" s="3"/>
      <c r="C1944" s="3"/>
      <c r="D1944" s="3"/>
      <c r="E1944" s="3"/>
      <c r="F1944" s="2"/>
      <c r="G1944" s="2"/>
      <c r="I1944" s="1"/>
      <c r="J1944" s="1"/>
    </row>
    <row r="1945" spans="1:10" x14ac:dyDescent="0.2">
      <c r="A1945" s="3"/>
      <c r="B1945" s="3"/>
      <c r="C1945" s="3"/>
      <c r="D1945" s="3"/>
      <c r="E1945" s="3"/>
      <c r="F1945" s="2"/>
      <c r="G1945" s="2"/>
      <c r="I1945" s="1"/>
      <c r="J1945" s="1"/>
    </row>
    <row r="1946" spans="1:10" x14ac:dyDescent="0.2">
      <c r="A1946" s="3"/>
      <c r="B1946" s="3"/>
      <c r="C1946" s="3"/>
      <c r="D1946" s="3"/>
      <c r="E1946" s="3"/>
      <c r="F1946" s="2"/>
      <c r="G1946" s="2"/>
      <c r="I1946" s="1"/>
      <c r="J1946" s="1"/>
    </row>
    <row r="1947" spans="1:10" x14ac:dyDescent="0.2">
      <c r="A1947" s="3"/>
      <c r="B1947" s="3"/>
      <c r="C1947" s="3"/>
      <c r="D1947" s="3"/>
      <c r="E1947" s="3"/>
      <c r="F1947" s="2"/>
      <c r="G1947" s="2"/>
      <c r="I1947" s="1"/>
      <c r="J1947" s="1"/>
    </row>
    <row r="1948" spans="1:10" x14ac:dyDescent="0.2">
      <c r="A1948" s="3"/>
      <c r="B1948" s="3"/>
      <c r="C1948" s="3"/>
      <c r="D1948" s="3"/>
      <c r="E1948" s="3"/>
      <c r="F1948" s="2"/>
      <c r="G1948" s="2"/>
      <c r="I1948" s="1"/>
      <c r="J1948" s="1"/>
    </row>
    <row r="1949" spans="1:10" x14ac:dyDescent="0.2">
      <c r="A1949" s="3"/>
      <c r="B1949" s="3"/>
      <c r="C1949" s="3"/>
      <c r="D1949" s="3"/>
      <c r="E1949" s="3"/>
      <c r="F1949" s="2"/>
      <c r="G1949" s="2"/>
      <c r="I1949" s="1"/>
      <c r="J1949" s="1"/>
    </row>
    <row r="1950" spans="1:10" x14ac:dyDescent="0.2">
      <c r="A1950" s="3"/>
      <c r="B1950" s="3"/>
      <c r="C1950" s="3"/>
      <c r="D1950" s="3"/>
      <c r="E1950" s="3"/>
      <c r="F1950" s="2"/>
      <c r="G1950" s="2"/>
      <c r="I1950" s="1"/>
      <c r="J1950" s="1"/>
    </row>
    <row r="1951" spans="1:10" x14ac:dyDescent="0.2">
      <c r="A1951" s="3"/>
      <c r="B1951" s="3"/>
      <c r="C1951" s="3"/>
      <c r="D1951" s="3"/>
      <c r="E1951" s="3"/>
      <c r="F1951" s="2"/>
      <c r="G1951" s="2"/>
      <c r="I1951" s="1"/>
      <c r="J1951" s="1"/>
    </row>
    <row r="1952" spans="1:10" x14ac:dyDescent="0.2">
      <c r="A1952" s="3"/>
      <c r="B1952" s="3"/>
      <c r="C1952" s="3"/>
      <c r="D1952" s="3"/>
      <c r="E1952" s="3"/>
      <c r="F1952" s="2"/>
      <c r="G1952" s="2"/>
      <c r="I1952" s="1"/>
      <c r="J1952" s="1"/>
    </row>
    <row r="1953" spans="1:10" x14ac:dyDescent="0.2">
      <c r="A1953" s="3"/>
      <c r="B1953" s="3"/>
      <c r="C1953" s="3"/>
      <c r="D1953" s="3"/>
      <c r="E1953" s="3"/>
      <c r="F1953" s="2"/>
      <c r="G1953" s="2"/>
      <c r="I1953" s="1"/>
      <c r="J1953" s="1"/>
    </row>
    <row r="1954" spans="1:10" x14ac:dyDescent="0.2">
      <c r="A1954" s="3"/>
      <c r="B1954" s="3"/>
      <c r="C1954" s="3"/>
      <c r="D1954" s="3"/>
      <c r="E1954" s="3"/>
      <c r="F1954" s="2"/>
      <c r="G1954" s="2"/>
      <c r="I1954" s="1"/>
      <c r="J1954" s="1"/>
    </row>
    <row r="1955" spans="1:10" x14ac:dyDescent="0.2">
      <c r="A1955" s="3"/>
      <c r="B1955" s="3"/>
      <c r="C1955" s="3"/>
      <c r="D1955" s="3"/>
      <c r="E1955" s="3"/>
      <c r="F1955" s="2"/>
      <c r="G1955" s="2"/>
      <c r="I1955" s="1"/>
      <c r="J1955" s="1"/>
    </row>
    <row r="1956" spans="1:10" x14ac:dyDescent="0.2">
      <c r="A1956" s="3"/>
      <c r="B1956" s="3"/>
      <c r="C1956" s="3"/>
      <c r="D1956" s="3"/>
      <c r="E1956" s="3"/>
      <c r="F1956" s="2"/>
      <c r="G1956" s="2"/>
      <c r="I1956" s="1"/>
      <c r="J1956" s="1"/>
    </row>
    <row r="1957" spans="1:10" x14ac:dyDescent="0.2">
      <c r="A1957" s="3"/>
      <c r="B1957" s="3"/>
      <c r="C1957" s="3"/>
      <c r="D1957" s="3"/>
      <c r="E1957" s="3"/>
      <c r="F1957" s="2"/>
      <c r="G1957" s="2"/>
      <c r="I1957" s="1"/>
      <c r="J1957" s="1"/>
    </row>
    <row r="1958" spans="1:10" x14ac:dyDescent="0.2">
      <c r="A1958" s="3"/>
      <c r="B1958" s="3"/>
      <c r="C1958" s="3"/>
      <c r="D1958" s="3"/>
      <c r="E1958" s="3"/>
      <c r="F1958" s="2"/>
      <c r="G1958" s="2"/>
      <c r="I1958" s="1"/>
      <c r="J1958" s="1"/>
    </row>
    <row r="1959" spans="1:10" x14ac:dyDescent="0.2">
      <c r="A1959" s="3"/>
      <c r="B1959" s="3"/>
      <c r="C1959" s="3"/>
      <c r="D1959" s="3"/>
      <c r="E1959" s="3"/>
      <c r="F1959" s="2"/>
      <c r="G1959" s="2"/>
      <c r="I1959" s="1"/>
      <c r="J1959" s="1"/>
    </row>
    <row r="1960" spans="1:10" x14ac:dyDescent="0.2">
      <c r="A1960" s="3"/>
      <c r="B1960" s="3"/>
      <c r="C1960" s="3"/>
      <c r="D1960" s="3"/>
      <c r="E1960" s="3"/>
      <c r="F1960" s="2"/>
      <c r="G1960" s="2"/>
      <c r="I1960" s="1"/>
      <c r="J1960" s="1"/>
    </row>
    <row r="1961" spans="1:10" x14ac:dyDescent="0.2">
      <c r="A1961" s="3"/>
      <c r="B1961" s="3"/>
      <c r="C1961" s="3"/>
      <c r="D1961" s="3"/>
      <c r="E1961" s="3"/>
      <c r="F1961" s="2"/>
      <c r="G1961" s="2"/>
      <c r="I1961" s="1"/>
      <c r="J1961" s="1"/>
    </row>
    <row r="1962" spans="1:10" x14ac:dyDescent="0.2">
      <c r="A1962" s="3"/>
      <c r="B1962" s="3"/>
      <c r="C1962" s="3"/>
      <c r="D1962" s="3"/>
      <c r="E1962" s="3"/>
      <c r="F1962" s="2"/>
      <c r="G1962" s="2"/>
      <c r="I1962" s="1"/>
      <c r="J1962" s="1"/>
    </row>
    <row r="1963" spans="1:10" x14ac:dyDescent="0.2">
      <c r="A1963" s="3"/>
      <c r="B1963" s="3"/>
      <c r="C1963" s="3"/>
      <c r="D1963" s="3"/>
      <c r="E1963" s="3"/>
      <c r="F1963" s="2"/>
      <c r="G1963" s="2"/>
      <c r="I1963" s="1"/>
      <c r="J1963" s="1"/>
    </row>
    <row r="1964" spans="1:10" x14ac:dyDescent="0.2">
      <c r="A1964" s="3"/>
      <c r="B1964" s="3"/>
      <c r="C1964" s="3"/>
      <c r="D1964" s="3"/>
      <c r="E1964" s="3"/>
      <c r="F1964" s="2"/>
      <c r="G1964" s="2"/>
      <c r="I1964" s="1"/>
      <c r="J1964" s="1"/>
    </row>
    <row r="1965" spans="1:10" x14ac:dyDescent="0.2">
      <c r="A1965" s="3"/>
      <c r="B1965" s="3"/>
      <c r="C1965" s="3"/>
      <c r="D1965" s="3"/>
      <c r="E1965" s="3"/>
      <c r="F1965" s="2"/>
      <c r="G1965" s="2"/>
      <c r="I1965" s="1"/>
      <c r="J1965" s="1"/>
    </row>
    <row r="1966" spans="1:10" x14ac:dyDescent="0.2">
      <c r="A1966" s="3"/>
      <c r="B1966" s="3"/>
      <c r="C1966" s="3"/>
      <c r="D1966" s="3"/>
      <c r="E1966" s="3"/>
      <c r="F1966" s="2"/>
      <c r="G1966" s="2"/>
      <c r="I1966" s="1"/>
      <c r="J1966" s="1"/>
    </row>
    <row r="1967" spans="1:10" x14ac:dyDescent="0.2">
      <c r="A1967" s="3"/>
      <c r="B1967" s="3"/>
      <c r="C1967" s="3"/>
      <c r="D1967" s="3"/>
      <c r="E1967" s="3"/>
      <c r="F1967" s="2"/>
      <c r="G1967" s="2"/>
      <c r="I1967" s="1"/>
      <c r="J1967" s="1"/>
    </row>
    <row r="1968" spans="1:10" x14ac:dyDescent="0.2">
      <c r="A1968" s="3"/>
      <c r="B1968" s="3"/>
      <c r="C1968" s="3"/>
      <c r="D1968" s="3"/>
      <c r="E1968" s="3"/>
      <c r="F1968" s="2"/>
      <c r="G1968" s="2"/>
      <c r="I1968" s="1"/>
      <c r="J1968" s="1"/>
    </row>
    <row r="1969" spans="1:10" x14ac:dyDescent="0.2">
      <c r="A1969" s="3"/>
      <c r="B1969" s="3"/>
      <c r="C1969" s="3"/>
      <c r="D1969" s="3"/>
      <c r="E1969" s="3"/>
      <c r="F1969" s="2"/>
      <c r="G1969" s="2"/>
      <c r="I1969" s="1"/>
      <c r="J1969" s="1"/>
    </row>
    <row r="1970" spans="1:10" x14ac:dyDescent="0.2">
      <c r="A1970" s="3"/>
      <c r="B1970" s="3"/>
      <c r="C1970" s="3"/>
      <c r="D1970" s="3"/>
      <c r="E1970" s="3"/>
      <c r="F1970" s="2"/>
      <c r="G1970" s="2"/>
      <c r="I1970" s="1"/>
      <c r="J1970" s="1"/>
    </row>
    <row r="1971" spans="1:10" x14ac:dyDescent="0.2">
      <c r="A1971" s="3"/>
      <c r="B1971" s="3"/>
      <c r="C1971" s="3"/>
      <c r="D1971" s="3"/>
      <c r="E1971" s="3"/>
      <c r="F1971" s="2"/>
      <c r="G1971" s="2"/>
      <c r="I1971" s="1"/>
      <c r="J1971" s="1"/>
    </row>
    <row r="1972" spans="1:10" x14ac:dyDescent="0.2">
      <c r="A1972" s="3"/>
      <c r="B1972" s="3"/>
      <c r="C1972" s="3"/>
      <c r="D1972" s="3"/>
      <c r="E1972" s="3"/>
      <c r="F1972" s="2"/>
      <c r="G1972" s="2"/>
      <c r="I1972" s="1"/>
      <c r="J1972" s="1"/>
    </row>
    <row r="1973" spans="1:10" x14ac:dyDescent="0.2">
      <c r="A1973" s="3"/>
      <c r="B1973" s="3"/>
      <c r="C1973" s="3"/>
      <c r="D1973" s="3"/>
      <c r="E1973" s="3"/>
      <c r="F1973" s="2"/>
      <c r="G1973" s="2"/>
      <c r="I1973" s="1"/>
      <c r="J1973" s="1"/>
    </row>
    <row r="1974" spans="1:10" x14ac:dyDescent="0.2">
      <c r="A1974" s="3"/>
      <c r="B1974" s="3"/>
      <c r="C1974" s="3"/>
      <c r="D1974" s="3"/>
      <c r="E1974" s="3"/>
      <c r="F1974" s="2"/>
      <c r="G1974" s="2"/>
      <c r="I1974" s="1"/>
      <c r="J1974" s="1"/>
    </row>
    <row r="1975" spans="1:10" x14ac:dyDescent="0.2">
      <c r="A1975" s="3"/>
      <c r="B1975" s="3"/>
      <c r="C1975" s="3"/>
      <c r="D1975" s="3"/>
      <c r="E1975" s="3"/>
      <c r="F1975" s="2"/>
      <c r="G1975" s="2"/>
      <c r="I1975" s="1"/>
      <c r="J1975" s="1"/>
    </row>
    <row r="1976" spans="1:10" x14ac:dyDescent="0.2">
      <c r="A1976" s="3"/>
      <c r="B1976" s="3"/>
      <c r="C1976" s="3"/>
      <c r="D1976" s="3"/>
      <c r="E1976" s="3"/>
      <c r="F1976" s="2"/>
      <c r="G1976" s="2"/>
      <c r="I1976" s="1"/>
      <c r="J1976" s="1"/>
    </row>
    <row r="1977" spans="1:10" x14ac:dyDescent="0.2">
      <c r="A1977" s="3"/>
      <c r="B1977" s="3"/>
      <c r="C1977" s="3"/>
      <c r="D1977" s="3"/>
      <c r="E1977" s="3"/>
      <c r="F1977" s="2"/>
      <c r="G1977" s="2"/>
      <c r="I1977" s="1"/>
      <c r="J1977" s="1"/>
    </row>
    <row r="1978" spans="1:10" x14ac:dyDescent="0.2">
      <c r="A1978" s="3"/>
      <c r="B1978" s="3"/>
      <c r="C1978" s="3"/>
      <c r="D1978" s="3"/>
      <c r="E1978" s="3"/>
      <c r="F1978" s="2"/>
      <c r="G1978" s="2"/>
      <c r="I1978" s="1"/>
      <c r="J1978" s="1"/>
    </row>
    <row r="1979" spans="1:10" x14ac:dyDescent="0.2">
      <c r="A1979" s="3"/>
      <c r="B1979" s="3"/>
      <c r="C1979" s="3"/>
      <c r="D1979" s="3"/>
      <c r="E1979" s="3"/>
      <c r="F1979" s="2"/>
      <c r="G1979" s="2"/>
      <c r="I1979" s="1"/>
      <c r="J1979" s="1"/>
    </row>
    <row r="1980" spans="1:10" x14ac:dyDescent="0.2">
      <c r="A1980" s="3"/>
      <c r="B1980" s="3"/>
      <c r="C1980" s="3"/>
      <c r="D1980" s="3"/>
      <c r="E1980" s="3"/>
      <c r="F1980" s="2"/>
      <c r="G1980" s="2"/>
      <c r="I1980" s="1"/>
      <c r="J1980" s="1"/>
    </row>
    <row r="1981" spans="1:10" x14ac:dyDescent="0.2">
      <c r="A1981" s="3"/>
      <c r="B1981" s="3"/>
      <c r="C1981" s="3"/>
      <c r="D1981" s="3"/>
      <c r="E1981" s="3"/>
      <c r="F1981" s="2"/>
      <c r="G1981" s="2"/>
      <c r="I1981" s="1"/>
      <c r="J1981" s="1"/>
    </row>
    <row r="1982" spans="1:10" x14ac:dyDescent="0.2">
      <c r="A1982" s="3"/>
      <c r="B1982" s="3"/>
      <c r="C1982" s="3"/>
      <c r="D1982" s="3"/>
      <c r="E1982" s="3"/>
      <c r="F1982" s="2"/>
      <c r="G1982" s="2"/>
      <c r="I1982" s="1"/>
      <c r="J1982" s="1"/>
    </row>
    <row r="1983" spans="1:10" x14ac:dyDescent="0.2">
      <c r="A1983" s="3"/>
      <c r="B1983" s="3"/>
      <c r="C1983" s="3"/>
      <c r="D1983" s="3"/>
      <c r="E1983" s="3"/>
      <c r="F1983" s="2"/>
      <c r="G1983" s="2"/>
      <c r="I1983" s="1"/>
      <c r="J1983" s="1"/>
    </row>
    <row r="1984" spans="1:10" x14ac:dyDescent="0.2">
      <c r="A1984" s="3"/>
      <c r="B1984" s="3"/>
      <c r="C1984" s="3"/>
      <c r="D1984" s="3"/>
      <c r="E1984" s="3"/>
      <c r="F1984" s="2"/>
      <c r="G1984" s="2"/>
      <c r="I1984" s="1"/>
      <c r="J1984" s="1"/>
    </row>
    <row r="1985" spans="1:10" x14ac:dyDescent="0.2">
      <c r="A1985" s="3"/>
      <c r="B1985" s="3"/>
      <c r="C1985" s="3"/>
      <c r="D1985" s="3"/>
      <c r="E1985" s="3"/>
      <c r="F1985" s="2"/>
      <c r="G1985" s="2"/>
      <c r="I1985" s="1"/>
      <c r="J1985" s="1"/>
    </row>
    <row r="1986" spans="1:10" x14ac:dyDescent="0.2">
      <c r="A1986" s="3"/>
      <c r="B1986" s="3"/>
      <c r="C1986" s="3"/>
      <c r="D1986" s="3"/>
      <c r="E1986" s="3"/>
      <c r="F1986" s="2"/>
      <c r="G1986" s="2"/>
      <c r="I1986" s="1"/>
      <c r="J1986" s="1"/>
    </row>
    <row r="1987" spans="1:10" x14ac:dyDescent="0.2">
      <c r="A1987" s="3"/>
      <c r="B1987" s="3"/>
      <c r="C1987" s="3"/>
      <c r="D1987" s="3"/>
      <c r="E1987" s="3"/>
      <c r="F1987" s="2"/>
      <c r="G1987" s="2"/>
      <c r="I1987" s="1"/>
      <c r="J1987" s="1"/>
    </row>
    <row r="1988" spans="1:10" x14ac:dyDescent="0.2">
      <c r="A1988" s="3"/>
      <c r="B1988" s="3"/>
      <c r="C1988" s="3"/>
      <c r="D1988" s="3"/>
      <c r="E1988" s="3"/>
      <c r="F1988" s="2"/>
      <c r="G1988" s="2"/>
      <c r="I1988" s="1"/>
      <c r="J1988" s="1"/>
    </row>
    <row r="1989" spans="1:10" x14ac:dyDescent="0.2">
      <c r="A1989" s="3"/>
      <c r="B1989" s="3"/>
      <c r="C1989" s="3"/>
      <c r="D1989" s="3"/>
      <c r="E1989" s="3"/>
      <c r="F1989" s="2"/>
      <c r="G1989" s="2"/>
      <c r="I1989" s="1"/>
      <c r="J1989" s="1"/>
    </row>
    <row r="1990" spans="1:10" x14ac:dyDescent="0.2">
      <c r="A1990" s="3"/>
      <c r="B1990" s="3"/>
      <c r="C1990" s="3"/>
      <c r="D1990" s="3"/>
      <c r="E1990" s="3"/>
      <c r="F1990" s="2"/>
      <c r="G1990" s="2"/>
      <c r="I1990" s="1"/>
      <c r="J1990" s="1"/>
    </row>
    <row r="1991" spans="1:10" x14ac:dyDescent="0.2">
      <c r="A1991" s="3"/>
      <c r="B1991" s="3"/>
      <c r="C1991" s="3"/>
      <c r="D1991" s="3"/>
      <c r="E1991" s="3"/>
      <c r="F1991" s="2"/>
      <c r="G1991" s="2"/>
      <c r="I1991" s="1"/>
      <c r="J1991" s="1"/>
    </row>
    <row r="1992" spans="1:10" x14ac:dyDescent="0.2">
      <c r="A1992" s="3"/>
      <c r="B1992" s="3"/>
      <c r="C1992" s="3"/>
      <c r="D1992" s="3"/>
      <c r="E1992" s="3"/>
      <c r="F1992" s="2"/>
      <c r="G1992" s="2"/>
      <c r="I1992" s="1"/>
      <c r="J1992" s="1"/>
    </row>
    <row r="1993" spans="1:10" x14ac:dyDescent="0.2">
      <c r="A1993" s="3"/>
      <c r="B1993" s="3"/>
      <c r="C1993" s="3"/>
      <c r="D1993" s="3"/>
      <c r="E1993" s="3"/>
      <c r="F1993" s="2"/>
      <c r="G1993" s="2"/>
      <c r="I1993" s="1"/>
      <c r="J1993" s="1"/>
    </row>
    <row r="1994" spans="1:10" x14ac:dyDescent="0.2">
      <c r="A1994" s="3"/>
      <c r="B1994" s="3"/>
      <c r="C1994" s="3"/>
      <c r="D1994" s="3"/>
      <c r="E1994" s="3"/>
      <c r="F1994" s="2"/>
      <c r="G1994" s="2"/>
      <c r="I1994" s="1"/>
      <c r="J1994" s="1"/>
    </row>
    <row r="1995" spans="1:10" x14ac:dyDescent="0.2">
      <c r="A1995" s="3"/>
      <c r="B1995" s="3"/>
      <c r="C1995" s="3"/>
      <c r="D1995" s="3"/>
      <c r="E1995" s="3"/>
      <c r="F1995" s="2"/>
      <c r="G1995" s="2"/>
      <c r="I1995" s="1"/>
      <c r="J1995" s="1"/>
    </row>
    <row r="1996" spans="1:10" x14ac:dyDescent="0.2">
      <c r="A1996" s="3"/>
      <c r="B1996" s="3"/>
      <c r="C1996" s="3"/>
      <c r="D1996" s="3"/>
      <c r="E1996" s="3"/>
      <c r="F1996" s="2"/>
      <c r="G1996" s="2"/>
      <c r="I1996" s="1"/>
      <c r="J1996" s="1"/>
    </row>
    <row r="1997" spans="1:10" x14ac:dyDescent="0.2">
      <c r="A1997" s="3"/>
      <c r="B1997" s="3"/>
      <c r="C1997" s="3"/>
      <c r="D1997" s="3"/>
      <c r="E1997" s="3"/>
      <c r="F1997" s="2"/>
      <c r="G1997" s="2"/>
      <c r="I1997" s="1"/>
      <c r="J1997" s="1"/>
    </row>
    <row r="1998" spans="1:10" x14ac:dyDescent="0.2">
      <c r="A1998" s="3"/>
      <c r="B1998" s="3"/>
      <c r="C1998" s="3"/>
      <c r="D1998" s="3"/>
      <c r="E1998" s="3"/>
      <c r="F1998" s="2"/>
      <c r="G1998" s="2"/>
      <c r="I1998" s="1"/>
      <c r="J1998" s="1"/>
    </row>
    <row r="1999" spans="1:10" x14ac:dyDescent="0.2">
      <c r="A1999" s="3"/>
      <c r="B1999" s="3"/>
      <c r="C1999" s="3"/>
      <c r="D1999" s="3"/>
      <c r="E1999" s="3"/>
      <c r="F1999" s="2"/>
      <c r="G1999" s="2"/>
      <c r="I1999" s="1"/>
      <c r="J1999" s="1"/>
    </row>
    <row r="2000" spans="1:10" x14ac:dyDescent="0.2">
      <c r="A2000" s="3"/>
      <c r="B2000" s="3"/>
      <c r="C2000" s="3"/>
      <c r="D2000" s="3"/>
      <c r="E2000" s="3"/>
      <c r="F2000" s="2"/>
      <c r="G2000" s="2"/>
      <c r="I2000" s="1"/>
      <c r="J2000" s="1"/>
    </row>
    <row r="2001" spans="1:10" x14ac:dyDescent="0.2">
      <c r="A2001" s="3"/>
      <c r="B2001" s="3"/>
      <c r="C2001" s="3"/>
      <c r="D2001" s="3"/>
      <c r="E2001" s="3"/>
      <c r="F2001" s="2"/>
      <c r="G2001" s="2"/>
      <c r="I2001" s="1"/>
      <c r="J2001" s="1"/>
    </row>
    <row r="2002" spans="1:10" x14ac:dyDescent="0.2">
      <c r="A2002" s="3"/>
      <c r="B2002" s="3"/>
      <c r="C2002" s="3"/>
      <c r="D2002" s="3"/>
      <c r="E2002" s="3"/>
      <c r="F2002" s="2"/>
      <c r="G2002" s="2"/>
      <c r="I2002" s="1"/>
      <c r="J2002" s="1"/>
    </row>
    <row r="2003" spans="1:10" x14ac:dyDescent="0.2">
      <c r="A2003" s="3"/>
      <c r="B2003" s="3"/>
      <c r="C2003" s="3"/>
      <c r="D2003" s="3"/>
      <c r="E2003" s="3"/>
      <c r="F2003" s="2"/>
      <c r="G2003" s="2"/>
      <c r="I2003" s="1"/>
      <c r="J2003" s="1"/>
    </row>
    <row r="2004" spans="1:10" x14ac:dyDescent="0.2">
      <c r="A2004" s="3"/>
      <c r="B2004" s="3"/>
      <c r="C2004" s="3"/>
      <c r="D2004" s="3"/>
      <c r="E2004" s="3"/>
      <c r="F2004" s="2"/>
      <c r="G2004" s="2"/>
      <c r="I2004" s="1"/>
      <c r="J2004" s="1"/>
    </row>
    <row r="2005" spans="1:10" x14ac:dyDescent="0.2">
      <c r="A2005" s="3"/>
      <c r="B2005" s="3"/>
      <c r="C2005" s="3"/>
      <c r="D2005" s="3"/>
      <c r="E2005" s="3"/>
      <c r="F2005" s="2"/>
      <c r="G2005" s="2"/>
      <c r="I2005" s="1"/>
      <c r="J2005" s="1"/>
    </row>
    <row r="2006" spans="1:10" x14ac:dyDescent="0.2">
      <c r="A2006" s="3"/>
      <c r="B2006" s="3"/>
      <c r="C2006" s="3"/>
      <c r="D2006" s="3"/>
      <c r="E2006" s="3"/>
      <c r="F2006" s="2"/>
      <c r="G2006" s="2"/>
      <c r="I2006" s="1"/>
      <c r="J2006" s="1"/>
    </row>
    <row r="2007" spans="1:10" x14ac:dyDescent="0.2">
      <c r="A2007" s="3"/>
      <c r="B2007" s="3"/>
      <c r="C2007" s="3"/>
      <c r="D2007" s="3"/>
      <c r="E2007" s="3"/>
      <c r="F2007" s="2"/>
      <c r="G2007" s="2"/>
      <c r="I2007" s="1"/>
      <c r="J2007" s="1"/>
    </row>
    <row r="2008" spans="1:10" x14ac:dyDescent="0.2">
      <c r="A2008" s="3"/>
      <c r="B2008" s="3"/>
      <c r="C2008" s="3"/>
      <c r="D2008" s="3"/>
      <c r="E2008" s="3"/>
      <c r="F2008" s="2"/>
      <c r="G2008" s="2"/>
      <c r="I2008" s="1"/>
      <c r="J2008" s="1"/>
    </row>
    <row r="2009" spans="1:10" x14ac:dyDescent="0.2">
      <c r="A2009" s="3"/>
      <c r="B2009" s="3"/>
      <c r="C2009" s="3"/>
      <c r="D2009" s="3"/>
      <c r="E2009" s="3"/>
      <c r="F2009" s="2"/>
      <c r="G2009" s="2"/>
      <c r="I2009" s="1"/>
      <c r="J2009" s="1"/>
    </row>
    <row r="2010" spans="1:10" x14ac:dyDescent="0.2">
      <c r="A2010" s="3"/>
      <c r="B2010" s="3"/>
      <c r="C2010" s="3"/>
      <c r="D2010" s="3"/>
      <c r="E2010" s="3"/>
      <c r="F2010" s="2"/>
      <c r="G2010" s="2"/>
      <c r="I2010" s="1"/>
      <c r="J2010" s="1"/>
    </row>
    <row r="2011" spans="1:10" x14ac:dyDescent="0.2">
      <c r="A2011" s="3"/>
      <c r="B2011" s="3"/>
      <c r="C2011" s="3"/>
      <c r="D2011" s="3"/>
      <c r="E2011" s="3"/>
      <c r="F2011" s="2"/>
      <c r="G2011" s="2"/>
      <c r="I2011" s="1"/>
      <c r="J2011" s="1"/>
    </row>
    <row r="2012" spans="1:10" x14ac:dyDescent="0.2">
      <c r="A2012" s="3"/>
      <c r="B2012" s="3"/>
      <c r="C2012" s="3"/>
      <c r="D2012" s="3"/>
      <c r="E2012" s="3"/>
      <c r="F2012" s="2"/>
      <c r="G2012" s="2"/>
      <c r="I2012" s="1"/>
      <c r="J2012" s="1"/>
    </row>
    <row r="2013" spans="1:10" x14ac:dyDescent="0.2">
      <c r="A2013" s="3"/>
      <c r="B2013" s="3"/>
      <c r="C2013" s="3"/>
      <c r="D2013" s="3"/>
      <c r="E2013" s="3"/>
      <c r="F2013" s="2"/>
      <c r="G2013" s="2"/>
      <c r="I2013" s="1"/>
      <c r="J2013" s="1"/>
    </row>
    <row r="2014" spans="1:10" x14ac:dyDescent="0.2">
      <c r="A2014" s="3"/>
      <c r="B2014" s="3"/>
      <c r="C2014" s="3"/>
      <c r="D2014" s="3"/>
      <c r="E2014" s="3"/>
      <c r="F2014" s="2"/>
      <c r="G2014" s="2"/>
      <c r="I2014" s="1"/>
      <c r="J2014" s="1"/>
    </row>
    <row r="2015" spans="1:10" x14ac:dyDescent="0.2">
      <c r="A2015" s="3"/>
      <c r="B2015" s="3"/>
      <c r="C2015" s="3"/>
      <c r="D2015" s="3"/>
      <c r="E2015" s="3"/>
      <c r="F2015" s="2"/>
      <c r="G2015" s="2"/>
      <c r="I2015" s="1"/>
      <c r="J2015" s="1"/>
    </row>
    <row r="2016" spans="1:10" x14ac:dyDescent="0.2">
      <c r="A2016" s="3"/>
      <c r="B2016" s="3"/>
      <c r="C2016" s="3"/>
      <c r="D2016" s="3"/>
      <c r="E2016" s="3"/>
      <c r="F2016" s="2"/>
      <c r="G2016" s="2"/>
      <c r="I2016" s="1"/>
      <c r="J2016" s="1"/>
    </row>
    <row r="2017" spans="1:10" x14ac:dyDescent="0.2">
      <c r="A2017" s="3"/>
      <c r="B2017" s="3"/>
      <c r="C2017" s="3"/>
      <c r="D2017" s="3"/>
      <c r="E2017" s="3"/>
      <c r="F2017" s="2"/>
      <c r="G2017" s="2"/>
      <c r="I2017" s="1"/>
      <c r="J2017" s="1"/>
    </row>
    <row r="2018" spans="1:10" x14ac:dyDescent="0.2">
      <c r="A2018" s="3"/>
      <c r="B2018" s="3"/>
      <c r="C2018" s="3"/>
      <c r="D2018" s="3"/>
      <c r="E2018" s="3"/>
      <c r="F2018" s="2"/>
      <c r="G2018" s="2"/>
      <c r="I2018" s="1"/>
      <c r="J2018" s="1"/>
    </row>
    <row r="2019" spans="1:10" x14ac:dyDescent="0.2">
      <c r="A2019" s="3"/>
      <c r="B2019" s="3"/>
      <c r="C2019" s="3"/>
      <c r="D2019" s="3"/>
      <c r="E2019" s="3"/>
      <c r="F2019" s="2"/>
      <c r="G2019" s="2"/>
      <c r="I2019" s="1"/>
      <c r="J2019" s="1"/>
    </row>
    <row r="2020" spans="1:10" x14ac:dyDescent="0.2">
      <c r="A2020" s="3"/>
      <c r="B2020" s="3"/>
      <c r="C2020" s="3"/>
      <c r="D2020" s="3"/>
      <c r="E2020" s="3"/>
      <c r="F2020" s="2"/>
      <c r="G2020" s="2"/>
      <c r="I2020" s="1"/>
      <c r="J2020" s="1"/>
    </row>
    <row r="2021" spans="1:10" x14ac:dyDescent="0.2">
      <c r="A2021" s="3"/>
      <c r="B2021" s="3"/>
      <c r="C2021" s="3"/>
      <c r="D2021" s="3"/>
      <c r="E2021" s="3"/>
      <c r="F2021" s="2"/>
      <c r="G2021" s="2"/>
      <c r="I2021" s="1"/>
      <c r="J2021" s="1"/>
    </row>
    <row r="2022" spans="1:10" x14ac:dyDescent="0.2">
      <c r="A2022" s="3"/>
      <c r="B2022" s="3"/>
      <c r="C2022" s="3"/>
      <c r="D2022" s="3"/>
      <c r="E2022" s="3"/>
      <c r="F2022" s="2"/>
      <c r="G2022" s="2"/>
      <c r="I2022" s="1"/>
      <c r="J2022" s="1"/>
    </row>
    <row r="2023" spans="1:10" x14ac:dyDescent="0.2">
      <c r="A2023" s="3"/>
      <c r="B2023" s="3"/>
      <c r="C2023" s="3"/>
      <c r="D2023" s="3"/>
      <c r="E2023" s="3"/>
      <c r="F2023" s="2"/>
      <c r="G2023" s="2"/>
      <c r="I2023" s="1"/>
      <c r="J2023" s="1"/>
    </row>
    <row r="2024" spans="1:10" x14ac:dyDescent="0.2">
      <c r="A2024" s="3"/>
      <c r="B2024" s="3"/>
      <c r="C2024" s="3"/>
      <c r="D2024" s="3"/>
      <c r="E2024" s="3"/>
      <c r="F2024" s="2"/>
      <c r="G2024" s="2"/>
      <c r="I2024" s="1"/>
      <c r="J2024" s="1"/>
    </row>
    <row r="2025" spans="1:10" x14ac:dyDescent="0.2">
      <c r="A2025" s="3"/>
      <c r="B2025" s="3"/>
      <c r="C2025" s="3"/>
      <c r="D2025" s="3"/>
      <c r="E2025" s="3"/>
      <c r="F2025" s="2"/>
      <c r="G2025" s="2"/>
      <c r="I2025" s="1"/>
      <c r="J2025" s="1"/>
    </row>
    <row r="2026" spans="1:10" x14ac:dyDescent="0.2">
      <c r="A2026" s="3"/>
      <c r="B2026" s="3"/>
      <c r="C2026" s="3"/>
      <c r="D2026" s="3"/>
      <c r="E2026" s="3"/>
      <c r="F2026" s="2"/>
      <c r="G2026" s="2"/>
      <c r="I2026" s="1"/>
      <c r="J2026" s="1"/>
    </row>
    <row r="2027" spans="1:10" x14ac:dyDescent="0.2">
      <c r="A2027" s="3"/>
      <c r="B2027" s="3"/>
      <c r="C2027" s="3"/>
      <c r="D2027" s="3"/>
      <c r="E2027" s="3"/>
      <c r="F2027" s="2"/>
      <c r="G2027" s="2"/>
      <c r="I2027" s="1"/>
      <c r="J2027" s="1"/>
    </row>
    <row r="2028" spans="1:10" x14ac:dyDescent="0.2">
      <c r="A2028" s="3"/>
      <c r="B2028" s="3"/>
      <c r="C2028" s="3"/>
      <c r="D2028" s="3"/>
      <c r="E2028" s="3"/>
      <c r="F2028" s="2"/>
      <c r="G2028" s="2"/>
      <c r="I2028" s="1"/>
      <c r="J2028" s="1"/>
    </row>
    <row r="2029" spans="1:10" x14ac:dyDescent="0.2">
      <c r="A2029" s="3"/>
      <c r="B2029" s="3"/>
      <c r="C2029" s="3"/>
      <c r="D2029" s="3"/>
      <c r="E2029" s="3"/>
      <c r="F2029" s="2"/>
      <c r="G2029" s="2"/>
      <c r="I2029" s="1"/>
      <c r="J2029" s="1"/>
    </row>
    <row r="2030" spans="1:10" x14ac:dyDescent="0.2">
      <c r="A2030" s="3"/>
      <c r="B2030" s="3"/>
      <c r="C2030" s="3"/>
      <c r="D2030" s="3"/>
      <c r="E2030" s="3"/>
      <c r="F2030" s="2"/>
      <c r="G2030" s="2"/>
      <c r="I2030" s="1"/>
      <c r="J2030" s="1"/>
    </row>
    <row r="2031" spans="1:10" x14ac:dyDescent="0.2">
      <c r="A2031" s="3"/>
      <c r="B2031" s="3"/>
      <c r="C2031" s="3"/>
      <c r="D2031" s="3"/>
      <c r="E2031" s="3"/>
      <c r="F2031" s="2"/>
      <c r="G2031" s="2"/>
      <c r="I2031" s="1"/>
      <c r="J2031" s="1"/>
    </row>
    <row r="2032" spans="1:10" x14ac:dyDescent="0.2">
      <c r="A2032" s="3"/>
      <c r="B2032" s="3"/>
      <c r="C2032" s="3"/>
      <c r="D2032" s="3"/>
      <c r="E2032" s="3"/>
      <c r="F2032" s="2"/>
      <c r="G2032" s="2"/>
      <c r="I2032" s="1"/>
      <c r="J2032" s="1"/>
    </row>
    <row r="2033" spans="1:10" x14ac:dyDescent="0.2">
      <c r="A2033" s="3"/>
      <c r="B2033" s="3"/>
      <c r="C2033" s="3"/>
      <c r="D2033" s="3"/>
      <c r="E2033" s="3"/>
      <c r="F2033" s="2"/>
      <c r="G2033" s="2"/>
      <c r="I2033" s="1"/>
      <c r="J2033" s="1"/>
    </row>
    <row r="2034" spans="1:10" x14ac:dyDescent="0.2">
      <c r="A2034" s="3"/>
      <c r="B2034" s="3"/>
      <c r="C2034" s="3"/>
      <c r="D2034" s="3"/>
      <c r="E2034" s="3"/>
      <c r="F2034" s="2"/>
      <c r="G2034" s="2"/>
      <c r="I2034" s="1"/>
      <c r="J2034" s="1"/>
    </row>
    <row r="2035" spans="1:10" x14ac:dyDescent="0.2">
      <c r="A2035" s="3"/>
      <c r="B2035" s="3"/>
      <c r="C2035" s="3"/>
      <c r="D2035" s="3"/>
      <c r="E2035" s="3"/>
      <c r="F2035" s="2"/>
      <c r="G2035" s="2"/>
      <c r="I2035" s="1"/>
      <c r="J2035" s="1"/>
    </row>
    <row r="2036" spans="1:10" x14ac:dyDescent="0.2">
      <c r="A2036" s="3"/>
      <c r="B2036" s="3"/>
      <c r="C2036" s="3"/>
      <c r="D2036" s="3"/>
      <c r="E2036" s="3"/>
      <c r="F2036" s="2"/>
      <c r="G2036" s="2"/>
      <c r="I2036" s="1"/>
      <c r="J2036" s="1"/>
    </row>
    <row r="2037" spans="1:10" x14ac:dyDescent="0.2">
      <c r="A2037" s="3"/>
      <c r="B2037" s="3"/>
      <c r="C2037" s="3"/>
      <c r="D2037" s="3"/>
      <c r="E2037" s="3"/>
      <c r="F2037" s="2"/>
      <c r="G2037" s="2"/>
      <c r="I2037" s="1"/>
      <c r="J2037" s="1"/>
    </row>
    <row r="2038" spans="1:10" x14ac:dyDescent="0.2">
      <c r="A2038" s="3"/>
      <c r="B2038" s="3"/>
      <c r="C2038" s="3"/>
      <c r="D2038" s="3"/>
      <c r="E2038" s="3"/>
      <c r="F2038" s="2"/>
      <c r="G2038" s="2"/>
      <c r="I2038" s="1"/>
      <c r="J2038" s="1"/>
    </row>
    <row r="2039" spans="1:10" x14ac:dyDescent="0.2">
      <c r="A2039" s="3"/>
      <c r="B2039" s="3"/>
      <c r="C2039" s="3"/>
      <c r="D2039" s="3"/>
      <c r="E2039" s="3"/>
      <c r="F2039" s="2"/>
      <c r="G2039" s="2"/>
      <c r="I2039" s="1"/>
      <c r="J2039" s="1"/>
    </row>
    <row r="2040" spans="1:10" x14ac:dyDescent="0.2">
      <c r="A2040" s="3"/>
      <c r="B2040" s="3"/>
      <c r="C2040" s="3"/>
      <c r="D2040" s="3"/>
      <c r="E2040" s="3"/>
      <c r="F2040" s="2"/>
      <c r="G2040" s="2"/>
      <c r="I2040" s="1"/>
      <c r="J2040" s="1"/>
    </row>
    <row r="2041" spans="1:10" x14ac:dyDescent="0.2">
      <c r="A2041" s="3"/>
      <c r="B2041" s="3"/>
      <c r="C2041" s="3"/>
      <c r="D2041" s="3"/>
      <c r="E2041" s="3"/>
      <c r="F2041" s="2"/>
      <c r="G2041" s="2"/>
      <c r="I2041" s="1"/>
      <c r="J2041" s="1"/>
    </row>
    <row r="2042" spans="1:10" x14ac:dyDescent="0.2">
      <c r="A2042" s="3"/>
      <c r="B2042" s="3"/>
      <c r="C2042" s="3"/>
      <c r="D2042" s="3"/>
      <c r="E2042" s="3"/>
      <c r="F2042" s="2"/>
      <c r="G2042" s="2"/>
      <c r="I2042" s="1"/>
      <c r="J2042" s="1"/>
    </row>
    <row r="2043" spans="1:10" x14ac:dyDescent="0.2">
      <c r="A2043" s="3"/>
      <c r="B2043" s="3"/>
      <c r="C2043" s="3"/>
      <c r="D2043" s="3"/>
      <c r="E2043" s="3"/>
      <c r="F2043" s="2"/>
      <c r="G2043" s="2"/>
      <c r="I2043" s="1"/>
      <c r="J2043" s="1"/>
    </row>
    <row r="2044" spans="1:10" x14ac:dyDescent="0.2">
      <c r="A2044" s="3"/>
      <c r="B2044" s="3"/>
      <c r="C2044" s="3"/>
      <c r="D2044" s="3"/>
      <c r="E2044" s="3"/>
      <c r="F2044" s="2"/>
      <c r="G2044" s="2"/>
      <c r="I2044" s="1"/>
      <c r="J2044" s="1"/>
    </row>
    <row r="2045" spans="1:10" x14ac:dyDescent="0.2">
      <c r="A2045" s="3"/>
      <c r="B2045" s="3"/>
      <c r="C2045" s="3"/>
      <c r="D2045" s="3"/>
      <c r="E2045" s="3"/>
      <c r="F2045" s="2"/>
      <c r="G2045" s="2"/>
      <c r="I2045" s="1"/>
      <c r="J2045" s="1"/>
    </row>
    <row r="2046" spans="1:10" x14ac:dyDescent="0.2">
      <c r="A2046" s="3"/>
      <c r="B2046" s="3"/>
      <c r="C2046" s="3"/>
      <c r="D2046" s="3"/>
      <c r="E2046" s="3"/>
      <c r="F2046" s="2"/>
      <c r="G2046" s="2"/>
      <c r="I2046" s="1"/>
      <c r="J2046" s="1"/>
    </row>
    <row r="2047" spans="1:10" x14ac:dyDescent="0.2">
      <c r="A2047" s="3"/>
      <c r="B2047" s="3"/>
      <c r="C2047" s="3"/>
      <c r="D2047" s="3"/>
      <c r="E2047" s="3"/>
      <c r="F2047" s="2"/>
      <c r="G2047" s="2"/>
      <c r="I2047" s="1"/>
      <c r="J2047" s="1"/>
    </row>
    <row r="2048" spans="1:10" x14ac:dyDescent="0.2">
      <c r="A2048" s="3"/>
      <c r="B2048" s="3"/>
      <c r="C2048" s="3"/>
      <c r="D2048" s="3"/>
      <c r="E2048" s="3"/>
      <c r="F2048" s="2"/>
      <c r="G2048" s="2"/>
      <c r="I2048" s="1"/>
      <c r="J2048" s="1"/>
    </row>
    <row r="2049" spans="1:10" x14ac:dyDescent="0.2">
      <c r="A2049" s="3"/>
      <c r="B2049" s="3"/>
      <c r="C2049" s="3"/>
      <c r="D2049" s="3"/>
      <c r="E2049" s="3"/>
      <c r="F2049" s="2"/>
      <c r="G2049" s="2"/>
      <c r="I2049" s="1"/>
      <c r="J2049" s="1"/>
    </row>
    <row r="2050" spans="1:10" x14ac:dyDescent="0.2">
      <c r="A2050" s="3"/>
      <c r="B2050" s="3"/>
      <c r="C2050" s="3"/>
      <c r="D2050" s="3"/>
      <c r="E2050" s="3"/>
      <c r="F2050" s="2"/>
      <c r="G2050" s="2"/>
      <c r="I2050" s="1"/>
      <c r="J2050" s="1"/>
    </row>
    <row r="2051" spans="1:10" x14ac:dyDescent="0.2">
      <c r="A2051" s="3"/>
      <c r="B2051" s="3"/>
      <c r="C2051" s="3"/>
      <c r="D2051" s="3"/>
      <c r="E2051" s="3"/>
      <c r="F2051" s="2"/>
      <c r="G2051" s="2"/>
      <c r="I2051" s="1"/>
      <c r="J2051" s="1"/>
    </row>
    <row r="2052" spans="1:10" x14ac:dyDescent="0.2">
      <c r="A2052" s="3"/>
      <c r="B2052" s="3"/>
      <c r="C2052" s="3"/>
      <c r="D2052" s="3"/>
      <c r="E2052" s="3"/>
      <c r="F2052" s="2"/>
      <c r="G2052" s="2"/>
      <c r="I2052" s="1"/>
      <c r="J2052" s="1"/>
    </row>
    <row r="2053" spans="1:10" x14ac:dyDescent="0.2">
      <c r="A2053" s="3"/>
      <c r="B2053" s="3"/>
      <c r="C2053" s="3"/>
      <c r="D2053" s="3"/>
      <c r="E2053" s="3"/>
      <c r="F2053" s="2"/>
      <c r="G2053" s="2"/>
      <c r="I2053" s="1"/>
      <c r="J2053" s="1"/>
    </row>
    <row r="2054" spans="1:10" x14ac:dyDescent="0.2">
      <c r="A2054" s="3"/>
      <c r="B2054" s="3"/>
      <c r="C2054" s="3"/>
      <c r="D2054" s="3"/>
      <c r="E2054" s="3"/>
      <c r="F2054" s="2"/>
      <c r="G2054" s="2"/>
      <c r="I2054" s="1"/>
      <c r="J2054" s="1"/>
    </row>
    <row r="2055" spans="1:10" x14ac:dyDescent="0.2">
      <c r="A2055" s="3"/>
      <c r="B2055" s="3"/>
      <c r="C2055" s="3"/>
      <c r="D2055" s="3"/>
      <c r="E2055" s="3"/>
      <c r="F2055" s="2"/>
      <c r="G2055" s="2"/>
      <c r="I2055" s="1"/>
      <c r="J2055" s="1"/>
    </row>
    <row r="2056" spans="1:10" x14ac:dyDescent="0.2">
      <c r="A2056" s="3"/>
      <c r="B2056" s="3"/>
      <c r="C2056" s="3"/>
      <c r="D2056" s="3"/>
      <c r="E2056" s="3"/>
      <c r="F2056" s="2"/>
      <c r="G2056" s="2"/>
      <c r="I2056" s="1"/>
      <c r="J2056" s="1"/>
    </row>
    <row r="2057" spans="1:10" x14ac:dyDescent="0.2">
      <c r="A2057" s="3"/>
      <c r="B2057" s="3"/>
      <c r="C2057" s="3"/>
      <c r="D2057" s="3"/>
      <c r="E2057" s="3"/>
      <c r="F2057" s="2"/>
      <c r="G2057" s="2"/>
      <c r="I2057" s="1"/>
      <c r="J2057" s="1"/>
    </row>
    <row r="2058" spans="1:10" x14ac:dyDescent="0.2">
      <c r="A2058" s="3"/>
      <c r="B2058" s="3"/>
      <c r="C2058" s="3"/>
      <c r="D2058" s="3"/>
      <c r="E2058" s="3"/>
      <c r="F2058" s="2"/>
      <c r="G2058" s="2"/>
      <c r="I2058" s="1"/>
      <c r="J2058" s="1"/>
    </row>
    <row r="2059" spans="1:10" x14ac:dyDescent="0.2">
      <c r="A2059" s="3"/>
      <c r="B2059" s="3"/>
      <c r="C2059" s="3"/>
      <c r="D2059" s="3"/>
      <c r="E2059" s="3"/>
      <c r="F2059" s="2"/>
      <c r="G2059" s="2"/>
      <c r="I2059" s="1"/>
      <c r="J2059" s="1"/>
    </row>
    <row r="2060" spans="1:10" x14ac:dyDescent="0.2">
      <c r="A2060" s="3"/>
      <c r="B2060" s="3"/>
      <c r="C2060" s="3"/>
      <c r="D2060" s="3"/>
      <c r="E2060" s="3"/>
      <c r="F2060" s="2"/>
      <c r="G2060" s="2"/>
      <c r="I2060" s="1"/>
      <c r="J2060" s="1"/>
    </row>
    <row r="2061" spans="1:10" x14ac:dyDescent="0.2">
      <c r="A2061" s="3"/>
      <c r="B2061" s="3"/>
      <c r="C2061" s="3"/>
      <c r="D2061" s="3"/>
      <c r="E2061" s="3"/>
      <c r="F2061" s="2"/>
      <c r="G2061" s="2"/>
      <c r="I2061" s="1"/>
      <c r="J2061" s="1"/>
    </row>
    <row r="2062" spans="1:10" x14ac:dyDescent="0.2">
      <c r="A2062" s="3"/>
      <c r="B2062" s="3"/>
      <c r="C2062" s="3"/>
      <c r="D2062" s="3"/>
      <c r="E2062" s="3"/>
      <c r="F2062" s="2"/>
      <c r="G2062" s="2"/>
      <c r="I2062" s="1"/>
      <c r="J2062" s="1"/>
    </row>
    <row r="2063" spans="1:10" x14ac:dyDescent="0.2">
      <c r="A2063" s="3"/>
      <c r="B2063" s="3"/>
      <c r="C2063" s="3"/>
      <c r="D2063" s="3"/>
      <c r="E2063" s="3"/>
      <c r="F2063" s="2"/>
      <c r="G2063" s="2"/>
      <c r="I2063" s="1"/>
      <c r="J2063" s="1"/>
    </row>
    <row r="2064" spans="1:10" x14ac:dyDescent="0.2">
      <c r="A2064" s="3"/>
      <c r="B2064" s="3"/>
      <c r="C2064" s="3"/>
      <c r="D2064" s="3"/>
      <c r="E2064" s="3"/>
      <c r="F2064" s="2"/>
      <c r="G2064" s="2"/>
      <c r="I2064" s="1"/>
      <c r="J2064" s="1"/>
    </row>
    <row r="2065" spans="1:10" x14ac:dyDescent="0.2">
      <c r="A2065" s="3"/>
      <c r="B2065" s="3"/>
      <c r="C2065" s="3"/>
      <c r="D2065" s="3"/>
      <c r="E2065" s="3"/>
      <c r="F2065" s="2"/>
      <c r="G2065" s="2"/>
      <c r="I2065" s="1"/>
      <c r="J2065" s="1"/>
    </row>
    <row r="2066" spans="1:10" x14ac:dyDescent="0.2">
      <c r="A2066" s="3"/>
      <c r="B2066" s="3"/>
      <c r="C2066" s="3"/>
      <c r="D2066" s="3"/>
      <c r="E2066" s="3"/>
      <c r="F2066" s="2"/>
      <c r="G2066" s="2"/>
      <c r="I2066" s="1"/>
      <c r="J2066" s="1"/>
    </row>
    <row r="2067" spans="1:10" x14ac:dyDescent="0.2">
      <c r="A2067" s="3"/>
      <c r="B2067" s="3"/>
      <c r="C2067" s="3"/>
      <c r="D2067" s="3"/>
      <c r="E2067" s="3"/>
      <c r="F2067" s="2"/>
      <c r="G2067" s="2"/>
      <c r="I2067" s="1"/>
      <c r="J2067" s="1"/>
    </row>
    <row r="2068" spans="1:10" x14ac:dyDescent="0.2">
      <c r="A2068" s="3"/>
      <c r="B2068" s="3"/>
      <c r="C2068" s="3"/>
      <c r="D2068" s="3"/>
      <c r="E2068" s="3"/>
      <c r="F2068" s="2"/>
      <c r="G2068" s="2"/>
      <c r="I2068" s="1"/>
      <c r="J2068" s="1"/>
    </row>
    <row r="2069" spans="1:10" x14ac:dyDescent="0.2">
      <c r="A2069" s="3"/>
      <c r="B2069" s="3"/>
      <c r="C2069" s="3"/>
      <c r="D2069" s="3"/>
      <c r="E2069" s="3"/>
      <c r="F2069" s="2"/>
      <c r="G2069" s="2"/>
      <c r="I2069" s="1"/>
      <c r="J2069" s="1"/>
    </row>
    <row r="2070" spans="1:10" x14ac:dyDescent="0.2">
      <c r="A2070" s="3"/>
      <c r="B2070" s="3"/>
      <c r="C2070" s="3"/>
      <c r="D2070" s="3"/>
      <c r="E2070" s="3"/>
      <c r="F2070" s="2"/>
      <c r="G2070" s="2"/>
      <c r="I2070" s="1"/>
      <c r="J2070" s="1"/>
    </row>
    <row r="2071" spans="1:10" x14ac:dyDescent="0.2">
      <c r="A2071" s="3"/>
      <c r="B2071" s="3"/>
      <c r="C2071" s="3"/>
      <c r="D2071" s="3"/>
      <c r="E2071" s="3"/>
      <c r="F2071" s="2"/>
      <c r="G2071" s="2"/>
      <c r="I2071" s="1"/>
      <c r="J2071" s="1"/>
    </row>
    <row r="2072" spans="1:10" x14ac:dyDescent="0.2">
      <c r="A2072" s="3"/>
      <c r="B2072" s="3"/>
      <c r="C2072" s="3"/>
      <c r="D2072" s="3"/>
      <c r="E2072" s="3"/>
      <c r="F2072" s="2"/>
      <c r="G2072" s="2"/>
      <c r="I2072" s="1"/>
      <c r="J2072" s="1"/>
    </row>
    <row r="2073" spans="1:10" x14ac:dyDescent="0.2">
      <c r="A2073" s="3"/>
      <c r="B2073" s="3"/>
      <c r="C2073" s="3"/>
      <c r="D2073" s="3"/>
      <c r="E2073" s="3"/>
      <c r="F2073" s="2"/>
      <c r="G2073" s="2"/>
      <c r="I2073" s="1"/>
      <c r="J2073" s="1"/>
    </row>
    <row r="2074" spans="1:10" x14ac:dyDescent="0.2">
      <c r="A2074" s="3"/>
      <c r="B2074" s="3"/>
      <c r="C2074" s="3"/>
      <c r="D2074" s="3"/>
      <c r="E2074" s="3"/>
      <c r="F2074" s="2"/>
      <c r="G2074" s="2"/>
      <c r="I2074" s="1"/>
      <c r="J2074" s="1"/>
    </row>
    <row r="2075" spans="1:10" x14ac:dyDescent="0.2">
      <c r="A2075" s="3"/>
      <c r="B2075" s="3"/>
      <c r="C2075" s="3"/>
      <c r="D2075" s="3"/>
      <c r="E2075" s="3"/>
      <c r="F2075" s="2"/>
      <c r="G2075" s="2"/>
      <c r="I2075" s="1"/>
      <c r="J2075" s="1"/>
    </row>
    <row r="2076" spans="1:10" x14ac:dyDescent="0.2">
      <c r="A2076" s="3"/>
      <c r="B2076" s="3"/>
      <c r="C2076" s="3"/>
      <c r="D2076" s="3"/>
      <c r="E2076" s="3"/>
      <c r="F2076" s="2"/>
      <c r="G2076" s="2"/>
      <c r="I2076" s="1"/>
      <c r="J2076" s="1"/>
    </row>
    <row r="2077" spans="1:10" x14ac:dyDescent="0.2">
      <c r="A2077" s="3"/>
      <c r="B2077" s="3"/>
      <c r="C2077" s="3"/>
      <c r="D2077" s="3"/>
      <c r="E2077" s="3"/>
      <c r="F2077" s="2"/>
      <c r="G2077" s="2"/>
      <c r="I2077" s="1"/>
      <c r="J2077" s="1"/>
    </row>
    <row r="2078" spans="1:10" x14ac:dyDescent="0.2">
      <c r="A2078" s="3"/>
      <c r="B2078" s="3"/>
      <c r="C2078" s="3"/>
      <c r="D2078" s="3"/>
      <c r="E2078" s="3"/>
      <c r="F2078" s="2"/>
      <c r="G2078" s="2"/>
      <c r="I2078" s="1"/>
      <c r="J2078" s="1"/>
    </row>
    <row r="2079" spans="1:10" x14ac:dyDescent="0.2">
      <c r="A2079" s="3"/>
      <c r="B2079" s="3"/>
      <c r="C2079" s="3"/>
      <c r="D2079" s="3"/>
      <c r="E2079" s="3"/>
      <c r="F2079" s="2"/>
      <c r="G2079" s="2"/>
      <c r="I2079" s="1"/>
      <c r="J2079" s="1"/>
    </row>
    <row r="2080" spans="1:10" x14ac:dyDescent="0.2">
      <c r="A2080" s="3"/>
      <c r="B2080" s="3"/>
      <c r="C2080" s="3"/>
      <c r="D2080" s="3"/>
      <c r="E2080" s="3"/>
      <c r="F2080" s="2"/>
      <c r="G2080" s="2"/>
      <c r="I2080" s="1"/>
      <c r="J2080" s="1"/>
    </row>
    <row r="2081" spans="1:10" x14ac:dyDescent="0.2">
      <c r="A2081" s="3"/>
      <c r="B2081" s="3"/>
      <c r="C2081" s="3"/>
      <c r="D2081" s="3"/>
      <c r="E2081" s="3"/>
      <c r="F2081" s="2"/>
      <c r="G2081" s="2"/>
      <c r="I2081" s="1"/>
      <c r="J2081" s="1"/>
    </row>
    <row r="2082" spans="1:10" x14ac:dyDescent="0.2">
      <c r="A2082" s="3"/>
      <c r="B2082" s="3"/>
      <c r="C2082" s="3"/>
      <c r="D2082" s="3"/>
      <c r="E2082" s="3"/>
      <c r="F2082" s="2"/>
      <c r="G2082" s="2"/>
      <c r="I2082" s="1"/>
      <c r="J2082" s="1"/>
    </row>
    <row r="2083" spans="1:10" x14ac:dyDescent="0.2">
      <c r="A2083" s="3"/>
      <c r="B2083" s="3"/>
      <c r="C2083" s="3"/>
      <c r="D2083" s="3"/>
      <c r="E2083" s="3"/>
      <c r="F2083" s="2"/>
      <c r="G2083" s="2"/>
      <c r="I2083" s="1"/>
      <c r="J2083" s="1"/>
    </row>
    <row r="2084" spans="1:10" x14ac:dyDescent="0.2">
      <c r="A2084" s="3"/>
      <c r="B2084" s="3"/>
      <c r="C2084" s="3"/>
      <c r="D2084" s="3"/>
      <c r="E2084" s="3"/>
      <c r="F2084" s="2"/>
      <c r="G2084" s="2"/>
      <c r="I2084" s="1"/>
      <c r="J2084" s="1"/>
    </row>
    <row r="2085" spans="1:10" x14ac:dyDescent="0.2">
      <c r="A2085" s="3"/>
      <c r="B2085" s="3"/>
      <c r="C2085" s="3"/>
      <c r="D2085" s="3"/>
      <c r="E2085" s="3"/>
      <c r="F2085" s="2"/>
      <c r="G2085" s="2"/>
      <c r="I2085" s="1"/>
      <c r="J2085" s="1"/>
    </row>
    <row r="2086" spans="1:10" x14ac:dyDescent="0.2">
      <c r="A2086" s="3"/>
      <c r="B2086" s="3"/>
      <c r="C2086" s="3"/>
      <c r="D2086" s="3"/>
      <c r="E2086" s="3"/>
      <c r="F2086" s="2"/>
      <c r="G2086" s="2"/>
      <c r="I2086" s="1"/>
      <c r="J2086" s="1"/>
    </row>
    <row r="2087" spans="1:10" x14ac:dyDescent="0.2">
      <c r="A2087" s="3"/>
      <c r="B2087" s="3"/>
      <c r="C2087" s="3"/>
      <c r="D2087" s="3"/>
      <c r="E2087" s="3"/>
      <c r="F2087" s="2"/>
      <c r="G2087" s="2"/>
      <c r="I2087" s="1"/>
      <c r="J2087" s="1"/>
    </row>
    <row r="2088" spans="1:10" x14ac:dyDescent="0.2">
      <c r="A2088" s="3"/>
      <c r="B2088" s="3"/>
      <c r="C2088" s="3"/>
      <c r="D2088" s="3"/>
      <c r="E2088" s="3"/>
      <c r="F2088" s="2"/>
      <c r="G2088" s="2"/>
      <c r="I2088" s="1"/>
      <c r="J2088" s="1"/>
    </row>
    <row r="2089" spans="1:10" x14ac:dyDescent="0.2">
      <c r="A2089" s="3"/>
      <c r="B2089" s="3"/>
      <c r="C2089" s="3"/>
      <c r="D2089" s="3"/>
      <c r="E2089" s="3"/>
      <c r="F2089" s="2"/>
      <c r="G2089" s="2"/>
      <c r="I2089" s="1"/>
      <c r="J2089" s="1"/>
    </row>
    <row r="2090" spans="1:10" x14ac:dyDescent="0.2">
      <c r="A2090" s="3"/>
      <c r="B2090" s="3"/>
      <c r="C2090" s="3"/>
      <c r="D2090" s="3"/>
      <c r="E2090" s="3"/>
      <c r="F2090" s="2"/>
      <c r="G2090" s="2"/>
      <c r="I2090" s="1"/>
      <c r="J2090" s="1"/>
    </row>
    <row r="2091" spans="1:10" x14ac:dyDescent="0.2">
      <c r="A2091" s="3"/>
      <c r="B2091" s="3"/>
      <c r="C2091" s="3"/>
      <c r="D2091" s="3"/>
      <c r="E2091" s="3"/>
      <c r="F2091" s="2"/>
      <c r="G2091" s="2"/>
      <c r="I2091" s="1"/>
      <c r="J2091" s="1"/>
    </row>
    <row r="2092" spans="1:10" x14ac:dyDescent="0.2">
      <c r="A2092" s="3"/>
      <c r="B2092" s="3"/>
      <c r="C2092" s="3"/>
      <c r="D2092" s="3"/>
      <c r="E2092" s="3"/>
      <c r="F2092" s="2"/>
      <c r="G2092" s="2"/>
      <c r="I2092" s="1"/>
      <c r="J2092" s="1"/>
    </row>
    <row r="2093" spans="1:10" x14ac:dyDescent="0.2">
      <c r="A2093" s="3"/>
      <c r="B2093" s="3"/>
      <c r="C2093" s="3"/>
      <c r="D2093" s="3"/>
      <c r="E2093" s="3"/>
      <c r="F2093" s="2"/>
      <c r="G2093" s="2"/>
      <c r="I2093" s="1"/>
      <c r="J2093" s="1"/>
    </row>
    <row r="2094" spans="1:10" x14ac:dyDescent="0.2">
      <c r="A2094" s="3"/>
      <c r="B2094" s="3"/>
      <c r="C2094" s="3"/>
      <c r="D2094" s="3"/>
      <c r="E2094" s="3"/>
      <c r="F2094" s="2"/>
      <c r="G2094" s="2"/>
      <c r="I2094" s="1"/>
      <c r="J2094" s="1"/>
    </row>
    <row r="2095" spans="1:10" x14ac:dyDescent="0.2">
      <c r="A2095" s="3"/>
      <c r="B2095" s="3"/>
      <c r="C2095" s="3"/>
      <c r="D2095" s="3"/>
      <c r="E2095" s="3"/>
      <c r="F2095" s="2"/>
      <c r="G2095" s="2"/>
      <c r="I2095" s="1"/>
      <c r="J2095" s="1"/>
    </row>
    <row r="2096" spans="1:10" x14ac:dyDescent="0.2">
      <c r="A2096" s="3"/>
      <c r="B2096" s="3"/>
      <c r="C2096" s="3"/>
      <c r="D2096" s="3"/>
      <c r="E2096" s="3"/>
      <c r="F2096" s="2"/>
      <c r="G2096" s="2"/>
      <c r="I2096" s="1"/>
      <c r="J2096" s="1"/>
    </row>
    <row r="2097" spans="1:10" x14ac:dyDescent="0.2">
      <c r="A2097" s="3"/>
      <c r="B2097" s="3"/>
      <c r="C2097" s="3"/>
      <c r="D2097" s="3"/>
      <c r="E2097" s="3"/>
      <c r="F2097" s="2"/>
      <c r="G2097" s="2"/>
      <c r="I2097" s="1"/>
      <c r="J2097" s="1"/>
    </row>
    <row r="2098" spans="1:10" x14ac:dyDescent="0.2">
      <c r="A2098" s="3"/>
      <c r="B2098" s="3"/>
      <c r="C2098" s="3"/>
      <c r="D2098" s="3"/>
      <c r="E2098" s="3"/>
      <c r="F2098" s="2"/>
      <c r="G2098" s="2"/>
      <c r="I2098" s="1"/>
      <c r="J2098" s="1"/>
    </row>
    <row r="2099" spans="1:10" x14ac:dyDescent="0.2">
      <c r="A2099" s="3"/>
      <c r="B2099" s="3"/>
      <c r="C2099" s="3"/>
      <c r="D2099" s="3"/>
      <c r="E2099" s="3"/>
      <c r="F2099" s="2"/>
      <c r="G2099" s="2"/>
      <c r="I2099" s="1"/>
      <c r="J2099" s="1"/>
    </row>
    <row r="2100" spans="1:10" x14ac:dyDescent="0.2">
      <c r="A2100" s="3"/>
      <c r="B2100" s="3"/>
      <c r="C2100" s="3"/>
      <c r="D2100" s="3"/>
      <c r="E2100" s="3"/>
      <c r="F2100" s="2"/>
      <c r="G2100" s="2"/>
      <c r="I2100" s="1"/>
      <c r="J2100" s="1"/>
    </row>
    <row r="2101" spans="1:10" x14ac:dyDescent="0.2">
      <c r="A2101" s="3"/>
      <c r="B2101" s="3"/>
      <c r="C2101" s="3"/>
      <c r="D2101" s="3"/>
      <c r="E2101" s="3"/>
      <c r="F2101" s="2"/>
      <c r="G2101" s="2"/>
      <c r="I2101" s="1"/>
      <c r="J2101" s="1"/>
    </row>
    <row r="2102" spans="1:10" x14ac:dyDescent="0.2">
      <c r="A2102" s="3"/>
      <c r="B2102" s="3"/>
      <c r="C2102" s="3"/>
      <c r="D2102" s="3"/>
      <c r="E2102" s="3"/>
      <c r="F2102" s="2"/>
      <c r="G2102" s="2"/>
      <c r="I2102" s="1"/>
      <c r="J2102" s="1"/>
    </row>
    <row r="2103" spans="1:10" x14ac:dyDescent="0.2">
      <c r="A2103" s="3"/>
      <c r="B2103" s="3"/>
      <c r="C2103" s="3"/>
      <c r="D2103" s="3"/>
      <c r="E2103" s="3"/>
      <c r="F2103" s="2"/>
      <c r="G2103" s="2"/>
      <c r="I2103" s="1"/>
      <c r="J2103" s="1"/>
    </row>
    <row r="2104" spans="1:10" x14ac:dyDescent="0.2">
      <c r="A2104" s="3"/>
      <c r="B2104" s="3"/>
      <c r="C2104" s="3"/>
      <c r="D2104" s="3"/>
      <c r="E2104" s="3"/>
      <c r="F2104" s="2"/>
      <c r="G2104" s="2"/>
      <c r="I2104" s="1"/>
      <c r="J2104" s="1"/>
    </row>
    <row r="2105" spans="1:10" x14ac:dyDescent="0.2">
      <c r="A2105" s="3"/>
      <c r="B2105" s="3"/>
      <c r="C2105" s="3"/>
      <c r="D2105" s="3"/>
      <c r="E2105" s="3"/>
      <c r="F2105" s="2"/>
      <c r="G2105" s="2"/>
      <c r="I2105" s="1"/>
      <c r="J2105" s="1"/>
    </row>
    <row r="2106" spans="1:10" x14ac:dyDescent="0.2">
      <c r="A2106" s="3"/>
      <c r="B2106" s="3"/>
      <c r="C2106" s="3"/>
      <c r="D2106" s="3"/>
      <c r="E2106" s="3"/>
      <c r="F2106" s="2"/>
      <c r="G2106" s="2"/>
      <c r="I2106" s="1"/>
      <c r="J2106" s="1"/>
    </row>
    <row r="2107" spans="1:10" x14ac:dyDescent="0.2">
      <c r="A2107" s="3"/>
      <c r="B2107" s="3"/>
      <c r="C2107" s="3"/>
      <c r="D2107" s="3"/>
      <c r="E2107" s="3"/>
      <c r="F2107" s="2"/>
      <c r="G2107" s="2"/>
      <c r="I2107" s="1"/>
      <c r="J2107" s="1"/>
    </row>
    <row r="2108" spans="1:10" x14ac:dyDescent="0.2">
      <c r="A2108" s="3"/>
      <c r="B2108" s="3"/>
      <c r="C2108" s="3"/>
      <c r="D2108" s="3"/>
      <c r="E2108" s="3"/>
      <c r="F2108" s="2"/>
      <c r="G2108" s="2"/>
      <c r="I2108" s="1"/>
      <c r="J2108" s="1"/>
    </row>
    <row r="2109" spans="1:10" x14ac:dyDescent="0.2">
      <c r="A2109" s="3"/>
      <c r="B2109" s="3"/>
      <c r="C2109" s="3"/>
      <c r="D2109" s="3"/>
      <c r="E2109" s="3"/>
      <c r="F2109" s="2"/>
      <c r="G2109" s="2"/>
      <c r="I2109" s="1"/>
      <c r="J2109" s="1"/>
    </row>
    <row r="2110" spans="1:10" x14ac:dyDescent="0.2">
      <c r="A2110" s="3"/>
      <c r="B2110" s="3"/>
      <c r="C2110" s="3"/>
      <c r="D2110" s="3"/>
      <c r="E2110" s="3"/>
      <c r="F2110" s="2"/>
      <c r="G2110" s="2"/>
      <c r="I2110" s="1"/>
      <c r="J2110" s="1"/>
    </row>
    <row r="2111" spans="1:10" x14ac:dyDescent="0.2">
      <c r="A2111" s="3"/>
      <c r="B2111" s="3"/>
      <c r="C2111" s="3"/>
      <c r="D2111" s="3"/>
      <c r="E2111" s="3"/>
      <c r="F2111" s="2"/>
      <c r="G2111" s="2"/>
      <c r="I2111" s="1"/>
      <c r="J2111" s="1"/>
    </row>
    <row r="2112" spans="1:10" x14ac:dyDescent="0.2">
      <c r="A2112" s="3"/>
      <c r="B2112" s="3"/>
      <c r="C2112" s="3"/>
      <c r="D2112" s="3"/>
      <c r="E2112" s="3"/>
      <c r="F2112" s="2"/>
      <c r="G2112" s="2"/>
      <c r="I2112" s="1"/>
      <c r="J2112" s="1"/>
    </row>
    <row r="2113" spans="1:10" x14ac:dyDescent="0.2">
      <c r="A2113" s="3"/>
      <c r="B2113" s="3"/>
      <c r="C2113" s="3"/>
      <c r="D2113" s="3"/>
      <c r="E2113" s="3"/>
      <c r="F2113" s="2"/>
      <c r="G2113" s="2"/>
      <c r="I2113" s="1"/>
      <c r="J2113" s="1"/>
    </row>
    <row r="2114" spans="1:10" x14ac:dyDescent="0.2">
      <c r="A2114" s="3"/>
      <c r="B2114" s="3"/>
      <c r="C2114" s="3"/>
      <c r="D2114" s="3"/>
      <c r="E2114" s="3"/>
      <c r="F2114" s="2"/>
      <c r="G2114" s="2"/>
      <c r="I2114" s="1"/>
      <c r="J2114" s="1"/>
    </row>
    <row r="2115" spans="1:10" x14ac:dyDescent="0.2">
      <c r="A2115" s="3"/>
      <c r="B2115" s="3"/>
      <c r="C2115" s="3"/>
      <c r="D2115" s="3"/>
      <c r="E2115" s="3"/>
      <c r="F2115" s="2"/>
      <c r="G2115" s="2"/>
      <c r="I2115" s="1"/>
      <c r="J2115" s="1"/>
    </row>
    <row r="2116" spans="1:10" x14ac:dyDescent="0.2">
      <c r="A2116" s="3"/>
      <c r="B2116" s="3"/>
      <c r="C2116" s="3"/>
      <c r="D2116" s="3"/>
      <c r="E2116" s="3"/>
      <c r="F2116" s="2"/>
      <c r="G2116" s="2"/>
      <c r="I2116" s="1"/>
      <c r="J2116" s="1"/>
    </row>
    <row r="2117" spans="1:10" x14ac:dyDescent="0.2">
      <c r="A2117" s="3"/>
      <c r="B2117" s="3"/>
      <c r="C2117" s="3"/>
      <c r="D2117" s="3"/>
      <c r="E2117" s="3"/>
      <c r="F2117" s="2"/>
      <c r="G2117" s="2"/>
      <c r="I2117" s="1"/>
      <c r="J2117" s="1"/>
    </row>
    <row r="2118" spans="1:10" x14ac:dyDescent="0.2">
      <c r="A2118" s="3"/>
      <c r="B2118" s="3"/>
      <c r="C2118" s="3"/>
      <c r="D2118" s="3"/>
      <c r="E2118" s="3"/>
      <c r="F2118" s="2"/>
      <c r="G2118" s="2"/>
      <c r="I2118" s="1"/>
      <c r="J2118" s="1"/>
    </row>
    <row r="2119" spans="1:10" x14ac:dyDescent="0.2">
      <c r="A2119" s="3"/>
      <c r="B2119" s="3"/>
      <c r="C2119" s="3"/>
      <c r="D2119" s="3"/>
      <c r="E2119" s="3"/>
      <c r="F2119" s="2"/>
      <c r="G2119" s="2"/>
      <c r="I2119" s="1"/>
      <c r="J2119" s="1"/>
    </row>
    <row r="2120" spans="1:10" x14ac:dyDescent="0.2">
      <c r="A2120" s="3"/>
      <c r="B2120" s="3"/>
      <c r="C2120" s="3"/>
      <c r="D2120" s="3"/>
      <c r="E2120" s="3"/>
      <c r="F2120" s="2"/>
      <c r="G2120" s="2"/>
      <c r="I2120" s="1"/>
      <c r="J2120" s="1"/>
    </row>
    <row r="2121" spans="1:10" x14ac:dyDescent="0.2">
      <c r="A2121" s="3"/>
      <c r="B2121" s="3"/>
      <c r="C2121" s="3"/>
      <c r="D2121" s="3"/>
      <c r="E2121" s="3"/>
      <c r="F2121" s="2"/>
      <c r="G2121" s="2"/>
      <c r="I2121" s="1"/>
      <c r="J2121" s="1"/>
    </row>
    <row r="2122" spans="1:10" x14ac:dyDescent="0.2">
      <c r="A2122" s="3"/>
      <c r="B2122" s="3"/>
      <c r="C2122" s="3"/>
      <c r="D2122" s="3"/>
      <c r="E2122" s="3"/>
      <c r="F2122" s="2"/>
      <c r="G2122" s="2"/>
      <c r="I2122" s="1"/>
      <c r="J2122" s="1"/>
    </row>
    <row r="2123" spans="1:10" x14ac:dyDescent="0.2">
      <c r="A2123" s="3"/>
      <c r="B2123" s="3"/>
      <c r="C2123" s="3"/>
      <c r="D2123" s="3"/>
      <c r="E2123" s="3"/>
      <c r="F2123" s="2"/>
      <c r="G2123" s="2"/>
      <c r="I2123" s="1"/>
      <c r="J2123" s="1"/>
    </row>
    <row r="2124" spans="1:10" x14ac:dyDescent="0.2">
      <c r="A2124" s="3"/>
      <c r="B2124" s="3"/>
      <c r="C2124" s="3"/>
      <c r="D2124" s="3"/>
      <c r="E2124" s="3"/>
      <c r="F2124" s="2"/>
      <c r="G2124" s="2"/>
      <c r="I2124" s="1"/>
      <c r="J2124" s="1"/>
    </row>
    <row r="2125" spans="1:10" x14ac:dyDescent="0.2">
      <c r="A2125" s="3"/>
      <c r="B2125" s="3"/>
      <c r="C2125" s="3"/>
      <c r="D2125" s="3"/>
      <c r="E2125" s="3"/>
      <c r="F2125" s="2"/>
      <c r="G2125" s="2"/>
      <c r="I2125" s="1"/>
      <c r="J2125" s="1"/>
    </row>
    <row r="2126" spans="1:10" x14ac:dyDescent="0.2">
      <c r="A2126" s="3"/>
      <c r="B2126" s="3"/>
      <c r="C2126" s="3"/>
      <c r="D2126" s="3"/>
      <c r="E2126" s="3"/>
      <c r="F2126" s="2"/>
      <c r="G2126" s="2"/>
      <c r="I2126" s="1"/>
      <c r="J2126" s="1"/>
    </row>
    <row r="2127" spans="1:10" x14ac:dyDescent="0.2">
      <c r="A2127" s="3"/>
      <c r="B2127" s="3"/>
      <c r="C2127" s="3"/>
      <c r="D2127" s="3"/>
      <c r="E2127" s="3"/>
      <c r="F2127" s="2"/>
      <c r="G2127" s="2"/>
      <c r="I2127" s="1"/>
      <c r="J2127" s="1"/>
    </row>
    <row r="2128" spans="1:10" x14ac:dyDescent="0.2">
      <c r="A2128" s="3"/>
      <c r="B2128" s="3"/>
      <c r="C2128" s="3"/>
      <c r="D2128" s="3"/>
      <c r="E2128" s="3"/>
      <c r="F2128" s="2"/>
      <c r="G2128" s="2"/>
      <c r="I2128" s="1"/>
      <c r="J2128" s="1"/>
    </row>
    <row r="2129" spans="1:10" x14ac:dyDescent="0.2">
      <c r="A2129" s="3"/>
      <c r="B2129" s="3"/>
      <c r="C2129" s="3"/>
      <c r="D2129" s="3"/>
      <c r="E2129" s="3"/>
      <c r="F2129" s="2"/>
      <c r="G2129" s="2"/>
      <c r="I2129" s="1"/>
      <c r="J2129" s="1"/>
    </row>
    <row r="2130" spans="1:10" x14ac:dyDescent="0.2">
      <c r="A2130" s="3"/>
      <c r="B2130" s="3"/>
      <c r="C2130" s="3"/>
      <c r="D2130" s="3"/>
      <c r="E2130" s="3"/>
      <c r="F2130" s="2"/>
      <c r="G2130" s="2"/>
      <c r="I2130" s="1"/>
      <c r="J2130" s="1"/>
    </row>
    <row r="2131" spans="1:10" x14ac:dyDescent="0.2">
      <c r="A2131" s="3"/>
      <c r="B2131" s="3"/>
      <c r="C2131" s="3"/>
      <c r="D2131" s="3"/>
      <c r="E2131" s="3"/>
      <c r="F2131" s="2"/>
      <c r="G2131" s="2"/>
      <c r="I2131" s="1"/>
      <c r="J2131" s="1"/>
    </row>
    <row r="2132" spans="1:10" x14ac:dyDescent="0.2">
      <c r="A2132" s="3"/>
      <c r="B2132" s="3"/>
      <c r="C2132" s="3"/>
      <c r="D2132" s="3"/>
      <c r="E2132" s="3"/>
      <c r="F2132" s="2"/>
      <c r="G2132" s="2"/>
      <c r="I2132" s="1"/>
      <c r="J2132" s="1"/>
    </row>
    <row r="2133" spans="1:10" x14ac:dyDescent="0.2">
      <c r="A2133" s="3"/>
      <c r="B2133" s="3"/>
      <c r="C2133" s="3"/>
      <c r="D2133" s="3"/>
      <c r="E2133" s="3"/>
      <c r="F2133" s="2"/>
      <c r="G2133" s="2"/>
      <c r="I2133" s="1"/>
      <c r="J2133" s="1"/>
    </row>
    <row r="2134" spans="1:10" x14ac:dyDescent="0.2">
      <c r="A2134" s="3"/>
      <c r="B2134" s="3"/>
      <c r="C2134" s="3"/>
      <c r="D2134" s="3"/>
      <c r="E2134" s="3"/>
      <c r="F2134" s="2"/>
      <c r="G2134" s="2"/>
      <c r="I2134" s="1"/>
      <c r="J2134" s="1"/>
    </row>
    <row r="2135" spans="1:10" x14ac:dyDescent="0.2">
      <c r="A2135" s="3"/>
      <c r="B2135" s="3"/>
      <c r="C2135" s="3"/>
      <c r="D2135" s="3"/>
      <c r="E2135" s="3"/>
      <c r="F2135" s="2"/>
      <c r="G2135" s="2"/>
      <c r="I2135" s="1"/>
      <c r="J2135" s="1"/>
    </row>
    <row r="2136" spans="1:10" x14ac:dyDescent="0.2">
      <c r="A2136" s="3"/>
      <c r="B2136" s="3"/>
      <c r="C2136" s="3"/>
      <c r="D2136" s="3"/>
      <c r="E2136" s="3"/>
      <c r="F2136" s="2"/>
      <c r="G2136" s="2"/>
      <c r="I2136" s="1"/>
      <c r="J2136" s="1"/>
    </row>
    <row r="2137" spans="1:10" x14ac:dyDescent="0.2">
      <c r="A2137" s="3"/>
      <c r="B2137" s="3"/>
      <c r="C2137" s="3"/>
      <c r="D2137" s="3"/>
      <c r="E2137" s="3"/>
      <c r="F2137" s="2"/>
      <c r="G2137" s="2"/>
      <c r="I2137" s="1"/>
      <c r="J2137" s="1"/>
    </row>
    <row r="2138" spans="1:10" x14ac:dyDescent="0.2">
      <c r="A2138" s="3"/>
      <c r="B2138" s="3"/>
      <c r="C2138" s="3"/>
      <c r="D2138" s="3"/>
      <c r="E2138" s="3"/>
      <c r="F2138" s="2"/>
      <c r="G2138" s="2"/>
      <c r="I2138" s="1"/>
      <c r="J2138" s="1"/>
    </row>
    <row r="2139" spans="1:10" x14ac:dyDescent="0.2">
      <c r="A2139" s="3"/>
      <c r="B2139" s="3"/>
      <c r="C2139" s="3"/>
      <c r="D2139" s="3"/>
      <c r="E2139" s="3"/>
      <c r="F2139" s="2"/>
      <c r="G2139" s="2"/>
      <c r="I2139" s="1"/>
      <c r="J2139" s="1"/>
    </row>
    <row r="2140" spans="1:10" x14ac:dyDescent="0.2">
      <c r="A2140" s="3"/>
      <c r="B2140" s="3"/>
      <c r="C2140" s="3"/>
      <c r="D2140" s="3"/>
      <c r="E2140" s="3"/>
      <c r="F2140" s="2"/>
      <c r="G2140" s="2"/>
      <c r="I2140" s="1"/>
      <c r="J2140" s="1"/>
    </row>
    <row r="2141" spans="1:10" x14ac:dyDescent="0.2">
      <c r="A2141" s="3"/>
      <c r="B2141" s="3"/>
      <c r="C2141" s="3"/>
      <c r="D2141" s="3"/>
      <c r="E2141" s="3"/>
      <c r="F2141" s="2"/>
      <c r="G2141" s="2"/>
      <c r="I2141" s="1"/>
      <c r="J2141" s="1"/>
    </row>
    <row r="2142" spans="1:10" x14ac:dyDescent="0.2">
      <c r="A2142" s="3"/>
      <c r="B2142" s="3"/>
      <c r="C2142" s="3"/>
      <c r="D2142" s="3"/>
      <c r="E2142" s="3"/>
      <c r="F2142" s="2"/>
      <c r="G2142" s="2"/>
      <c r="I2142" s="1"/>
      <c r="J2142" s="1"/>
    </row>
    <row r="2143" spans="1:10" x14ac:dyDescent="0.2">
      <c r="A2143" s="3"/>
      <c r="B2143" s="3"/>
      <c r="C2143" s="3"/>
      <c r="D2143" s="3"/>
      <c r="E2143" s="3"/>
      <c r="F2143" s="2"/>
      <c r="G2143" s="2"/>
      <c r="I2143" s="1"/>
      <c r="J2143" s="1"/>
    </row>
    <row r="2144" spans="1:10" x14ac:dyDescent="0.2">
      <c r="A2144" s="3"/>
      <c r="B2144" s="3"/>
      <c r="C2144" s="3"/>
      <c r="D2144" s="3"/>
      <c r="E2144" s="3"/>
      <c r="F2144" s="2"/>
      <c r="G2144" s="2"/>
      <c r="I2144" s="1"/>
      <c r="J2144" s="1"/>
    </row>
    <row r="2145" spans="1:10" x14ac:dyDescent="0.2">
      <c r="A2145" s="3"/>
      <c r="B2145" s="3"/>
      <c r="C2145" s="3"/>
      <c r="D2145" s="3"/>
      <c r="E2145" s="3"/>
      <c r="F2145" s="2"/>
      <c r="G2145" s="2"/>
      <c r="I2145" s="1"/>
      <c r="J2145" s="1"/>
    </row>
    <row r="2146" spans="1:10" x14ac:dyDescent="0.2">
      <c r="A2146" s="3"/>
      <c r="B2146" s="3"/>
      <c r="C2146" s="3"/>
      <c r="D2146" s="3"/>
      <c r="E2146" s="3"/>
      <c r="F2146" s="2"/>
      <c r="G2146" s="2"/>
      <c r="I2146" s="1"/>
      <c r="J2146" s="1"/>
    </row>
    <row r="2147" spans="1:10" x14ac:dyDescent="0.2">
      <c r="A2147" s="3"/>
      <c r="B2147" s="3"/>
      <c r="C2147" s="3"/>
      <c r="D2147" s="3"/>
      <c r="E2147" s="3"/>
      <c r="F2147" s="2"/>
      <c r="G2147" s="2"/>
      <c r="I2147" s="1"/>
      <c r="J2147" s="1"/>
    </row>
    <row r="2148" spans="1:10" x14ac:dyDescent="0.2">
      <c r="A2148" s="3"/>
      <c r="B2148" s="3"/>
      <c r="C2148" s="3"/>
      <c r="D2148" s="3"/>
      <c r="E2148" s="3"/>
      <c r="F2148" s="2"/>
      <c r="G2148" s="2"/>
      <c r="I2148" s="1"/>
      <c r="J2148" s="1"/>
    </row>
    <row r="2149" spans="1:10" x14ac:dyDescent="0.2">
      <c r="A2149" s="3"/>
      <c r="B2149" s="3"/>
      <c r="C2149" s="3"/>
      <c r="D2149" s="3"/>
      <c r="E2149" s="3"/>
      <c r="F2149" s="2"/>
      <c r="G2149" s="2"/>
      <c r="I2149" s="1"/>
      <c r="J2149" s="1"/>
    </row>
    <row r="2150" spans="1:10" x14ac:dyDescent="0.2">
      <c r="A2150" s="3"/>
      <c r="B2150" s="3"/>
      <c r="C2150" s="3"/>
      <c r="D2150" s="3"/>
      <c r="E2150" s="3"/>
      <c r="F2150" s="2"/>
      <c r="G2150" s="2"/>
      <c r="I2150" s="1"/>
      <c r="J2150" s="1"/>
    </row>
    <row r="2151" spans="1:10" x14ac:dyDescent="0.2">
      <c r="A2151" s="3"/>
      <c r="B2151" s="3"/>
      <c r="C2151" s="3"/>
      <c r="D2151" s="3"/>
      <c r="E2151" s="3"/>
      <c r="F2151" s="2"/>
      <c r="G2151" s="2"/>
      <c r="I2151" s="1"/>
      <c r="J2151" s="1"/>
    </row>
    <row r="2152" spans="1:10" x14ac:dyDescent="0.2">
      <c r="A2152" s="3"/>
      <c r="B2152" s="3"/>
      <c r="C2152" s="3"/>
      <c r="D2152" s="3"/>
      <c r="E2152" s="3"/>
      <c r="F2152" s="2"/>
      <c r="G2152" s="2"/>
      <c r="I2152" s="1"/>
      <c r="J2152" s="1"/>
    </row>
    <row r="2153" spans="1:10" x14ac:dyDescent="0.2">
      <c r="A2153" s="3"/>
      <c r="B2153" s="3"/>
      <c r="C2153" s="3"/>
      <c r="D2153" s="3"/>
      <c r="E2153" s="3"/>
      <c r="F2153" s="2"/>
      <c r="G2153" s="2"/>
      <c r="I2153" s="1"/>
      <c r="J2153" s="1"/>
    </row>
    <row r="2154" spans="1:10" x14ac:dyDescent="0.2">
      <c r="A2154" s="3"/>
      <c r="B2154" s="3"/>
      <c r="C2154" s="3"/>
      <c r="D2154" s="3"/>
      <c r="E2154" s="3"/>
      <c r="F2154" s="2"/>
      <c r="G2154" s="2"/>
      <c r="I2154" s="1"/>
      <c r="J2154" s="1"/>
    </row>
    <row r="2155" spans="1:10" x14ac:dyDescent="0.2">
      <c r="A2155" s="3"/>
      <c r="B2155" s="3"/>
      <c r="C2155" s="3"/>
      <c r="D2155" s="3"/>
      <c r="E2155" s="3"/>
      <c r="F2155" s="2"/>
      <c r="G2155" s="2"/>
      <c r="I2155" s="1"/>
      <c r="J2155" s="1"/>
    </row>
    <row r="2156" spans="1:10" x14ac:dyDescent="0.2">
      <c r="A2156" s="3"/>
      <c r="B2156" s="3"/>
      <c r="C2156" s="3"/>
      <c r="D2156" s="3"/>
      <c r="E2156" s="3"/>
      <c r="F2156" s="2"/>
      <c r="G2156" s="2"/>
      <c r="I2156" s="1"/>
      <c r="J2156" s="1"/>
    </row>
    <row r="2157" spans="1:10" x14ac:dyDescent="0.2">
      <c r="A2157" s="3"/>
      <c r="B2157" s="3"/>
      <c r="C2157" s="3"/>
      <c r="D2157" s="3"/>
      <c r="E2157" s="3"/>
      <c r="F2157" s="2"/>
      <c r="G2157" s="2"/>
      <c r="I2157" s="1"/>
      <c r="J2157" s="1"/>
    </row>
    <row r="2158" spans="1:10" x14ac:dyDescent="0.2">
      <c r="A2158" s="3"/>
      <c r="B2158" s="3"/>
      <c r="C2158" s="3"/>
      <c r="D2158" s="3"/>
      <c r="E2158" s="3"/>
      <c r="F2158" s="2"/>
      <c r="G2158" s="2"/>
      <c r="I2158" s="1"/>
      <c r="J2158" s="1"/>
    </row>
    <row r="2159" spans="1:10" x14ac:dyDescent="0.2">
      <c r="A2159" s="3"/>
      <c r="B2159" s="3"/>
      <c r="C2159" s="3"/>
      <c r="D2159" s="3"/>
      <c r="E2159" s="3"/>
      <c r="F2159" s="2"/>
      <c r="G2159" s="2"/>
      <c r="I2159" s="1"/>
      <c r="J2159" s="1"/>
    </row>
    <row r="2160" spans="1:10" x14ac:dyDescent="0.2">
      <c r="A2160" s="3"/>
      <c r="B2160" s="3"/>
      <c r="C2160" s="3"/>
      <c r="D2160" s="3"/>
      <c r="E2160" s="3"/>
      <c r="F2160" s="2"/>
      <c r="G2160" s="2"/>
      <c r="I2160" s="1"/>
      <c r="J2160" s="1"/>
    </row>
    <row r="2161" spans="1:10" x14ac:dyDescent="0.2">
      <c r="A2161" s="3"/>
      <c r="B2161" s="3"/>
      <c r="C2161" s="3"/>
      <c r="D2161" s="3"/>
      <c r="E2161" s="3"/>
      <c r="F2161" s="2"/>
      <c r="G2161" s="2"/>
      <c r="I2161" s="1"/>
      <c r="J2161" s="1"/>
    </row>
    <row r="2162" spans="1:10" x14ac:dyDescent="0.2">
      <c r="A2162" s="3"/>
      <c r="B2162" s="3"/>
      <c r="C2162" s="3"/>
      <c r="D2162" s="3"/>
      <c r="E2162" s="3"/>
      <c r="F2162" s="2"/>
      <c r="G2162" s="2"/>
      <c r="I2162" s="1"/>
      <c r="J2162" s="1"/>
    </row>
    <row r="2163" spans="1:10" x14ac:dyDescent="0.2">
      <c r="A2163" s="3"/>
      <c r="B2163" s="3"/>
      <c r="C2163" s="3"/>
      <c r="D2163" s="3"/>
      <c r="E2163" s="3"/>
      <c r="F2163" s="2"/>
      <c r="G2163" s="2"/>
      <c r="I2163" s="1"/>
      <c r="J2163" s="1"/>
    </row>
    <row r="2164" spans="1:10" x14ac:dyDescent="0.2">
      <c r="A2164" s="3"/>
      <c r="B2164" s="3"/>
      <c r="C2164" s="3"/>
      <c r="D2164" s="3"/>
      <c r="E2164" s="3"/>
      <c r="F2164" s="2"/>
      <c r="G2164" s="2"/>
      <c r="I2164" s="1"/>
      <c r="J2164" s="1"/>
    </row>
    <row r="2165" spans="1:10" x14ac:dyDescent="0.2">
      <c r="A2165" s="3"/>
      <c r="B2165" s="3"/>
      <c r="C2165" s="3"/>
      <c r="D2165" s="3"/>
      <c r="E2165" s="3"/>
      <c r="F2165" s="2"/>
      <c r="G2165" s="2"/>
      <c r="I2165" s="1"/>
      <c r="J2165" s="1"/>
    </row>
    <row r="2166" spans="1:10" x14ac:dyDescent="0.2">
      <c r="A2166" s="3"/>
      <c r="B2166" s="3"/>
      <c r="C2166" s="3"/>
      <c r="D2166" s="3"/>
      <c r="E2166" s="3"/>
      <c r="F2166" s="2"/>
      <c r="G2166" s="2"/>
      <c r="I2166" s="1"/>
      <c r="J2166" s="1"/>
    </row>
    <row r="2167" spans="1:10" x14ac:dyDescent="0.2">
      <c r="A2167" s="3"/>
      <c r="B2167" s="3"/>
      <c r="C2167" s="3"/>
      <c r="D2167" s="3"/>
      <c r="E2167" s="3"/>
      <c r="F2167" s="2"/>
      <c r="G2167" s="2"/>
      <c r="I2167" s="1"/>
      <c r="J2167" s="1"/>
    </row>
    <row r="2168" spans="1:10" x14ac:dyDescent="0.2">
      <c r="A2168" s="3"/>
      <c r="B2168" s="3"/>
      <c r="C2168" s="3"/>
      <c r="D2168" s="3"/>
      <c r="E2168" s="3"/>
      <c r="F2168" s="2"/>
      <c r="G2168" s="2"/>
      <c r="I2168" s="1"/>
      <c r="J2168" s="1"/>
    </row>
    <row r="2169" spans="1:10" x14ac:dyDescent="0.2">
      <c r="A2169" s="3"/>
      <c r="B2169" s="3"/>
      <c r="C2169" s="3"/>
      <c r="D2169" s="3"/>
      <c r="E2169" s="3"/>
      <c r="F2169" s="2"/>
      <c r="G2169" s="2"/>
      <c r="I2169" s="1"/>
      <c r="J2169" s="1"/>
    </row>
    <row r="2170" spans="1:10" x14ac:dyDescent="0.2">
      <c r="A2170" s="3"/>
      <c r="B2170" s="3"/>
      <c r="C2170" s="3"/>
      <c r="D2170" s="3"/>
      <c r="E2170" s="3"/>
      <c r="F2170" s="2"/>
      <c r="G2170" s="2"/>
      <c r="I2170" s="1"/>
      <c r="J2170" s="1"/>
    </row>
    <row r="2171" spans="1:10" x14ac:dyDescent="0.2">
      <c r="A2171" s="3"/>
      <c r="B2171" s="3"/>
      <c r="C2171" s="3"/>
      <c r="D2171" s="3"/>
      <c r="E2171" s="3"/>
      <c r="F2171" s="2"/>
      <c r="G2171" s="2"/>
      <c r="I2171" s="1"/>
      <c r="J2171" s="1"/>
    </row>
    <row r="2172" spans="1:10" x14ac:dyDescent="0.2">
      <c r="A2172" s="3"/>
      <c r="B2172" s="3"/>
      <c r="C2172" s="3"/>
      <c r="D2172" s="3"/>
      <c r="E2172" s="3"/>
      <c r="F2172" s="2"/>
      <c r="G2172" s="2"/>
      <c r="I2172" s="1"/>
      <c r="J2172" s="1"/>
    </row>
    <row r="2173" spans="1:10" x14ac:dyDescent="0.2">
      <c r="A2173" s="3"/>
      <c r="B2173" s="3"/>
      <c r="C2173" s="3"/>
      <c r="D2173" s="3"/>
      <c r="E2173" s="3"/>
      <c r="F2173" s="2"/>
      <c r="G2173" s="2"/>
      <c r="I2173" s="1"/>
      <c r="J2173" s="1"/>
    </row>
    <row r="2174" spans="1:10" x14ac:dyDescent="0.2">
      <c r="A2174" s="3"/>
      <c r="B2174" s="3"/>
      <c r="C2174" s="3"/>
      <c r="D2174" s="3"/>
      <c r="E2174" s="3"/>
      <c r="F2174" s="2"/>
      <c r="G2174" s="2"/>
      <c r="I2174" s="1"/>
      <c r="J2174" s="1"/>
    </row>
    <row r="2175" spans="1:10" x14ac:dyDescent="0.2">
      <c r="A2175" s="3"/>
      <c r="B2175" s="3"/>
      <c r="C2175" s="3"/>
      <c r="D2175" s="3"/>
      <c r="E2175" s="3"/>
      <c r="F2175" s="2"/>
      <c r="G2175" s="2"/>
      <c r="I2175" s="1"/>
      <c r="J2175" s="1"/>
    </row>
    <row r="2176" spans="1:10" x14ac:dyDescent="0.2">
      <c r="A2176" s="3"/>
      <c r="B2176" s="3"/>
      <c r="C2176" s="3"/>
      <c r="D2176" s="3"/>
      <c r="E2176" s="3"/>
      <c r="F2176" s="2"/>
      <c r="G2176" s="2"/>
      <c r="I2176" s="1"/>
      <c r="J2176" s="1"/>
    </row>
    <row r="2177" spans="1:10" x14ac:dyDescent="0.2">
      <c r="A2177" s="3"/>
      <c r="B2177" s="3"/>
      <c r="C2177" s="3"/>
      <c r="D2177" s="3"/>
      <c r="E2177" s="3"/>
      <c r="F2177" s="2"/>
      <c r="G2177" s="2"/>
      <c r="I2177" s="1"/>
      <c r="J2177" s="1"/>
    </row>
    <row r="2178" spans="1:10" x14ac:dyDescent="0.2">
      <c r="A2178" s="3"/>
      <c r="B2178" s="3"/>
      <c r="C2178" s="3"/>
      <c r="D2178" s="3"/>
      <c r="E2178" s="3"/>
      <c r="F2178" s="2"/>
      <c r="G2178" s="2"/>
      <c r="I2178" s="1"/>
      <c r="J2178" s="1"/>
    </row>
    <row r="2179" spans="1:10" x14ac:dyDescent="0.2">
      <c r="A2179" s="3"/>
      <c r="B2179" s="3"/>
      <c r="C2179" s="3"/>
      <c r="D2179" s="3"/>
      <c r="E2179" s="3"/>
      <c r="F2179" s="2"/>
      <c r="G2179" s="2"/>
      <c r="I2179" s="1"/>
      <c r="J2179" s="1"/>
    </row>
    <row r="2180" spans="1:10" x14ac:dyDescent="0.2">
      <c r="A2180" s="3"/>
      <c r="B2180" s="3"/>
      <c r="C2180" s="3"/>
      <c r="D2180" s="3"/>
      <c r="E2180" s="3"/>
      <c r="F2180" s="2"/>
      <c r="G2180" s="2"/>
      <c r="I2180" s="1"/>
      <c r="J2180" s="1"/>
    </row>
    <row r="2181" spans="1:10" x14ac:dyDescent="0.2">
      <c r="A2181" s="3"/>
      <c r="B2181" s="3"/>
      <c r="C2181" s="3"/>
      <c r="D2181" s="3"/>
      <c r="E2181" s="3"/>
      <c r="F2181" s="2"/>
      <c r="G2181" s="2"/>
      <c r="I2181" s="1"/>
      <c r="J2181" s="1"/>
    </row>
    <row r="2182" spans="1:10" x14ac:dyDescent="0.2">
      <c r="A2182" s="3"/>
      <c r="B2182" s="3"/>
      <c r="C2182" s="3"/>
      <c r="D2182" s="3"/>
      <c r="E2182" s="3"/>
      <c r="F2182" s="2"/>
      <c r="G2182" s="2"/>
      <c r="I2182" s="1"/>
      <c r="J2182" s="1"/>
    </row>
    <row r="2183" spans="1:10" x14ac:dyDescent="0.2">
      <c r="A2183" s="3"/>
      <c r="B2183" s="3"/>
      <c r="C2183" s="3"/>
      <c r="D2183" s="3"/>
      <c r="E2183" s="3"/>
      <c r="F2183" s="2"/>
      <c r="G2183" s="2"/>
      <c r="I2183" s="1"/>
      <c r="J2183" s="1"/>
    </row>
    <row r="2184" spans="1:10" x14ac:dyDescent="0.2">
      <c r="A2184" s="3"/>
      <c r="B2184" s="3"/>
      <c r="C2184" s="3"/>
      <c r="D2184" s="3"/>
      <c r="E2184" s="3"/>
      <c r="F2184" s="2"/>
      <c r="G2184" s="2"/>
      <c r="I2184" s="1"/>
      <c r="J2184" s="1"/>
    </row>
    <row r="2185" spans="1:10" x14ac:dyDescent="0.2">
      <c r="A2185" s="3"/>
      <c r="B2185" s="3"/>
      <c r="C2185" s="3"/>
      <c r="D2185" s="3"/>
      <c r="E2185" s="3"/>
      <c r="F2185" s="2"/>
      <c r="G2185" s="2"/>
      <c r="I2185" s="1"/>
      <c r="J2185" s="1"/>
    </row>
    <row r="2186" spans="1:10" x14ac:dyDescent="0.2">
      <c r="A2186" s="3"/>
      <c r="B2186" s="3"/>
      <c r="C2186" s="3"/>
      <c r="D2186" s="3"/>
      <c r="E2186" s="3"/>
      <c r="F2186" s="2"/>
      <c r="G2186" s="2"/>
      <c r="I2186" s="1"/>
      <c r="J2186" s="1"/>
    </row>
    <row r="2187" spans="1:10" x14ac:dyDescent="0.2">
      <c r="A2187" s="3"/>
      <c r="B2187" s="3"/>
      <c r="C2187" s="3"/>
      <c r="D2187" s="3"/>
      <c r="E2187" s="3"/>
      <c r="F2187" s="2"/>
      <c r="G2187" s="2"/>
      <c r="I2187" s="1"/>
      <c r="J2187" s="1"/>
    </row>
    <row r="2188" spans="1:10" x14ac:dyDescent="0.2">
      <c r="A2188" s="3"/>
      <c r="B2188" s="3"/>
      <c r="C2188" s="3"/>
      <c r="D2188" s="3"/>
      <c r="E2188" s="3"/>
      <c r="F2188" s="2"/>
      <c r="G2188" s="2"/>
      <c r="I2188" s="1"/>
      <c r="J2188" s="1"/>
    </row>
    <row r="2189" spans="1:10" x14ac:dyDescent="0.2">
      <c r="A2189" s="3"/>
      <c r="B2189" s="3"/>
      <c r="C2189" s="3"/>
      <c r="D2189" s="3"/>
      <c r="E2189" s="3"/>
      <c r="F2189" s="2"/>
      <c r="G2189" s="2"/>
      <c r="I2189" s="1"/>
      <c r="J2189" s="1"/>
    </row>
    <row r="2190" spans="1:10" x14ac:dyDescent="0.2">
      <c r="A2190" s="3"/>
      <c r="B2190" s="3"/>
      <c r="C2190" s="3"/>
      <c r="D2190" s="3"/>
      <c r="E2190" s="3"/>
      <c r="F2190" s="2"/>
      <c r="G2190" s="2"/>
      <c r="I2190" s="1"/>
      <c r="J2190" s="1"/>
    </row>
    <row r="2191" spans="1:10" x14ac:dyDescent="0.2">
      <c r="A2191" s="3"/>
      <c r="B2191" s="3"/>
      <c r="C2191" s="3"/>
      <c r="D2191" s="3"/>
      <c r="E2191" s="3"/>
      <c r="F2191" s="2"/>
      <c r="G2191" s="2"/>
      <c r="I2191" s="1"/>
      <c r="J2191" s="1"/>
    </row>
    <row r="2192" spans="1:10" x14ac:dyDescent="0.2">
      <c r="A2192" s="3"/>
      <c r="B2192" s="3"/>
      <c r="C2192" s="3"/>
      <c r="D2192" s="3"/>
      <c r="E2192" s="3"/>
      <c r="F2192" s="2"/>
      <c r="G2192" s="2"/>
      <c r="I2192" s="1"/>
      <c r="J2192" s="1"/>
    </row>
    <row r="2193" spans="1:10" x14ac:dyDescent="0.2">
      <c r="A2193" s="3"/>
      <c r="B2193" s="3"/>
      <c r="C2193" s="3"/>
      <c r="D2193" s="3"/>
      <c r="E2193" s="3"/>
      <c r="F2193" s="2"/>
      <c r="G2193" s="2"/>
      <c r="I2193" s="1"/>
      <c r="J2193" s="1"/>
    </row>
    <row r="2194" spans="1:10" x14ac:dyDescent="0.2">
      <c r="A2194" s="3"/>
      <c r="B2194" s="3"/>
      <c r="C2194" s="3"/>
      <c r="D2194" s="3"/>
      <c r="E2194" s="3"/>
      <c r="F2194" s="2"/>
      <c r="G2194" s="2"/>
      <c r="I2194" s="1"/>
      <c r="J2194" s="1"/>
    </row>
    <row r="2195" spans="1:10" x14ac:dyDescent="0.2">
      <c r="A2195" s="3"/>
      <c r="B2195" s="3"/>
      <c r="C2195" s="3"/>
      <c r="D2195" s="3"/>
      <c r="E2195" s="3"/>
      <c r="F2195" s="2"/>
      <c r="G2195" s="2"/>
      <c r="I2195" s="1"/>
      <c r="J2195" s="1"/>
    </row>
    <row r="2196" spans="1:10" x14ac:dyDescent="0.2">
      <c r="A2196" s="3"/>
      <c r="B2196" s="3"/>
      <c r="C2196" s="3"/>
      <c r="D2196" s="3"/>
      <c r="E2196" s="3"/>
      <c r="F2196" s="2"/>
      <c r="G2196" s="2"/>
      <c r="I2196" s="1"/>
      <c r="J2196" s="1"/>
    </row>
    <row r="2197" spans="1:10" x14ac:dyDescent="0.2">
      <c r="A2197" s="3"/>
      <c r="B2197" s="3"/>
      <c r="C2197" s="3"/>
      <c r="D2197" s="3"/>
      <c r="E2197" s="3"/>
      <c r="F2197" s="2"/>
      <c r="G2197" s="2"/>
      <c r="I2197" s="1"/>
      <c r="J2197" s="1"/>
    </row>
    <row r="2198" spans="1:10" x14ac:dyDescent="0.2">
      <c r="A2198" s="3"/>
      <c r="B2198" s="3"/>
      <c r="C2198" s="3"/>
      <c r="D2198" s="3"/>
      <c r="E2198" s="3"/>
      <c r="F2198" s="2"/>
      <c r="G2198" s="2"/>
      <c r="I2198" s="1"/>
      <c r="J2198" s="1"/>
    </row>
    <row r="2199" spans="1:10" x14ac:dyDescent="0.2">
      <c r="A2199" s="3"/>
      <c r="B2199" s="3"/>
      <c r="C2199" s="3"/>
      <c r="D2199" s="3"/>
      <c r="E2199" s="3"/>
      <c r="F2199" s="2"/>
      <c r="G2199" s="2"/>
      <c r="I2199" s="1"/>
      <c r="J2199" s="1"/>
    </row>
    <row r="2200" spans="1:10" x14ac:dyDescent="0.2">
      <c r="A2200" s="3"/>
      <c r="B2200" s="3"/>
      <c r="C2200" s="3"/>
      <c r="D2200" s="3"/>
      <c r="E2200" s="3"/>
      <c r="F2200" s="2"/>
      <c r="G2200" s="2"/>
      <c r="I2200" s="1"/>
      <c r="J2200" s="1"/>
    </row>
    <row r="2201" spans="1:10" x14ac:dyDescent="0.2">
      <c r="A2201" s="3"/>
      <c r="B2201" s="3"/>
      <c r="C2201" s="3"/>
      <c r="D2201" s="3"/>
      <c r="E2201" s="3"/>
      <c r="F2201" s="2"/>
      <c r="G2201" s="2"/>
      <c r="I2201" s="1"/>
      <c r="J2201" s="1"/>
    </row>
    <row r="2202" spans="1:10" x14ac:dyDescent="0.2">
      <c r="A2202" s="3"/>
      <c r="B2202" s="3"/>
      <c r="C2202" s="3"/>
      <c r="D2202" s="3"/>
      <c r="E2202" s="3"/>
      <c r="F2202" s="2"/>
      <c r="G2202" s="2"/>
      <c r="I2202" s="1"/>
      <c r="J2202" s="1"/>
    </row>
    <row r="2203" spans="1:10" x14ac:dyDescent="0.2">
      <c r="A2203" s="3"/>
      <c r="B2203" s="3"/>
      <c r="C2203" s="3"/>
      <c r="D2203" s="3"/>
      <c r="E2203" s="3"/>
      <c r="F2203" s="2"/>
      <c r="G2203" s="2"/>
      <c r="I2203" s="1"/>
      <c r="J2203" s="1"/>
    </row>
    <row r="2204" spans="1:10" x14ac:dyDescent="0.2">
      <c r="A2204" s="3"/>
      <c r="B2204" s="3"/>
      <c r="C2204" s="3"/>
      <c r="D2204" s="3"/>
      <c r="E2204" s="3"/>
      <c r="F2204" s="2"/>
      <c r="G2204" s="2"/>
      <c r="I2204" s="1"/>
      <c r="J2204" s="1"/>
    </row>
    <row r="2205" spans="1:10" x14ac:dyDescent="0.2">
      <c r="A2205" s="3"/>
      <c r="B2205" s="3"/>
      <c r="C2205" s="3"/>
      <c r="D2205" s="3"/>
      <c r="E2205" s="3"/>
      <c r="F2205" s="2"/>
      <c r="G2205" s="2"/>
      <c r="I2205" s="1"/>
      <c r="J2205" s="1"/>
    </row>
    <row r="2206" spans="1:10" x14ac:dyDescent="0.2">
      <c r="A2206" s="3"/>
      <c r="B2206" s="3"/>
      <c r="C2206" s="3"/>
      <c r="D2206" s="3"/>
      <c r="E2206" s="3"/>
      <c r="F2206" s="2"/>
      <c r="G2206" s="2"/>
      <c r="I2206" s="1"/>
      <c r="J2206" s="1"/>
    </row>
    <row r="2207" spans="1:10" x14ac:dyDescent="0.2">
      <c r="A2207" s="3"/>
      <c r="B2207" s="3"/>
      <c r="C2207" s="3"/>
      <c r="D2207" s="3"/>
      <c r="E2207" s="3"/>
      <c r="F2207" s="2"/>
      <c r="G2207" s="2"/>
      <c r="I2207" s="1"/>
      <c r="J2207" s="1"/>
    </row>
    <row r="2208" spans="1:10" x14ac:dyDescent="0.2">
      <c r="A2208" s="3"/>
      <c r="B2208" s="3"/>
      <c r="C2208" s="3"/>
      <c r="D2208" s="3"/>
      <c r="E2208" s="3"/>
      <c r="F2208" s="2"/>
      <c r="G2208" s="2"/>
      <c r="I2208" s="1"/>
      <c r="J2208" s="1"/>
    </row>
    <row r="2209" spans="1:10" x14ac:dyDescent="0.2">
      <c r="A2209" s="3"/>
      <c r="B2209" s="3"/>
      <c r="C2209" s="3"/>
      <c r="D2209" s="3"/>
      <c r="E2209" s="3"/>
      <c r="F2209" s="2"/>
      <c r="G2209" s="2"/>
      <c r="I2209" s="1"/>
      <c r="J2209" s="1"/>
    </row>
    <row r="2210" spans="1:10" x14ac:dyDescent="0.2">
      <c r="A2210" s="3"/>
      <c r="B2210" s="3"/>
      <c r="C2210" s="3"/>
      <c r="D2210" s="3"/>
      <c r="E2210" s="3"/>
      <c r="F2210" s="2"/>
      <c r="G2210" s="2"/>
      <c r="I2210" s="1"/>
      <c r="J2210" s="1"/>
    </row>
    <row r="2211" spans="1:10" x14ac:dyDescent="0.2">
      <c r="A2211" s="3"/>
      <c r="B2211" s="3"/>
      <c r="C2211" s="3"/>
      <c r="D2211" s="3"/>
      <c r="E2211" s="3"/>
      <c r="F2211" s="2"/>
      <c r="G2211" s="2"/>
      <c r="I2211" s="1"/>
      <c r="J2211" s="1"/>
    </row>
    <row r="2212" spans="1:10" x14ac:dyDescent="0.2">
      <c r="A2212" s="3"/>
      <c r="B2212" s="3"/>
      <c r="C2212" s="3"/>
      <c r="D2212" s="3"/>
      <c r="E2212" s="3"/>
      <c r="F2212" s="2"/>
      <c r="G2212" s="2"/>
      <c r="I2212" s="1"/>
      <c r="J2212" s="1"/>
    </row>
    <row r="2213" spans="1:10" x14ac:dyDescent="0.2">
      <c r="A2213" s="3"/>
      <c r="B2213" s="3"/>
      <c r="C2213" s="3"/>
      <c r="D2213" s="3"/>
      <c r="E2213" s="3"/>
      <c r="F2213" s="2"/>
      <c r="G2213" s="2"/>
      <c r="I2213" s="1"/>
      <c r="J2213" s="1"/>
    </row>
    <row r="2214" spans="1:10" x14ac:dyDescent="0.2">
      <c r="A2214" s="3"/>
      <c r="B2214" s="3"/>
      <c r="C2214" s="3"/>
      <c r="D2214" s="3"/>
      <c r="E2214" s="3"/>
      <c r="F2214" s="2"/>
      <c r="G2214" s="2"/>
      <c r="I2214" s="1"/>
      <c r="J2214" s="1"/>
    </row>
    <row r="2215" spans="1:10" x14ac:dyDescent="0.2">
      <c r="A2215" s="3"/>
      <c r="B2215" s="3"/>
      <c r="C2215" s="3"/>
      <c r="D2215" s="3"/>
      <c r="E2215" s="3"/>
      <c r="F2215" s="2"/>
      <c r="G2215" s="2"/>
      <c r="I2215" s="1"/>
      <c r="J2215" s="1"/>
    </row>
    <row r="2216" spans="1:10" x14ac:dyDescent="0.2">
      <c r="A2216" s="3"/>
      <c r="B2216" s="3"/>
      <c r="C2216" s="3"/>
      <c r="D2216" s="3"/>
      <c r="E2216" s="3"/>
      <c r="F2216" s="2"/>
      <c r="G2216" s="2"/>
      <c r="I2216" s="1"/>
      <c r="J2216" s="1"/>
    </row>
    <row r="2217" spans="1:10" x14ac:dyDescent="0.2">
      <c r="A2217" s="3"/>
      <c r="B2217" s="3"/>
      <c r="C2217" s="3"/>
      <c r="D2217" s="3"/>
      <c r="E2217" s="3"/>
      <c r="F2217" s="2"/>
      <c r="G2217" s="2"/>
      <c r="I2217" s="1"/>
      <c r="J2217" s="1"/>
    </row>
    <row r="2218" spans="1:10" x14ac:dyDescent="0.2">
      <c r="A2218" s="3"/>
      <c r="B2218" s="3"/>
      <c r="C2218" s="3"/>
      <c r="D2218" s="3"/>
      <c r="E2218" s="3"/>
      <c r="F2218" s="2"/>
      <c r="G2218" s="2"/>
      <c r="I2218" s="1"/>
      <c r="J2218" s="1"/>
    </row>
    <row r="2219" spans="1:10" x14ac:dyDescent="0.2">
      <c r="A2219" s="3"/>
      <c r="B2219" s="3"/>
      <c r="C2219" s="3"/>
      <c r="D2219" s="3"/>
      <c r="E2219" s="3"/>
      <c r="F2219" s="2"/>
      <c r="G2219" s="2"/>
      <c r="I2219" s="1"/>
      <c r="J2219" s="1"/>
    </row>
    <row r="2220" spans="1:10" x14ac:dyDescent="0.2">
      <c r="A2220" s="3"/>
      <c r="B2220" s="3"/>
      <c r="C2220" s="3"/>
      <c r="D2220" s="3"/>
      <c r="E2220" s="3"/>
      <c r="F2220" s="2"/>
      <c r="G2220" s="2"/>
      <c r="I2220" s="1"/>
      <c r="J2220" s="1"/>
    </row>
    <row r="2221" spans="1:10" x14ac:dyDescent="0.2">
      <c r="A2221" s="3"/>
      <c r="B2221" s="3"/>
      <c r="C2221" s="3"/>
      <c r="D2221" s="3"/>
      <c r="E2221" s="3"/>
      <c r="F2221" s="2"/>
      <c r="G2221" s="2"/>
      <c r="I2221" s="1"/>
      <c r="J2221" s="1"/>
    </row>
    <row r="2222" spans="1:10" x14ac:dyDescent="0.2">
      <c r="A2222" s="3"/>
      <c r="B2222" s="3"/>
      <c r="C2222" s="3"/>
      <c r="D2222" s="3"/>
      <c r="E2222" s="3"/>
      <c r="F2222" s="2"/>
      <c r="G2222" s="2"/>
      <c r="I2222" s="1"/>
      <c r="J2222" s="1"/>
    </row>
    <row r="2223" spans="1:10" x14ac:dyDescent="0.2">
      <c r="A2223" s="3"/>
      <c r="B2223" s="3"/>
      <c r="C2223" s="3"/>
      <c r="D2223" s="3"/>
      <c r="E2223" s="3"/>
      <c r="F2223" s="2"/>
      <c r="G2223" s="2"/>
      <c r="I2223" s="1"/>
      <c r="J2223" s="1"/>
    </row>
    <row r="2224" spans="1:10" x14ac:dyDescent="0.2">
      <c r="A2224" s="3"/>
      <c r="B2224" s="3"/>
      <c r="C2224" s="3"/>
      <c r="D2224" s="3"/>
      <c r="E2224" s="3"/>
      <c r="F2224" s="2"/>
      <c r="G2224" s="2"/>
      <c r="I2224" s="1"/>
      <c r="J2224" s="1"/>
    </row>
    <row r="2225" spans="1:10" x14ac:dyDescent="0.2">
      <c r="A2225" s="3"/>
      <c r="B2225" s="3"/>
      <c r="C2225" s="3"/>
      <c r="D2225" s="3"/>
      <c r="E2225" s="3"/>
      <c r="F2225" s="2"/>
      <c r="G2225" s="2"/>
      <c r="I2225" s="1"/>
      <c r="J2225" s="1"/>
    </row>
    <row r="2226" spans="1:10" x14ac:dyDescent="0.2">
      <c r="A2226" s="3"/>
      <c r="B2226" s="3"/>
      <c r="C2226" s="3"/>
      <c r="D2226" s="3"/>
      <c r="E2226" s="3"/>
      <c r="F2226" s="2"/>
      <c r="G2226" s="2"/>
      <c r="I2226" s="1"/>
      <c r="J2226" s="1"/>
    </row>
    <row r="2227" spans="1:10" x14ac:dyDescent="0.2">
      <c r="A2227" s="3"/>
      <c r="B2227" s="3"/>
      <c r="C2227" s="3"/>
      <c r="D2227" s="3"/>
      <c r="E2227" s="3"/>
      <c r="F2227" s="2"/>
      <c r="G2227" s="2"/>
      <c r="I2227" s="1"/>
      <c r="J2227" s="1"/>
    </row>
    <row r="2228" spans="1:10" x14ac:dyDescent="0.2">
      <c r="A2228" s="3"/>
      <c r="B2228" s="3"/>
      <c r="C2228" s="3"/>
      <c r="D2228" s="3"/>
      <c r="E2228" s="3"/>
      <c r="F2228" s="2"/>
      <c r="G2228" s="2"/>
      <c r="I2228" s="1"/>
      <c r="J2228" s="1"/>
    </row>
    <row r="2229" spans="1:10" x14ac:dyDescent="0.2">
      <c r="A2229" s="3"/>
      <c r="B2229" s="3"/>
      <c r="C2229" s="3"/>
      <c r="D2229" s="3"/>
      <c r="E2229" s="3"/>
      <c r="F2229" s="2"/>
      <c r="G2229" s="2"/>
      <c r="I2229" s="1"/>
      <c r="J2229" s="1"/>
    </row>
    <row r="2230" spans="1:10" x14ac:dyDescent="0.2">
      <c r="A2230" s="3"/>
      <c r="B2230" s="3"/>
      <c r="C2230" s="3"/>
      <c r="D2230" s="3"/>
      <c r="E2230" s="3"/>
      <c r="F2230" s="2"/>
      <c r="G2230" s="2"/>
      <c r="I2230" s="1"/>
      <c r="J2230" s="1"/>
    </row>
    <row r="2231" spans="1:10" x14ac:dyDescent="0.2">
      <c r="A2231" s="3"/>
      <c r="B2231" s="3"/>
      <c r="C2231" s="3"/>
      <c r="D2231" s="3"/>
      <c r="E2231" s="3"/>
      <c r="F2231" s="2"/>
      <c r="G2231" s="2"/>
      <c r="I2231" s="1"/>
      <c r="J2231" s="1"/>
    </row>
    <row r="2232" spans="1:10" x14ac:dyDescent="0.2">
      <c r="A2232" s="3"/>
      <c r="B2232" s="3"/>
      <c r="C2232" s="3"/>
      <c r="D2232" s="3"/>
      <c r="E2232" s="3"/>
      <c r="F2232" s="2"/>
      <c r="G2232" s="2"/>
      <c r="I2232" s="1"/>
      <c r="J2232" s="1"/>
    </row>
    <row r="2233" spans="1:10" x14ac:dyDescent="0.2">
      <c r="A2233" s="3"/>
      <c r="B2233" s="3"/>
      <c r="C2233" s="3"/>
      <c r="D2233" s="3"/>
      <c r="E2233" s="3"/>
      <c r="F2233" s="2"/>
      <c r="G2233" s="2"/>
      <c r="I2233" s="1"/>
      <c r="J2233" s="1"/>
    </row>
    <row r="2234" spans="1:10" x14ac:dyDescent="0.2">
      <c r="A2234" s="3"/>
      <c r="B2234" s="3"/>
      <c r="C2234" s="3"/>
      <c r="D2234" s="3"/>
      <c r="E2234" s="3"/>
      <c r="F2234" s="2"/>
      <c r="G2234" s="2"/>
      <c r="I2234" s="1"/>
      <c r="J2234" s="1"/>
    </row>
    <row r="2235" spans="1:10" x14ac:dyDescent="0.2">
      <c r="A2235" s="3"/>
      <c r="B2235" s="3"/>
      <c r="C2235" s="3"/>
      <c r="D2235" s="3"/>
      <c r="E2235" s="3"/>
      <c r="F2235" s="2"/>
      <c r="G2235" s="2"/>
      <c r="I2235" s="1"/>
      <c r="J2235" s="1"/>
    </row>
    <row r="2236" spans="1:10" x14ac:dyDescent="0.2">
      <c r="A2236" s="3"/>
      <c r="B2236" s="3"/>
      <c r="C2236" s="3"/>
      <c r="D2236" s="3"/>
      <c r="E2236" s="3"/>
      <c r="F2236" s="2"/>
      <c r="G2236" s="2"/>
      <c r="I2236" s="1"/>
      <c r="J2236" s="1"/>
    </row>
    <row r="2237" spans="1:10" x14ac:dyDescent="0.2">
      <c r="A2237" s="3"/>
      <c r="B2237" s="3"/>
      <c r="C2237" s="3"/>
      <c r="D2237" s="3"/>
      <c r="E2237" s="3"/>
      <c r="F2237" s="2"/>
      <c r="G2237" s="2"/>
      <c r="I2237" s="1"/>
      <c r="J2237" s="1"/>
    </row>
    <row r="2238" spans="1:10" x14ac:dyDescent="0.2">
      <c r="A2238" s="3"/>
      <c r="B2238" s="3"/>
      <c r="C2238" s="3"/>
      <c r="D2238" s="3"/>
      <c r="E2238" s="3"/>
      <c r="F2238" s="2"/>
      <c r="G2238" s="2"/>
      <c r="I2238" s="1"/>
      <c r="J2238" s="1"/>
    </row>
    <row r="2239" spans="1:10" x14ac:dyDescent="0.2">
      <c r="A2239" s="3"/>
      <c r="B2239" s="3"/>
      <c r="C2239" s="3"/>
      <c r="D2239" s="3"/>
      <c r="E2239" s="3"/>
      <c r="F2239" s="2"/>
      <c r="G2239" s="2"/>
      <c r="I2239" s="1"/>
      <c r="J2239" s="1"/>
    </row>
    <row r="2240" spans="1:10" x14ac:dyDescent="0.2">
      <c r="A2240" s="3"/>
      <c r="B2240" s="3"/>
      <c r="C2240" s="3"/>
      <c r="D2240" s="3"/>
      <c r="E2240" s="3"/>
      <c r="F2240" s="2"/>
      <c r="G2240" s="2"/>
      <c r="I2240" s="1"/>
      <c r="J2240" s="1"/>
    </row>
    <row r="2241" spans="1:10" x14ac:dyDescent="0.2">
      <c r="A2241" s="3"/>
      <c r="B2241" s="3"/>
      <c r="C2241" s="3"/>
      <c r="D2241" s="3"/>
      <c r="E2241" s="3"/>
      <c r="F2241" s="2"/>
      <c r="G2241" s="2"/>
      <c r="I2241" s="1"/>
      <c r="J2241" s="1"/>
    </row>
    <row r="2242" spans="1:10" x14ac:dyDescent="0.2">
      <c r="A2242" s="3"/>
      <c r="B2242" s="3"/>
      <c r="C2242" s="3"/>
      <c r="D2242" s="3"/>
      <c r="E2242" s="3"/>
      <c r="F2242" s="2"/>
      <c r="G2242" s="2"/>
      <c r="I2242" s="1"/>
      <c r="J2242" s="1"/>
    </row>
    <row r="2243" spans="1:10" x14ac:dyDescent="0.2">
      <c r="A2243" s="3"/>
      <c r="B2243" s="3"/>
      <c r="C2243" s="3"/>
      <c r="D2243" s="3"/>
      <c r="E2243" s="3"/>
      <c r="F2243" s="2"/>
      <c r="G2243" s="2"/>
      <c r="I2243" s="1"/>
      <c r="J2243" s="1"/>
    </row>
    <row r="2244" spans="1:10" x14ac:dyDescent="0.2">
      <c r="A2244" s="3"/>
      <c r="B2244" s="3"/>
      <c r="C2244" s="3"/>
      <c r="D2244" s="3"/>
      <c r="E2244" s="3"/>
      <c r="F2244" s="2"/>
      <c r="G2244" s="2"/>
      <c r="I2244" s="1"/>
      <c r="J2244" s="1"/>
    </row>
    <row r="2245" spans="1:10" x14ac:dyDescent="0.2">
      <c r="A2245" s="3"/>
      <c r="B2245" s="3"/>
      <c r="C2245" s="3"/>
      <c r="D2245" s="3"/>
      <c r="E2245" s="3"/>
      <c r="F2245" s="2"/>
      <c r="G2245" s="2"/>
      <c r="I2245" s="1"/>
      <c r="J2245" s="1"/>
    </row>
    <row r="2246" spans="1:10" x14ac:dyDescent="0.2">
      <c r="A2246" s="3"/>
      <c r="B2246" s="3"/>
      <c r="C2246" s="3"/>
      <c r="D2246" s="3"/>
      <c r="E2246" s="3"/>
      <c r="F2246" s="2"/>
      <c r="G2246" s="2"/>
      <c r="I2246" s="1"/>
      <c r="J2246" s="1"/>
    </row>
    <row r="2247" spans="1:10" x14ac:dyDescent="0.2">
      <c r="A2247" s="3"/>
      <c r="B2247" s="3"/>
      <c r="C2247" s="3"/>
      <c r="D2247" s="3"/>
      <c r="E2247" s="3"/>
      <c r="F2247" s="2"/>
      <c r="G2247" s="2"/>
      <c r="I2247" s="1"/>
      <c r="J2247" s="1"/>
    </row>
    <row r="2248" spans="1:10" x14ac:dyDescent="0.2">
      <c r="A2248" s="3"/>
      <c r="B2248" s="3"/>
      <c r="C2248" s="3"/>
      <c r="D2248" s="3"/>
      <c r="E2248" s="3"/>
      <c r="F2248" s="2"/>
      <c r="G2248" s="2"/>
      <c r="I2248" s="1"/>
      <c r="J2248" s="1"/>
    </row>
    <row r="2249" spans="1:10" x14ac:dyDescent="0.2">
      <c r="A2249" s="3"/>
      <c r="B2249" s="3"/>
      <c r="C2249" s="3"/>
      <c r="D2249" s="3"/>
      <c r="E2249" s="3"/>
      <c r="F2249" s="2"/>
      <c r="G2249" s="2"/>
      <c r="I2249" s="1"/>
      <c r="J2249" s="1"/>
    </row>
    <row r="2250" spans="1:10" x14ac:dyDescent="0.2">
      <c r="A2250" s="3"/>
      <c r="B2250" s="3"/>
      <c r="C2250" s="3"/>
      <c r="D2250" s="3"/>
      <c r="E2250" s="3"/>
      <c r="F2250" s="2"/>
      <c r="G2250" s="2"/>
      <c r="I2250" s="1"/>
      <c r="J2250" s="1"/>
    </row>
    <row r="2251" spans="1:10" x14ac:dyDescent="0.2">
      <c r="A2251" s="3"/>
      <c r="B2251" s="3"/>
      <c r="C2251" s="3"/>
      <c r="D2251" s="3"/>
      <c r="E2251" s="3"/>
      <c r="F2251" s="2"/>
      <c r="G2251" s="2"/>
      <c r="I2251" s="1"/>
      <c r="J2251" s="1"/>
    </row>
    <row r="2252" spans="1:10" x14ac:dyDescent="0.2">
      <c r="A2252" s="3"/>
      <c r="B2252" s="3"/>
      <c r="C2252" s="3"/>
      <c r="D2252" s="3"/>
      <c r="E2252" s="3"/>
      <c r="F2252" s="2"/>
      <c r="G2252" s="2"/>
      <c r="I2252" s="1"/>
      <c r="J2252" s="1"/>
    </row>
    <row r="2253" spans="1:10" x14ac:dyDescent="0.2">
      <c r="A2253" s="3"/>
      <c r="B2253" s="3"/>
      <c r="C2253" s="3"/>
      <c r="D2253" s="3"/>
      <c r="E2253" s="3"/>
      <c r="F2253" s="2"/>
      <c r="G2253" s="2"/>
      <c r="I2253" s="1"/>
      <c r="J2253" s="1"/>
    </row>
    <row r="2254" spans="1:10" x14ac:dyDescent="0.2">
      <c r="A2254" s="3"/>
      <c r="B2254" s="3"/>
      <c r="C2254" s="3"/>
      <c r="D2254" s="3"/>
      <c r="E2254" s="3"/>
      <c r="F2254" s="2"/>
      <c r="G2254" s="2"/>
      <c r="I2254" s="1"/>
      <c r="J2254" s="1"/>
    </row>
    <row r="2255" spans="1:10" x14ac:dyDescent="0.2">
      <c r="A2255" s="3"/>
      <c r="B2255" s="3"/>
      <c r="C2255" s="3"/>
      <c r="D2255" s="3"/>
      <c r="E2255" s="3"/>
      <c r="F2255" s="2"/>
      <c r="G2255" s="2"/>
      <c r="I2255" s="1"/>
      <c r="J2255" s="1"/>
    </row>
    <row r="2256" spans="1:10" x14ac:dyDescent="0.2">
      <c r="A2256" s="3"/>
      <c r="B2256" s="3"/>
      <c r="C2256" s="3"/>
      <c r="D2256" s="3"/>
      <c r="E2256" s="3"/>
      <c r="F2256" s="2"/>
      <c r="G2256" s="2"/>
      <c r="I2256" s="1"/>
      <c r="J2256" s="1"/>
    </row>
    <row r="2257" spans="1:10" x14ac:dyDescent="0.2">
      <c r="A2257" s="3"/>
      <c r="B2257" s="3"/>
      <c r="C2257" s="3"/>
      <c r="D2257" s="3"/>
      <c r="E2257" s="3"/>
      <c r="F2257" s="2"/>
      <c r="G2257" s="2"/>
      <c r="I2257" s="1"/>
      <c r="J2257" s="1"/>
    </row>
    <row r="2258" spans="1:10" x14ac:dyDescent="0.2">
      <c r="A2258" s="3"/>
      <c r="B2258" s="3"/>
      <c r="C2258" s="3"/>
      <c r="D2258" s="3"/>
      <c r="E2258" s="3"/>
      <c r="F2258" s="2"/>
      <c r="G2258" s="2"/>
      <c r="I2258" s="1"/>
      <c r="J2258" s="1"/>
    </row>
    <row r="2259" spans="1:10" x14ac:dyDescent="0.2">
      <c r="A2259" s="3"/>
      <c r="B2259" s="3"/>
      <c r="C2259" s="3"/>
      <c r="D2259" s="3"/>
      <c r="E2259" s="3"/>
      <c r="F2259" s="2"/>
      <c r="G2259" s="2"/>
      <c r="I2259" s="1"/>
      <c r="J2259" s="1"/>
    </row>
    <row r="2260" spans="1:10" x14ac:dyDescent="0.2">
      <c r="A2260" s="3"/>
      <c r="B2260" s="3"/>
      <c r="C2260" s="3"/>
      <c r="D2260" s="3"/>
      <c r="E2260" s="3"/>
      <c r="F2260" s="2"/>
      <c r="G2260" s="2"/>
      <c r="I2260" s="1"/>
      <c r="J2260" s="1"/>
    </row>
    <row r="2261" spans="1:10" x14ac:dyDescent="0.2">
      <c r="A2261" s="3"/>
      <c r="B2261" s="3"/>
      <c r="C2261" s="3"/>
      <c r="D2261" s="3"/>
      <c r="E2261" s="3"/>
      <c r="F2261" s="2"/>
      <c r="G2261" s="2"/>
      <c r="I2261" s="1"/>
      <c r="J2261" s="1"/>
    </row>
    <row r="2262" spans="1:10" x14ac:dyDescent="0.2">
      <c r="A2262" s="3"/>
      <c r="B2262" s="3"/>
      <c r="C2262" s="3"/>
      <c r="D2262" s="3"/>
      <c r="E2262" s="3"/>
      <c r="F2262" s="2"/>
      <c r="G2262" s="2"/>
      <c r="I2262" s="1"/>
      <c r="J2262" s="1"/>
    </row>
    <row r="2263" spans="1:10" x14ac:dyDescent="0.2">
      <c r="A2263" s="3"/>
      <c r="B2263" s="3"/>
      <c r="C2263" s="3"/>
      <c r="D2263" s="3"/>
      <c r="E2263" s="3"/>
      <c r="F2263" s="2"/>
      <c r="G2263" s="2"/>
      <c r="I2263" s="1"/>
      <c r="J2263" s="1"/>
    </row>
    <row r="2264" spans="1:10" x14ac:dyDescent="0.2">
      <c r="A2264" s="3"/>
      <c r="B2264" s="3"/>
      <c r="C2264" s="3"/>
      <c r="D2264" s="3"/>
      <c r="E2264" s="3"/>
      <c r="F2264" s="2"/>
      <c r="G2264" s="2"/>
      <c r="I2264" s="1"/>
      <c r="J2264" s="1"/>
    </row>
    <row r="2265" spans="1:10" x14ac:dyDescent="0.2">
      <c r="A2265" s="3"/>
      <c r="B2265" s="3"/>
      <c r="C2265" s="3"/>
      <c r="D2265" s="3"/>
      <c r="E2265" s="3"/>
      <c r="F2265" s="2"/>
      <c r="G2265" s="2"/>
      <c r="I2265" s="1"/>
      <c r="J2265" s="1"/>
    </row>
    <row r="2266" spans="1:10" x14ac:dyDescent="0.2">
      <c r="A2266" s="3"/>
      <c r="B2266" s="3"/>
      <c r="C2266" s="3"/>
      <c r="D2266" s="3"/>
      <c r="E2266" s="3"/>
      <c r="F2266" s="2"/>
      <c r="G2266" s="2"/>
      <c r="I2266" s="1"/>
      <c r="J2266" s="1"/>
    </row>
    <row r="2267" spans="1:10" x14ac:dyDescent="0.2">
      <c r="A2267" s="3"/>
      <c r="B2267" s="3"/>
      <c r="C2267" s="3"/>
      <c r="D2267" s="3"/>
      <c r="E2267" s="3"/>
      <c r="F2267" s="2"/>
      <c r="G2267" s="2"/>
      <c r="I2267" s="1"/>
      <c r="J2267" s="1"/>
    </row>
    <row r="2268" spans="1:10" x14ac:dyDescent="0.2">
      <c r="A2268" s="3"/>
      <c r="B2268" s="3"/>
      <c r="C2268" s="3"/>
      <c r="D2268" s="3"/>
      <c r="E2268" s="3"/>
      <c r="F2268" s="2"/>
      <c r="G2268" s="2"/>
      <c r="I2268" s="1"/>
      <c r="J2268" s="1"/>
    </row>
    <row r="2269" spans="1:10" x14ac:dyDescent="0.2">
      <c r="A2269" s="3"/>
      <c r="B2269" s="3"/>
      <c r="C2269" s="3"/>
      <c r="D2269" s="3"/>
      <c r="E2269" s="3"/>
      <c r="F2269" s="2"/>
      <c r="G2269" s="2"/>
      <c r="I2269" s="1"/>
      <c r="J2269" s="1"/>
    </row>
    <row r="2270" spans="1:10" x14ac:dyDescent="0.2">
      <c r="A2270" s="3"/>
      <c r="B2270" s="3"/>
      <c r="C2270" s="3"/>
      <c r="D2270" s="3"/>
      <c r="E2270" s="3"/>
      <c r="F2270" s="2"/>
      <c r="G2270" s="2"/>
      <c r="I2270" s="1"/>
      <c r="J2270" s="1"/>
    </row>
    <row r="2271" spans="1:10" x14ac:dyDescent="0.2">
      <c r="A2271" s="3"/>
      <c r="B2271" s="3"/>
      <c r="C2271" s="3"/>
      <c r="D2271" s="3"/>
      <c r="E2271" s="3"/>
      <c r="F2271" s="2"/>
      <c r="G2271" s="2"/>
      <c r="I2271" s="1"/>
      <c r="J2271" s="1"/>
    </row>
    <row r="2272" spans="1:10" x14ac:dyDescent="0.2">
      <c r="A2272" s="3"/>
      <c r="B2272" s="3"/>
      <c r="C2272" s="3"/>
      <c r="D2272" s="3"/>
      <c r="E2272" s="3"/>
      <c r="F2272" s="2"/>
      <c r="G2272" s="2"/>
      <c r="I2272" s="1"/>
      <c r="J2272" s="1"/>
    </row>
    <row r="2273" spans="1:10" x14ac:dyDescent="0.2">
      <c r="A2273" s="3"/>
      <c r="B2273" s="3"/>
      <c r="C2273" s="3"/>
      <c r="D2273" s="3"/>
      <c r="E2273" s="3"/>
      <c r="F2273" s="2"/>
      <c r="G2273" s="2"/>
      <c r="I2273" s="1"/>
      <c r="J2273" s="1"/>
    </row>
    <row r="2274" spans="1:10" x14ac:dyDescent="0.2">
      <c r="A2274" s="3"/>
      <c r="B2274" s="3"/>
      <c r="C2274" s="3"/>
      <c r="D2274" s="3"/>
      <c r="E2274" s="3"/>
      <c r="F2274" s="2"/>
      <c r="G2274" s="2"/>
      <c r="I2274" s="1"/>
      <c r="J2274" s="1"/>
    </row>
    <row r="2275" spans="1:10" x14ac:dyDescent="0.2">
      <c r="A2275" s="3"/>
      <c r="B2275" s="3"/>
      <c r="C2275" s="3"/>
      <c r="D2275" s="3"/>
      <c r="E2275" s="3"/>
      <c r="F2275" s="2"/>
      <c r="G2275" s="2"/>
      <c r="I2275" s="1"/>
      <c r="J2275" s="1"/>
    </row>
    <row r="2276" spans="1:10" x14ac:dyDescent="0.2">
      <c r="A2276" s="3"/>
      <c r="B2276" s="3"/>
      <c r="C2276" s="3"/>
      <c r="D2276" s="3"/>
      <c r="E2276" s="3"/>
      <c r="F2276" s="2"/>
      <c r="G2276" s="2"/>
      <c r="I2276" s="1"/>
      <c r="J2276" s="1"/>
    </row>
    <row r="2277" spans="1:10" x14ac:dyDescent="0.2">
      <c r="A2277" s="3"/>
      <c r="B2277" s="3"/>
      <c r="C2277" s="3"/>
      <c r="D2277" s="3"/>
      <c r="E2277" s="3"/>
      <c r="F2277" s="2"/>
      <c r="G2277" s="2"/>
      <c r="I2277" s="1"/>
      <c r="J2277" s="1"/>
    </row>
    <row r="2278" spans="1:10" x14ac:dyDescent="0.2">
      <c r="A2278" s="3"/>
      <c r="B2278" s="3"/>
      <c r="C2278" s="3"/>
      <c r="D2278" s="3"/>
      <c r="E2278" s="3"/>
      <c r="F2278" s="2"/>
      <c r="G2278" s="2"/>
      <c r="I2278" s="1"/>
      <c r="J2278" s="1"/>
    </row>
    <row r="2279" spans="1:10" x14ac:dyDescent="0.2">
      <c r="A2279" s="3"/>
      <c r="B2279" s="3"/>
      <c r="C2279" s="3"/>
      <c r="D2279" s="3"/>
      <c r="E2279" s="3"/>
      <c r="F2279" s="2"/>
      <c r="G2279" s="2"/>
      <c r="I2279" s="1"/>
      <c r="J2279" s="1"/>
    </row>
    <row r="2280" spans="1:10" x14ac:dyDescent="0.2">
      <c r="A2280" s="3"/>
      <c r="B2280" s="3"/>
      <c r="C2280" s="3"/>
      <c r="D2280" s="3"/>
      <c r="E2280" s="3"/>
      <c r="F2280" s="2"/>
      <c r="G2280" s="2"/>
      <c r="I2280" s="1"/>
      <c r="J2280" s="1"/>
    </row>
    <row r="2281" spans="1:10" x14ac:dyDescent="0.2">
      <c r="A2281" s="3"/>
      <c r="B2281" s="3"/>
      <c r="C2281" s="3"/>
      <c r="D2281" s="3"/>
      <c r="E2281" s="3"/>
      <c r="F2281" s="2"/>
      <c r="G2281" s="2"/>
      <c r="I2281" s="1"/>
      <c r="J2281" s="1"/>
    </row>
    <row r="2282" spans="1:10" x14ac:dyDescent="0.2">
      <c r="A2282" s="3"/>
      <c r="B2282" s="3"/>
      <c r="C2282" s="3"/>
      <c r="D2282" s="3"/>
      <c r="E2282" s="3"/>
      <c r="F2282" s="2"/>
      <c r="G2282" s="2"/>
      <c r="I2282" s="1"/>
      <c r="J2282" s="1"/>
    </row>
    <row r="2283" spans="1:10" x14ac:dyDescent="0.2">
      <c r="A2283" s="3"/>
      <c r="B2283" s="3"/>
      <c r="C2283" s="3"/>
      <c r="D2283" s="3"/>
      <c r="E2283" s="3"/>
      <c r="F2283" s="2"/>
      <c r="G2283" s="2"/>
      <c r="I2283" s="1"/>
      <c r="J2283" s="1"/>
    </row>
    <row r="2284" spans="1:10" x14ac:dyDescent="0.2">
      <c r="A2284" s="3"/>
      <c r="B2284" s="3"/>
      <c r="C2284" s="3"/>
      <c r="D2284" s="3"/>
      <c r="E2284" s="3"/>
      <c r="F2284" s="2"/>
      <c r="G2284" s="2"/>
      <c r="I2284" s="1"/>
      <c r="J2284" s="1"/>
    </row>
    <row r="2285" spans="1:10" x14ac:dyDescent="0.2">
      <c r="A2285" s="3"/>
      <c r="B2285" s="3"/>
      <c r="C2285" s="3"/>
      <c r="D2285" s="3"/>
      <c r="E2285" s="3"/>
      <c r="F2285" s="2"/>
      <c r="G2285" s="2"/>
      <c r="I2285" s="1"/>
      <c r="J2285" s="1"/>
    </row>
    <row r="2286" spans="1:10" x14ac:dyDescent="0.2">
      <c r="A2286" s="3"/>
      <c r="B2286" s="3"/>
      <c r="C2286" s="3"/>
      <c r="D2286" s="3"/>
      <c r="E2286" s="3"/>
      <c r="F2286" s="2"/>
      <c r="G2286" s="2"/>
      <c r="I2286" s="1"/>
      <c r="J2286" s="1"/>
    </row>
    <row r="2287" spans="1:10" x14ac:dyDescent="0.2">
      <c r="A2287" s="3"/>
      <c r="B2287" s="3"/>
      <c r="C2287" s="3"/>
      <c r="D2287" s="3"/>
      <c r="E2287" s="3"/>
      <c r="F2287" s="2"/>
      <c r="G2287" s="2"/>
      <c r="I2287" s="1"/>
      <c r="J2287" s="1"/>
    </row>
    <row r="2288" spans="1:10" x14ac:dyDescent="0.2">
      <c r="A2288" s="3"/>
      <c r="B2288" s="3"/>
      <c r="C2288" s="3"/>
      <c r="D2288" s="3"/>
      <c r="E2288" s="3"/>
      <c r="F2288" s="2"/>
      <c r="G2288" s="2"/>
      <c r="I2288" s="1"/>
      <c r="J2288" s="1"/>
    </row>
    <row r="2289" spans="1:10" x14ac:dyDescent="0.2">
      <c r="A2289" s="3"/>
      <c r="B2289" s="3"/>
      <c r="C2289" s="3"/>
      <c r="D2289" s="3"/>
      <c r="E2289" s="3"/>
      <c r="F2289" s="2"/>
      <c r="G2289" s="2"/>
      <c r="I2289" s="1"/>
      <c r="J2289" s="1"/>
    </row>
    <row r="2290" spans="1:10" x14ac:dyDescent="0.2">
      <c r="A2290" s="3"/>
      <c r="B2290" s="3"/>
      <c r="C2290" s="3"/>
      <c r="D2290" s="3"/>
      <c r="E2290" s="3"/>
      <c r="F2290" s="2"/>
      <c r="G2290" s="2"/>
      <c r="I2290" s="1"/>
      <c r="J2290" s="1"/>
    </row>
    <row r="2291" spans="1:10" x14ac:dyDescent="0.2">
      <c r="A2291" s="3"/>
      <c r="B2291" s="3"/>
      <c r="C2291" s="3"/>
      <c r="D2291" s="3"/>
      <c r="E2291" s="3"/>
      <c r="F2291" s="2"/>
      <c r="G2291" s="2"/>
      <c r="I2291" s="1"/>
      <c r="J2291" s="1"/>
    </row>
    <row r="2292" spans="1:10" x14ac:dyDescent="0.2">
      <c r="A2292" s="3"/>
      <c r="B2292" s="3"/>
      <c r="C2292" s="3"/>
      <c r="D2292" s="3"/>
      <c r="E2292" s="3"/>
      <c r="F2292" s="2"/>
      <c r="G2292" s="2"/>
      <c r="I2292" s="1"/>
      <c r="J2292" s="1"/>
    </row>
    <row r="2293" spans="1:10" x14ac:dyDescent="0.2">
      <c r="A2293" s="3"/>
      <c r="B2293" s="3"/>
      <c r="C2293" s="3"/>
      <c r="D2293" s="3"/>
      <c r="E2293" s="3"/>
      <c r="F2293" s="2"/>
      <c r="G2293" s="2"/>
      <c r="I2293" s="1"/>
      <c r="J2293" s="1"/>
    </row>
    <row r="2294" spans="1:10" x14ac:dyDescent="0.2">
      <c r="A2294" s="3"/>
      <c r="B2294" s="3"/>
      <c r="C2294" s="3"/>
      <c r="D2294" s="3"/>
      <c r="E2294" s="3"/>
      <c r="F2294" s="2"/>
      <c r="G2294" s="2"/>
      <c r="I2294" s="1"/>
      <c r="J2294" s="1"/>
    </row>
    <row r="2295" spans="1:10" x14ac:dyDescent="0.2">
      <c r="A2295" s="3"/>
      <c r="B2295" s="3"/>
      <c r="C2295" s="3"/>
      <c r="D2295" s="3"/>
      <c r="E2295" s="3"/>
      <c r="F2295" s="2"/>
      <c r="G2295" s="2"/>
      <c r="I2295" s="1"/>
      <c r="J2295" s="1"/>
    </row>
    <row r="2296" spans="1:10" x14ac:dyDescent="0.2">
      <c r="A2296" s="3"/>
      <c r="B2296" s="3"/>
      <c r="C2296" s="3"/>
      <c r="D2296" s="3"/>
      <c r="E2296" s="3"/>
      <c r="F2296" s="2"/>
      <c r="G2296" s="2"/>
      <c r="I2296" s="1"/>
      <c r="J2296" s="1"/>
    </row>
    <row r="2297" spans="1:10" x14ac:dyDescent="0.2">
      <c r="A2297" s="3"/>
      <c r="B2297" s="3"/>
      <c r="C2297" s="3"/>
      <c r="D2297" s="3"/>
      <c r="E2297" s="3"/>
      <c r="F2297" s="2"/>
      <c r="G2297" s="2"/>
      <c r="I2297" s="1"/>
      <c r="J2297" s="1"/>
    </row>
    <row r="2298" spans="1:10" x14ac:dyDescent="0.2">
      <c r="A2298" s="3"/>
      <c r="B2298" s="3"/>
      <c r="C2298" s="3"/>
      <c r="D2298" s="3"/>
      <c r="E2298" s="3"/>
      <c r="F2298" s="2"/>
      <c r="G2298" s="2"/>
      <c r="I2298" s="1"/>
      <c r="J2298" s="1"/>
    </row>
    <row r="2299" spans="1:10" x14ac:dyDescent="0.2">
      <c r="A2299" s="3"/>
      <c r="B2299" s="3"/>
      <c r="C2299" s="3"/>
      <c r="D2299" s="3"/>
      <c r="E2299" s="3"/>
      <c r="F2299" s="2"/>
      <c r="G2299" s="2"/>
      <c r="I2299" s="1"/>
      <c r="J2299" s="1"/>
    </row>
    <row r="2300" spans="1:10" x14ac:dyDescent="0.2">
      <c r="A2300" s="3"/>
      <c r="B2300" s="3"/>
      <c r="C2300" s="3"/>
      <c r="D2300" s="3"/>
      <c r="E2300" s="3"/>
      <c r="F2300" s="2"/>
      <c r="G2300" s="2"/>
      <c r="I2300" s="1"/>
      <c r="J2300" s="1"/>
    </row>
    <row r="2301" spans="1:10" x14ac:dyDescent="0.2">
      <c r="A2301" s="3"/>
      <c r="B2301" s="3"/>
      <c r="C2301" s="3"/>
      <c r="D2301" s="3"/>
      <c r="E2301" s="3"/>
      <c r="F2301" s="2"/>
      <c r="G2301" s="2"/>
      <c r="I2301" s="1"/>
      <c r="J2301" s="1"/>
    </row>
    <row r="2302" spans="1:10" x14ac:dyDescent="0.2">
      <c r="A2302" s="3"/>
      <c r="B2302" s="3"/>
      <c r="C2302" s="3"/>
      <c r="D2302" s="3"/>
      <c r="E2302" s="3"/>
      <c r="F2302" s="2"/>
      <c r="G2302" s="2"/>
      <c r="I2302" s="1"/>
      <c r="J2302" s="1"/>
    </row>
    <row r="2303" spans="1:10" x14ac:dyDescent="0.2">
      <c r="A2303" s="3"/>
      <c r="B2303" s="3"/>
      <c r="C2303" s="3"/>
      <c r="D2303" s="3"/>
      <c r="E2303" s="3"/>
      <c r="F2303" s="2"/>
      <c r="G2303" s="2"/>
      <c r="I2303" s="1"/>
      <c r="J2303" s="1"/>
    </row>
    <row r="2304" spans="1:10" x14ac:dyDescent="0.2">
      <c r="A2304" s="3"/>
      <c r="B2304" s="3"/>
      <c r="C2304" s="3"/>
      <c r="D2304" s="3"/>
      <c r="E2304" s="3"/>
      <c r="F2304" s="2"/>
      <c r="G2304" s="2"/>
      <c r="I2304" s="1"/>
      <c r="J2304" s="1"/>
    </row>
    <row r="2305" spans="1:10" x14ac:dyDescent="0.2">
      <c r="A2305" s="3"/>
      <c r="B2305" s="3"/>
      <c r="C2305" s="3"/>
      <c r="D2305" s="3"/>
      <c r="E2305" s="3"/>
      <c r="F2305" s="2"/>
      <c r="G2305" s="2"/>
      <c r="I2305" s="1"/>
      <c r="J2305" s="1"/>
    </row>
    <row r="2306" spans="1:10" x14ac:dyDescent="0.2">
      <c r="A2306" s="3"/>
      <c r="B2306" s="3"/>
      <c r="C2306" s="3"/>
      <c r="D2306" s="3"/>
      <c r="E2306" s="3"/>
      <c r="F2306" s="2"/>
      <c r="G2306" s="2"/>
      <c r="I2306" s="1"/>
      <c r="J2306" s="1"/>
    </row>
    <row r="2307" spans="1:10" x14ac:dyDescent="0.2">
      <c r="A2307" s="3"/>
      <c r="B2307" s="3"/>
      <c r="C2307" s="3"/>
      <c r="D2307" s="3"/>
      <c r="E2307" s="3"/>
      <c r="F2307" s="2"/>
      <c r="G2307" s="2"/>
      <c r="I2307" s="1"/>
      <c r="J2307" s="1"/>
    </row>
    <row r="2308" spans="1:10" x14ac:dyDescent="0.2">
      <c r="A2308" s="3"/>
      <c r="B2308" s="3"/>
      <c r="C2308" s="3"/>
      <c r="D2308" s="3"/>
      <c r="E2308" s="3"/>
      <c r="F2308" s="2"/>
      <c r="G2308" s="2"/>
      <c r="I2308" s="1"/>
      <c r="J2308" s="1"/>
    </row>
    <row r="2309" spans="1:10" x14ac:dyDescent="0.2">
      <c r="A2309" s="3"/>
      <c r="B2309" s="3"/>
      <c r="C2309" s="3"/>
      <c r="D2309" s="3"/>
      <c r="E2309" s="3"/>
      <c r="F2309" s="2"/>
      <c r="G2309" s="2"/>
      <c r="I2309" s="1"/>
      <c r="J2309" s="1"/>
    </row>
    <row r="2310" spans="1:10" x14ac:dyDescent="0.2">
      <c r="A2310" s="3"/>
      <c r="B2310" s="3"/>
      <c r="C2310" s="3"/>
      <c r="D2310" s="3"/>
      <c r="E2310" s="3"/>
      <c r="F2310" s="2"/>
      <c r="G2310" s="2"/>
      <c r="I2310" s="1"/>
      <c r="J2310" s="1"/>
    </row>
    <row r="2311" spans="1:10" x14ac:dyDescent="0.2">
      <c r="A2311" s="3"/>
      <c r="B2311" s="3"/>
      <c r="C2311" s="3"/>
      <c r="D2311" s="3"/>
      <c r="E2311" s="3"/>
      <c r="F2311" s="2"/>
      <c r="G2311" s="2"/>
      <c r="I2311" s="1"/>
      <c r="J2311" s="1"/>
    </row>
    <row r="2312" spans="1:10" x14ac:dyDescent="0.2">
      <c r="A2312" s="3"/>
      <c r="B2312" s="3"/>
      <c r="C2312" s="3"/>
      <c r="D2312" s="3"/>
      <c r="E2312" s="3"/>
      <c r="F2312" s="2"/>
      <c r="G2312" s="2"/>
      <c r="I2312" s="1"/>
      <c r="J2312" s="1"/>
    </row>
    <row r="2313" spans="1:10" x14ac:dyDescent="0.2">
      <c r="A2313" s="3"/>
      <c r="B2313" s="3"/>
      <c r="C2313" s="3"/>
      <c r="D2313" s="3"/>
      <c r="E2313" s="3"/>
      <c r="F2313" s="2"/>
      <c r="G2313" s="2"/>
      <c r="I2313" s="1"/>
      <c r="J2313" s="1"/>
    </row>
    <row r="2314" spans="1:10" x14ac:dyDescent="0.2">
      <c r="A2314" s="3"/>
      <c r="B2314" s="3"/>
      <c r="C2314" s="3"/>
      <c r="D2314" s="3"/>
      <c r="E2314" s="3"/>
      <c r="F2314" s="2"/>
      <c r="G2314" s="2"/>
      <c r="I2314" s="1"/>
      <c r="J2314" s="1"/>
    </row>
    <row r="2315" spans="1:10" x14ac:dyDescent="0.2">
      <c r="A2315" s="3"/>
      <c r="B2315" s="3"/>
      <c r="C2315" s="3"/>
      <c r="D2315" s="3"/>
      <c r="E2315" s="3"/>
      <c r="F2315" s="2"/>
      <c r="G2315" s="2"/>
      <c r="I2315" s="1"/>
      <c r="J2315" s="1"/>
    </row>
    <row r="2316" spans="1:10" x14ac:dyDescent="0.2">
      <c r="A2316" s="3"/>
      <c r="B2316" s="3"/>
      <c r="C2316" s="3"/>
      <c r="D2316" s="3"/>
      <c r="E2316" s="3"/>
      <c r="F2316" s="2"/>
      <c r="G2316" s="2"/>
      <c r="I2316" s="1"/>
      <c r="J2316" s="1"/>
    </row>
    <row r="2317" spans="1:10" x14ac:dyDescent="0.2">
      <c r="A2317" s="3"/>
      <c r="B2317" s="3"/>
      <c r="C2317" s="3"/>
      <c r="D2317" s="3"/>
      <c r="E2317" s="3"/>
      <c r="F2317" s="2"/>
      <c r="G2317" s="2"/>
      <c r="I2317" s="1"/>
      <c r="J2317" s="1"/>
    </row>
    <row r="2318" spans="1:10" x14ac:dyDescent="0.2">
      <c r="A2318" s="3"/>
      <c r="B2318" s="3"/>
      <c r="C2318" s="3"/>
      <c r="D2318" s="3"/>
      <c r="E2318" s="3"/>
      <c r="F2318" s="2"/>
      <c r="G2318" s="2"/>
      <c r="I2318" s="1"/>
      <c r="J2318" s="1"/>
    </row>
    <row r="2319" spans="1:10" x14ac:dyDescent="0.2">
      <c r="A2319" s="3"/>
      <c r="B2319" s="3"/>
      <c r="C2319" s="3"/>
      <c r="D2319" s="3"/>
      <c r="E2319" s="3"/>
      <c r="F2319" s="2"/>
      <c r="G2319" s="2"/>
      <c r="I2319" s="1"/>
      <c r="J2319" s="1"/>
    </row>
    <row r="2320" spans="1:10" x14ac:dyDescent="0.2">
      <c r="A2320" s="3"/>
      <c r="B2320" s="3"/>
      <c r="C2320" s="3"/>
      <c r="D2320" s="3"/>
      <c r="E2320" s="3"/>
      <c r="F2320" s="2"/>
      <c r="G2320" s="2"/>
      <c r="I2320" s="1"/>
      <c r="J2320" s="1"/>
    </row>
    <row r="2321" spans="1:10" x14ac:dyDescent="0.2">
      <c r="A2321" s="3"/>
      <c r="B2321" s="3"/>
      <c r="C2321" s="3"/>
      <c r="D2321" s="3"/>
      <c r="E2321" s="3"/>
      <c r="F2321" s="2"/>
      <c r="G2321" s="2"/>
      <c r="I2321" s="1"/>
      <c r="J2321" s="1"/>
    </row>
    <row r="2322" spans="1:10" x14ac:dyDescent="0.2">
      <c r="A2322" s="3"/>
      <c r="B2322" s="3"/>
      <c r="C2322" s="3"/>
      <c r="D2322" s="3"/>
      <c r="E2322" s="3"/>
      <c r="F2322" s="2"/>
      <c r="G2322" s="2"/>
      <c r="I2322" s="1"/>
      <c r="J2322" s="1"/>
    </row>
    <row r="2323" spans="1:10" x14ac:dyDescent="0.2">
      <c r="A2323" s="3"/>
      <c r="B2323" s="3"/>
      <c r="C2323" s="3"/>
      <c r="D2323" s="3"/>
      <c r="E2323" s="3"/>
      <c r="F2323" s="2"/>
      <c r="G2323" s="2"/>
      <c r="I2323" s="1"/>
      <c r="J2323" s="1"/>
    </row>
    <row r="2324" spans="1:10" x14ac:dyDescent="0.2">
      <c r="A2324" s="3"/>
      <c r="B2324" s="3"/>
      <c r="C2324" s="3"/>
      <c r="D2324" s="3"/>
      <c r="E2324" s="3"/>
      <c r="F2324" s="2"/>
      <c r="G2324" s="2"/>
      <c r="I2324" s="1"/>
      <c r="J2324" s="1"/>
    </row>
    <row r="2325" spans="1:10" x14ac:dyDescent="0.2">
      <c r="A2325" s="3"/>
      <c r="B2325" s="3"/>
      <c r="C2325" s="3"/>
      <c r="D2325" s="3"/>
      <c r="E2325" s="3"/>
      <c r="F2325" s="2"/>
      <c r="G2325" s="2"/>
      <c r="I2325" s="1"/>
      <c r="J2325" s="1"/>
    </row>
    <row r="2326" spans="1:10" x14ac:dyDescent="0.2">
      <c r="A2326" s="3"/>
      <c r="B2326" s="3"/>
      <c r="C2326" s="3"/>
      <c r="D2326" s="3"/>
      <c r="E2326" s="3"/>
      <c r="F2326" s="2"/>
      <c r="G2326" s="2"/>
      <c r="I2326" s="1"/>
      <c r="J2326" s="1"/>
    </row>
    <row r="2327" spans="1:10" x14ac:dyDescent="0.2">
      <c r="A2327" s="3"/>
      <c r="B2327" s="3"/>
      <c r="C2327" s="3"/>
      <c r="D2327" s="3"/>
      <c r="E2327" s="3"/>
      <c r="F2327" s="2"/>
      <c r="G2327" s="2"/>
      <c r="I2327" s="1"/>
      <c r="J2327" s="1"/>
    </row>
    <row r="2328" spans="1:10" x14ac:dyDescent="0.2">
      <c r="A2328" s="3"/>
      <c r="B2328" s="3"/>
      <c r="C2328" s="3"/>
      <c r="D2328" s="3"/>
      <c r="E2328" s="3"/>
      <c r="F2328" s="2"/>
      <c r="G2328" s="2"/>
      <c r="I2328" s="1"/>
      <c r="J2328" s="1"/>
    </row>
    <row r="2329" spans="1:10" x14ac:dyDescent="0.2">
      <c r="A2329" s="3"/>
      <c r="B2329" s="3"/>
      <c r="C2329" s="3"/>
      <c r="D2329" s="3"/>
      <c r="E2329" s="3"/>
      <c r="F2329" s="2"/>
      <c r="G2329" s="2"/>
      <c r="I2329" s="1"/>
      <c r="J2329" s="1"/>
    </row>
    <row r="2330" spans="1:10" x14ac:dyDescent="0.2">
      <c r="A2330" s="3"/>
      <c r="B2330" s="3"/>
      <c r="C2330" s="3"/>
      <c r="D2330" s="3"/>
      <c r="E2330" s="3"/>
      <c r="F2330" s="2"/>
      <c r="G2330" s="2"/>
      <c r="I2330" s="1"/>
      <c r="J2330" s="1"/>
    </row>
    <row r="2331" spans="1:10" x14ac:dyDescent="0.2">
      <c r="A2331" s="3"/>
      <c r="B2331" s="3"/>
      <c r="C2331" s="3"/>
      <c r="D2331" s="3"/>
      <c r="E2331" s="3"/>
      <c r="F2331" s="2"/>
      <c r="G2331" s="2"/>
      <c r="I2331" s="1"/>
      <c r="J2331" s="1"/>
    </row>
    <row r="2332" spans="1:10" x14ac:dyDescent="0.2">
      <c r="A2332" s="3"/>
      <c r="B2332" s="3"/>
      <c r="C2332" s="3"/>
      <c r="D2332" s="3"/>
      <c r="E2332" s="3"/>
      <c r="F2332" s="2"/>
      <c r="G2332" s="2"/>
      <c r="I2332" s="1"/>
      <c r="J2332" s="1"/>
    </row>
    <row r="2333" spans="1:10" x14ac:dyDescent="0.2">
      <c r="A2333" s="3"/>
      <c r="B2333" s="3"/>
      <c r="C2333" s="3"/>
      <c r="D2333" s="3"/>
      <c r="E2333" s="3"/>
      <c r="F2333" s="2"/>
      <c r="G2333" s="2"/>
      <c r="I2333" s="1"/>
      <c r="J2333" s="1"/>
    </row>
    <row r="2334" spans="1:10" x14ac:dyDescent="0.2">
      <c r="A2334" s="3"/>
      <c r="B2334" s="3"/>
      <c r="C2334" s="3"/>
      <c r="D2334" s="3"/>
      <c r="E2334" s="3"/>
      <c r="F2334" s="2"/>
      <c r="G2334" s="2"/>
      <c r="I2334" s="1"/>
      <c r="J2334" s="1"/>
    </row>
    <row r="2335" spans="1:10" x14ac:dyDescent="0.2">
      <c r="A2335" s="3"/>
      <c r="B2335" s="3"/>
      <c r="C2335" s="3"/>
      <c r="D2335" s="3"/>
      <c r="E2335" s="3"/>
      <c r="F2335" s="2"/>
      <c r="G2335" s="2"/>
      <c r="I2335" s="1"/>
      <c r="J2335" s="1"/>
    </row>
    <row r="2336" spans="1:10" x14ac:dyDescent="0.2">
      <c r="A2336" s="3"/>
      <c r="B2336" s="3"/>
      <c r="C2336" s="3"/>
      <c r="D2336" s="3"/>
      <c r="E2336" s="3"/>
      <c r="F2336" s="2"/>
      <c r="G2336" s="2"/>
      <c r="I2336" s="1"/>
      <c r="J2336" s="1"/>
    </row>
    <row r="2337" spans="1:10" x14ac:dyDescent="0.2">
      <c r="A2337" s="3"/>
      <c r="B2337" s="3"/>
      <c r="C2337" s="3"/>
      <c r="D2337" s="3"/>
      <c r="E2337" s="3"/>
      <c r="F2337" s="2"/>
      <c r="G2337" s="2"/>
      <c r="I2337" s="1"/>
      <c r="J2337" s="1"/>
    </row>
    <row r="2338" spans="1:10" x14ac:dyDescent="0.2">
      <c r="A2338" s="3"/>
      <c r="B2338" s="3"/>
      <c r="C2338" s="3"/>
      <c r="D2338" s="3"/>
      <c r="E2338" s="3"/>
      <c r="F2338" s="2"/>
      <c r="G2338" s="2"/>
      <c r="I2338" s="1"/>
      <c r="J2338" s="1"/>
    </row>
    <row r="2339" spans="1:10" x14ac:dyDescent="0.2">
      <c r="A2339" s="3"/>
      <c r="B2339" s="3"/>
      <c r="C2339" s="3"/>
      <c r="D2339" s="3"/>
      <c r="E2339" s="3"/>
      <c r="F2339" s="2"/>
      <c r="G2339" s="2"/>
      <c r="I2339" s="1"/>
      <c r="J2339" s="1"/>
    </row>
    <row r="2340" spans="1:10" x14ac:dyDescent="0.2">
      <c r="A2340" s="3"/>
      <c r="B2340" s="3"/>
      <c r="C2340" s="3"/>
      <c r="D2340" s="3"/>
      <c r="E2340" s="3"/>
      <c r="F2340" s="2"/>
      <c r="G2340" s="2"/>
      <c r="I2340" s="1"/>
      <c r="J2340" s="1"/>
    </row>
    <row r="2341" spans="1:10" x14ac:dyDescent="0.2">
      <c r="A2341" s="3"/>
      <c r="B2341" s="3"/>
      <c r="C2341" s="3"/>
      <c r="D2341" s="3"/>
      <c r="E2341" s="3"/>
      <c r="F2341" s="2"/>
      <c r="G2341" s="2"/>
      <c r="I2341" s="1"/>
      <c r="J2341" s="1"/>
    </row>
    <row r="2342" spans="1:10" x14ac:dyDescent="0.2">
      <c r="A2342" s="3"/>
      <c r="B2342" s="3"/>
      <c r="C2342" s="3"/>
      <c r="D2342" s="3"/>
      <c r="E2342" s="3"/>
      <c r="F2342" s="2"/>
      <c r="G2342" s="2"/>
      <c r="I2342" s="1"/>
      <c r="J2342" s="1"/>
    </row>
    <row r="2343" spans="1:10" x14ac:dyDescent="0.2">
      <c r="A2343" s="3"/>
      <c r="B2343" s="3"/>
      <c r="C2343" s="3"/>
      <c r="D2343" s="3"/>
      <c r="E2343" s="3"/>
      <c r="F2343" s="2"/>
      <c r="G2343" s="2"/>
      <c r="I2343" s="1"/>
      <c r="J2343" s="1"/>
    </row>
    <row r="2344" spans="1:10" x14ac:dyDescent="0.2">
      <c r="A2344" s="3"/>
      <c r="B2344" s="3"/>
      <c r="C2344" s="3"/>
      <c r="D2344" s="3"/>
      <c r="E2344" s="3"/>
      <c r="F2344" s="2"/>
      <c r="G2344" s="2"/>
      <c r="I2344" s="1"/>
      <c r="J2344" s="1"/>
    </row>
    <row r="2345" spans="1:10" x14ac:dyDescent="0.2">
      <c r="A2345" s="3"/>
      <c r="B2345" s="3"/>
      <c r="C2345" s="3"/>
      <c r="D2345" s="3"/>
      <c r="E2345" s="3"/>
      <c r="F2345" s="2"/>
      <c r="G2345" s="2"/>
      <c r="I2345" s="1"/>
      <c r="J2345" s="1"/>
    </row>
    <row r="2346" spans="1:10" x14ac:dyDescent="0.2">
      <c r="A2346" s="3"/>
      <c r="B2346" s="3"/>
      <c r="C2346" s="3"/>
      <c r="D2346" s="3"/>
      <c r="E2346" s="3"/>
      <c r="F2346" s="2"/>
      <c r="G2346" s="2"/>
      <c r="I2346" s="1"/>
      <c r="J2346" s="1"/>
    </row>
    <row r="2347" spans="1:10" x14ac:dyDescent="0.2">
      <c r="A2347" s="3"/>
      <c r="B2347" s="3"/>
      <c r="C2347" s="3"/>
      <c r="D2347" s="3"/>
      <c r="E2347" s="3"/>
      <c r="F2347" s="2"/>
      <c r="G2347" s="2"/>
      <c r="I2347" s="1"/>
      <c r="J2347" s="1"/>
    </row>
    <row r="2348" spans="1:10" x14ac:dyDescent="0.2">
      <c r="A2348" s="3"/>
      <c r="B2348" s="3"/>
      <c r="C2348" s="3"/>
      <c r="D2348" s="3"/>
      <c r="E2348" s="3"/>
      <c r="F2348" s="2"/>
      <c r="G2348" s="2"/>
      <c r="I2348" s="1"/>
      <c r="J2348" s="1"/>
    </row>
    <row r="2349" spans="1:10" x14ac:dyDescent="0.2">
      <c r="A2349" s="3"/>
      <c r="B2349" s="3"/>
      <c r="C2349" s="3"/>
      <c r="D2349" s="3"/>
      <c r="E2349" s="3"/>
      <c r="F2349" s="2"/>
      <c r="G2349" s="2"/>
      <c r="I2349" s="1"/>
      <c r="J2349" s="1"/>
    </row>
    <row r="2350" spans="1:10" x14ac:dyDescent="0.2">
      <c r="A2350" s="3"/>
      <c r="B2350" s="3"/>
      <c r="C2350" s="3"/>
      <c r="D2350" s="3"/>
      <c r="E2350" s="3"/>
      <c r="F2350" s="2"/>
      <c r="G2350" s="2"/>
      <c r="I2350" s="1"/>
      <c r="J2350" s="1"/>
    </row>
    <row r="2351" spans="1:10" x14ac:dyDescent="0.2">
      <c r="A2351" s="3"/>
      <c r="B2351" s="3"/>
      <c r="C2351" s="3"/>
      <c r="D2351" s="3"/>
      <c r="E2351" s="3"/>
      <c r="F2351" s="2"/>
      <c r="G2351" s="2"/>
      <c r="I2351" s="1"/>
      <c r="J2351" s="1"/>
    </row>
    <row r="2352" spans="1:10" x14ac:dyDescent="0.2">
      <c r="A2352" s="3"/>
      <c r="B2352" s="3"/>
      <c r="C2352" s="3"/>
      <c r="D2352" s="3"/>
      <c r="E2352" s="3"/>
      <c r="F2352" s="2"/>
      <c r="G2352" s="2"/>
      <c r="I2352" s="1"/>
      <c r="J2352" s="1"/>
    </row>
    <row r="2353" spans="1:10" x14ac:dyDescent="0.2">
      <c r="A2353" s="3"/>
      <c r="B2353" s="3"/>
      <c r="C2353" s="3"/>
      <c r="D2353" s="3"/>
      <c r="E2353" s="3"/>
      <c r="F2353" s="2"/>
      <c r="G2353" s="2"/>
      <c r="I2353" s="1"/>
      <c r="J2353" s="1"/>
    </row>
    <row r="2354" spans="1:10" x14ac:dyDescent="0.2">
      <c r="A2354" s="3"/>
      <c r="B2354" s="3"/>
      <c r="C2354" s="3"/>
      <c r="D2354" s="3"/>
      <c r="E2354" s="3"/>
      <c r="F2354" s="2"/>
      <c r="G2354" s="2"/>
      <c r="I2354" s="1"/>
      <c r="J2354" s="1"/>
    </row>
    <row r="2355" spans="1:10" x14ac:dyDescent="0.2">
      <c r="A2355" s="3"/>
      <c r="B2355" s="3"/>
      <c r="C2355" s="3"/>
      <c r="D2355" s="3"/>
      <c r="E2355" s="3"/>
      <c r="F2355" s="2"/>
      <c r="G2355" s="2"/>
      <c r="I2355" s="1"/>
      <c r="J2355" s="1"/>
    </row>
    <row r="2356" spans="1:10" x14ac:dyDescent="0.2">
      <c r="A2356" s="3"/>
      <c r="B2356" s="3"/>
      <c r="C2356" s="3"/>
      <c r="D2356" s="3"/>
      <c r="E2356" s="3"/>
      <c r="F2356" s="2"/>
      <c r="G2356" s="2"/>
      <c r="I2356" s="1"/>
      <c r="J2356" s="1"/>
    </row>
    <row r="2357" spans="1:10" x14ac:dyDescent="0.2">
      <c r="A2357" s="3"/>
      <c r="B2357" s="3"/>
      <c r="C2357" s="3"/>
      <c r="D2357" s="3"/>
      <c r="E2357" s="3"/>
      <c r="F2357" s="2"/>
      <c r="G2357" s="2"/>
      <c r="I2357" s="1"/>
      <c r="J2357" s="1"/>
    </row>
    <row r="2358" spans="1:10" x14ac:dyDescent="0.2">
      <c r="A2358" s="3"/>
      <c r="B2358" s="3"/>
      <c r="C2358" s="3"/>
      <c r="D2358" s="3"/>
      <c r="E2358" s="3"/>
      <c r="F2358" s="2"/>
      <c r="G2358" s="2"/>
      <c r="I2358" s="1"/>
      <c r="J2358" s="1"/>
    </row>
    <row r="2359" spans="1:10" x14ac:dyDescent="0.2">
      <c r="A2359" s="3"/>
      <c r="B2359" s="3"/>
      <c r="C2359" s="3"/>
      <c r="D2359" s="3"/>
      <c r="E2359" s="3"/>
      <c r="F2359" s="2"/>
      <c r="G2359" s="2"/>
      <c r="I2359" s="1"/>
      <c r="J2359" s="1"/>
    </row>
    <row r="2360" spans="1:10" x14ac:dyDescent="0.2">
      <c r="A2360" s="3"/>
      <c r="B2360" s="3"/>
      <c r="C2360" s="3"/>
      <c r="D2360" s="3"/>
      <c r="E2360" s="3"/>
      <c r="F2360" s="2"/>
      <c r="G2360" s="2"/>
      <c r="I2360" s="1"/>
      <c r="J2360" s="1"/>
    </row>
    <row r="2361" spans="1:10" x14ac:dyDescent="0.2">
      <c r="A2361" s="3"/>
      <c r="B2361" s="3"/>
      <c r="C2361" s="3"/>
      <c r="D2361" s="3"/>
      <c r="E2361" s="3"/>
      <c r="F2361" s="2"/>
      <c r="G2361" s="2"/>
      <c r="I2361" s="1"/>
      <c r="J2361" s="1"/>
    </row>
    <row r="2362" spans="1:10" x14ac:dyDescent="0.2">
      <c r="A2362" s="3"/>
      <c r="B2362" s="3"/>
      <c r="C2362" s="3"/>
      <c r="D2362" s="3"/>
      <c r="E2362" s="3"/>
      <c r="F2362" s="2"/>
      <c r="G2362" s="2"/>
      <c r="I2362" s="1"/>
      <c r="J2362" s="1"/>
    </row>
    <row r="2363" spans="1:10" x14ac:dyDescent="0.2">
      <c r="A2363" s="3"/>
      <c r="B2363" s="3"/>
      <c r="C2363" s="3"/>
      <c r="D2363" s="3"/>
      <c r="E2363" s="3"/>
      <c r="F2363" s="2"/>
      <c r="G2363" s="2"/>
      <c r="I2363" s="1"/>
      <c r="J2363" s="1"/>
    </row>
    <row r="2364" spans="1:10" x14ac:dyDescent="0.2">
      <c r="A2364" s="3"/>
      <c r="B2364" s="3"/>
      <c r="C2364" s="3"/>
      <c r="D2364" s="3"/>
      <c r="E2364" s="3"/>
      <c r="F2364" s="2"/>
      <c r="G2364" s="2"/>
      <c r="I2364" s="1"/>
      <c r="J2364" s="1"/>
    </row>
    <row r="2365" spans="1:10" x14ac:dyDescent="0.2">
      <c r="A2365" s="3"/>
      <c r="B2365" s="3"/>
      <c r="C2365" s="3"/>
      <c r="D2365" s="3"/>
      <c r="E2365" s="3"/>
      <c r="F2365" s="2"/>
      <c r="G2365" s="2"/>
      <c r="I2365" s="1"/>
      <c r="J2365" s="1"/>
    </row>
    <row r="2366" spans="1:10" x14ac:dyDescent="0.2">
      <c r="A2366" s="3"/>
      <c r="B2366" s="3"/>
      <c r="C2366" s="3"/>
      <c r="D2366" s="3"/>
      <c r="E2366" s="3"/>
      <c r="F2366" s="2"/>
      <c r="G2366" s="2"/>
      <c r="I2366" s="1"/>
      <c r="J2366" s="1"/>
    </row>
    <row r="2367" spans="1:10" x14ac:dyDescent="0.2">
      <c r="A2367" s="3"/>
      <c r="B2367" s="3"/>
      <c r="C2367" s="3"/>
      <c r="D2367" s="3"/>
      <c r="E2367" s="3"/>
      <c r="F2367" s="2"/>
      <c r="G2367" s="2"/>
      <c r="I2367" s="1"/>
      <c r="J2367" s="1"/>
    </row>
    <row r="2368" spans="1:10" x14ac:dyDescent="0.2">
      <c r="A2368" s="3"/>
      <c r="B2368" s="3"/>
      <c r="C2368" s="3"/>
      <c r="D2368" s="3"/>
      <c r="E2368" s="3"/>
      <c r="F2368" s="2"/>
      <c r="G2368" s="2"/>
      <c r="I2368" s="1"/>
      <c r="J2368" s="1"/>
    </row>
    <row r="2369" spans="1:10" x14ac:dyDescent="0.2">
      <c r="A2369" s="3"/>
      <c r="B2369" s="3"/>
      <c r="C2369" s="3"/>
      <c r="D2369" s="3"/>
      <c r="E2369" s="3"/>
      <c r="F2369" s="2"/>
      <c r="G2369" s="2"/>
      <c r="I2369" s="1"/>
      <c r="J2369" s="1"/>
    </row>
    <row r="2370" spans="1:10" x14ac:dyDescent="0.2">
      <c r="A2370" s="3"/>
      <c r="B2370" s="3"/>
      <c r="C2370" s="3"/>
      <c r="D2370" s="3"/>
      <c r="E2370" s="3"/>
      <c r="F2370" s="2"/>
      <c r="G2370" s="2"/>
      <c r="I2370" s="1"/>
      <c r="J2370" s="1"/>
    </row>
    <row r="2371" spans="1:10" x14ac:dyDescent="0.2">
      <c r="A2371" s="3"/>
      <c r="B2371" s="3"/>
      <c r="C2371" s="3"/>
      <c r="D2371" s="3"/>
      <c r="E2371" s="3"/>
      <c r="F2371" s="2"/>
      <c r="G2371" s="2"/>
      <c r="I2371" s="1"/>
      <c r="J2371" s="1"/>
    </row>
    <row r="2372" spans="1:10" x14ac:dyDescent="0.2">
      <c r="A2372" s="3"/>
      <c r="B2372" s="3"/>
      <c r="C2372" s="3"/>
      <c r="D2372" s="3"/>
      <c r="E2372" s="3"/>
      <c r="F2372" s="2"/>
      <c r="G2372" s="2"/>
      <c r="I2372" s="1"/>
      <c r="J2372" s="1"/>
    </row>
    <row r="2373" spans="1:10" x14ac:dyDescent="0.2">
      <c r="A2373" s="3"/>
      <c r="B2373" s="3"/>
      <c r="C2373" s="3"/>
      <c r="D2373" s="3"/>
      <c r="E2373" s="3"/>
      <c r="F2373" s="2"/>
      <c r="G2373" s="2"/>
      <c r="I2373" s="1"/>
      <c r="J2373" s="1"/>
    </row>
    <row r="2374" spans="1:10" x14ac:dyDescent="0.2">
      <c r="A2374" s="3"/>
      <c r="B2374" s="3"/>
      <c r="C2374" s="3"/>
      <c r="D2374" s="3"/>
      <c r="E2374" s="3"/>
      <c r="F2374" s="2"/>
      <c r="G2374" s="2"/>
      <c r="I2374" s="1"/>
      <c r="J2374" s="1"/>
    </row>
    <row r="2375" spans="1:10" x14ac:dyDescent="0.2">
      <c r="A2375" s="3"/>
      <c r="B2375" s="3"/>
      <c r="C2375" s="3"/>
      <c r="D2375" s="3"/>
      <c r="E2375" s="3"/>
      <c r="F2375" s="2"/>
      <c r="G2375" s="2"/>
      <c r="I2375" s="1"/>
      <c r="J2375" s="1"/>
    </row>
    <row r="2376" spans="1:10" x14ac:dyDescent="0.2">
      <c r="A2376" s="3"/>
      <c r="B2376" s="3"/>
      <c r="C2376" s="3"/>
      <c r="D2376" s="3"/>
      <c r="E2376" s="3"/>
      <c r="F2376" s="2"/>
      <c r="G2376" s="2"/>
      <c r="I2376" s="1"/>
      <c r="J2376" s="1"/>
    </row>
    <row r="2377" spans="1:10" x14ac:dyDescent="0.2">
      <c r="A2377" s="3"/>
      <c r="B2377" s="3"/>
      <c r="C2377" s="3"/>
      <c r="D2377" s="3"/>
      <c r="E2377" s="3"/>
      <c r="F2377" s="2"/>
      <c r="G2377" s="2"/>
      <c r="I2377" s="1"/>
      <c r="J2377" s="1"/>
    </row>
    <row r="2378" spans="1:10" x14ac:dyDescent="0.2">
      <c r="A2378" s="3"/>
      <c r="B2378" s="3"/>
      <c r="C2378" s="3"/>
      <c r="D2378" s="3"/>
      <c r="E2378" s="3"/>
      <c r="F2378" s="2"/>
      <c r="G2378" s="2"/>
      <c r="I2378" s="1"/>
      <c r="J2378" s="1"/>
    </row>
    <row r="2379" spans="1:10" x14ac:dyDescent="0.2">
      <c r="A2379" s="3"/>
      <c r="B2379" s="3"/>
      <c r="C2379" s="3"/>
      <c r="D2379" s="3"/>
      <c r="E2379" s="3"/>
      <c r="F2379" s="2"/>
      <c r="G2379" s="2"/>
      <c r="I2379" s="1"/>
      <c r="J2379" s="1"/>
    </row>
    <row r="2380" spans="1:10" x14ac:dyDescent="0.2">
      <c r="A2380" s="3"/>
      <c r="B2380" s="3"/>
      <c r="C2380" s="3"/>
      <c r="D2380" s="3"/>
      <c r="E2380" s="3"/>
      <c r="F2380" s="2"/>
      <c r="G2380" s="2"/>
      <c r="I2380" s="1"/>
      <c r="J2380" s="1"/>
    </row>
    <row r="2381" spans="1:10" x14ac:dyDescent="0.2">
      <c r="A2381" s="3"/>
      <c r="B2381" s="3"/>
      <c r="C2381" s="3"/>
      <c r="D2381" s="3"/>
      <c r="E2381" s="3"/>
      <c r="F2381" s="2"/>
      <c r="G2381" s="2"/>
      <c r="I2381" s="1"/>
      <c r="J2381" s="1"/>
    </row>
    <row r="2382" spans="1:10" x14ac:dyDescent="0.2">
      <c r="A2382" s="3"/>
      <c r="B2382" s="3"/>
      <c r="C2382" s="3"/>
      <c r="D2382" s="3"/>
      <c r="E2382" s="3"/>
      <c r="F2382" s="2"/>
      <c r="G2382" s="2"/>
      <c r="I2382" s="1"/>
      <c r="J2382" s="1"/>
    </row>
    <row r="2383" spans="1:10" x14ac:dyDescent="0.2">
      <c r="A2383" s="3"/>
      <c r="B2383" s="3"/>
      <c r="C2383" s="3"/>
      <c r="D2383" s="3"/>
      <c r="E2383" s="3"/>
      <c r="F2383" s="2"/>
      <c r="G2383" s="2"/>
      <c r="I2383" s="1"/>
      <c r="J2383" s="1"/>
    </row>
    <row r="2384" spans="1:10" x14ac:dyDescent="0.2">
      <c r="A2384" s="3"/>
      <c r="B2384" s="3"/>
      <c r="C2384" s="3"/>
      <c r="D2384" s="3"/>
      <c r="E2384" s="3"/>
      <c r="F2384" s="2"/>
      <c r="G2384" s="2"/>
      <c r="I2384" s="1"/>
      <c r="J2384" s="1"/>
    </row>
    <row r="2385" spans="1:10" x14ac:dyDescent="0.2">
      <c r="A2385" s="3"/>
      <c r="B2385" s="3"/>
      <c r="C2385" s="3"/>
      <c r="D2385" s="3"/>
      <c r="E2385" s="3"/>
      <c r="F2385" s="2"/>
      <c r="G2385" s="2"/>
      <c r="I2385" s="1"/>
      <c r="J2385" s="1"/>
    </row>
    <row r="2386" spans="1:10" x14ac:dyDescent="0.2">
      <c r="A2386" s="3"/>
      <c r="B2386" s="3"/>
      <c r="C2386" s="3"/>
      <c r="D2386" s="3"/>
      <c r="E2386" s="3"/>
      <c r="F2386" s="2"/>
      <c r="G2386" s="2"/>
      <c r="I2386" s="1"/>
      <c r="J2386" s="1"/>
    </row>
    <row r="2387" spans="1:10" x14ac:dyDescent="0.2">
      <c r="A2387" s="3"/>
      <c r="B2387" s="3"/>
      <c r="C2387" s="3"/>
      <c r="D2387" s="3"/>
      <c r="E2387" s="3"/>
      <c r="F2387" s="2"/>
      <c r="G2387" s="2"/>
      <c r="I2387" s="1"/>
      <c r="J2387" s="1"/>
    </row>
    <row r="2388" spans="1:10" x14ac:dyDescent="0.2">
      <c r="A2388" s="3"/>
      <c r="B2388" s="3"/>
      <c r="C2388" s="3"/>
      <c r="D2388" s="3"/>
      <c r="E2388" s="3"/>
      <c r="F2388" s="2"/>
      <c r="G2388" s="2"/>
      <c r="I2388" s="1"/>
      <c r="J2388" s="1"/>
    </row>
    <row r="2389" spans="1:10" x14ac:dyDescent="0.2">
      <c r="A2389" s="3"/>
      <c r="B2389" s="3"/>
      <c r="C2389" s="3"/>
      <c r="D2389" s="3"/>
      <c r="E2389" s="3"/>
      <c r="F2389" s="2"/>
      <c r="G2389" s="2"/>
      <c r="I2389" s="1"/>
      <c r="J2389" s="1"/>
    </row>
    <row r="2390" spans="1:10" x14ac:dyDescent="0.2">
      <c r="A2390" s="3"/>
      <c r="B2390" s="3"/>
      <c r="C2390" s="3"/>
      <c r="D2390" s="3"/>
      <c r="E2390" s="3"/>
      <c r="F2390" s="2"/>
      <c r="G2390" s="2"/>
      <c r="I2390" s="1"/>
      <c r="J2390" s="1"/>
    </row>
    <row r="2391" spans="1:10" x14ac:dyDescent="0.2">
      <c r="A2391" s="3"/>
      <c r="B2391" s="3"/>
      <c r="C2391" s="3"/>
      <c r="D2391" s="3"/>
      <c r="E2391" s="3"/>
      <c r="F2391" s="2"/>
      <c r="G2391" s="2"/>
      <c r="I2391" s="1"/>
      <c r="J2391" s="1"/>
    </row>
    <row r="2392" spans="1:10" x14ac:dyDescent="0.2">
      <c r="A2392" s="3"/>
      <c r="B2392" s="3"/>
      <c r="C2392" s="3"/>
      <c r="D2392" s="3"/>
      <c r="E2392" s="3"/>
      <c r="F2392" s="2"/>
      <c r="G2392" s="2"/>
      <c r="I2392" s="1"/>
      <c r="J2392" s="1"/>
    </row>
    <row r="2393" spans="1:10" x14ac:dyDescent="0.2">
      <c r="A2393" s="3"/>
      <c r="B2393" s="3"/>
      <c r="C2393" s="3"/>
      <c r="D2393" s="3"/>
      <c r="E2393" s="3"/>
      <c r="F2393" s="2"/>
      <c r="G2393" s="2"/>
      <c r="I2393" s="1"/>
      <c r="J2393" s="1"/>
    </row>
    <row r="2394" spans="1:10" x14ac:dyDescent="0.2">
      <c r="A2394" s="3"/>
      <c r="B2394" s="3"/>
      <c r="C2394" s="3"/>
      <c r="D2394" s="3"/>
      <c r="E2394" s="3"/>
      <c r="F2394" s="2"/>
      <c r="G2394" s="2"/>
      <c r="I2394" s="1"/>
      <c r="J2394" s="1"/>
    </row>
    <row r="2395" spans="1:10" x14ac:dyDescent="0.2">
      <c r="A2395" s="3"/>
      <c r="B2395" s="3"/>
      <c r="C2395" s="3"/>
      <c r="D2395" s="3"/>
      <c r="E2395" s="3"/>
      <c r="F2395" s="2"/>
      <c r="G2395" s="2"/>
      <c r="I2395" s="1"/>
      <c r="J2395" s="1"/>
    </row>
    <row r="2396" spans="1:10" x14ac:dyDescent="0.2">
      <c r="A2396" s="3"/>
      <c r="B2396" s="3"/>
      <c r="C2396" s="3"/>
      <c r="D2396" s="3"/>
      <c r="E2396" s="3"/>
      <c r="F2396" s="2"/>
      <c r="G2396" s="2"/>
      <c r="I2396" s="1"/>
      <c r="J2396" s="1"/>
    </row>
    <row r="2397" spans="1:10" x14ac:dyDescent="0.2">
      <c r="A2397" s="3"/>
      <c r="B2397" s="3"/>
      <c r="C2397" s="3"/>
      <c r="D2397" s="3"/>
      <c r="E2397" s="3"/>
      <c r="F2397" s="2"/>
      <c r="G2397" s="2"/>
      <c r="I2397" s="1"/>
      <c r="J2397" s="1"/>
    </row>
    <row r="2398" spans="1:10" x14ac:dyDescent="0.2">
      <c r="A2398" s="3"/>
      <c r="B2398" s="3"/>
      <c r="C2398" s="3"/>
      <c r="D2398" s="3"/>
      <c r="E2398" s="3"/>
      <c r="F2398" s="2"/>
      <c r="G2398" s="2"/>
      <c r="I2398" s="1"/>
      <c r="J2398" s="1"/>
    </row>
    <row r="2399" spans="1:10" x14ac:dyDescent="0.2">
      <c r="A2399" s="3"/>
      <c r="B2399" s="3"/>
      <c r="C2399" s="3"/>
      <c r="D2399" s="3"/>
      <c r="E2399" s="3"/>
      <c r="F2399" s="2"/>
      <c r="G2399" s="2"/>
      <c r="I2399" s="1"/>
      <c r="J2399" s="1"/>
    </row>
    <row r="2400" spans="1:10" x14ac:dyDescent="0.2">
      <c r="A2400" s="3"/>
      <c r="B2400" s="3"/>
      <c r="C2400" s="3"/>
      <c r="D2400" s="3"/>
      <c r="E2400" s="3"/>
      <c r="F2400" s="2"/>
      <c r="G2400" s="2"/>
      <c r="I2400" s="1"/>
      <c r="J2400" s="1"/>
    </row>
    <row r="2401" spans="1:10" x14ac:dyDescent="0.2">
      <c r="A2401" s="3"/>
      <c r="B2401" s="3"/>
      <c r="C2401" s="3"/>
      <c r="D2401" s="3"/>
      <c r="E2401" s="3"/>
      <c r="F2401" s="2"/>
      <c r="G2401" s="2"/>
      <c r="I2401" s="1"/>
      <c r="J2401" s="1"/>
    </row>
    <row r="2402" spans="1:10" x14ac:dyDescent="0.2">
      <c r="A2402" s="3"/>
      <c r="B2402" s="3"/>
      <c r="C2402" s="3"/>
      <c r="D2402" s="3"/>
      <c r="E2402" s="3"/>
      <c r="F2402" s="2"/>
      <c r="G2402" s="2"/>
      <c r="I2402" s="1"/>
      <c r="J2402" s="1"/>
    </row>
    <row r="2403" spans="1:10" x14ac:dyDescent="0.2">
      <c r="A2403" s="3"/>
      <c r="B2403" s="3"/>
      <c r="C2403" s="3"/>
      <c r="D2403" s="3"/>
      <c r="E2403" s="3"/>
      <c r="F2403" s="2"/>
      <c r="G2403" s="2"/>
      <c r="I2403" s="1"/>
      <c r="J2403" s="1"/>
    </row>
    <row r="2404" spans="1:10" x14ac:dyDescent="0.2">
      <c r="A2404" s="3"/>
      <c r="B2404" s="3"/>
      <c r="C2404" s="3"/>
      <c r="D2404" s="3"/>
      <c r="E2404" s="3"/>
      <c r="F2404" s="2"/>
      <c r="G2404" s="2"/>
      <c r="I2404" s="1"/>
      <c r="J2404" s="1"/>
    </row>
    <row r="2405" spans="1:10" x14ac:dyDescent="0.2">
      <c r="A2405" s="3"/>
      <c r="B2405" s="3"/>
      <c r="C2405" s="3"/>
      <c r="D2405" s="3"/>
      <c r="E2405" s="3"/>
      <c r="F2405" s="2"/>
      <c r="G2405" s="2"/>
      <c r="I2405" s="1"/>
      <c r="J2405" s="1"/>
    </row>
    <row r="2406" spans="1:10" x14ac:dyDescent="0.2">
      <c r="A2406" s="3"/>
      <c r="B2406" s="3"/>
      <c r="C2406" s="3"/>
      <c r="D2406" s="3"/>
      <c r="E2406" s="3"/>
      <c r="F2406" s="2"/>
      <c r="G2406" s="2"/>
      <c r="I2406" s="1"/>
      <c r="J2406" s="1"/>
    </row>
    <row r="2407" spans="1:10" x14ac:dyDescent="0.2">
      <c r="A2407" s="3"/>
      <c r="B2407" s="3"/>
      <c r="C2407" s="3"/>
      <c r="D2407" s="3"/>
      <c r="E2407" s="3"/>
      <c r="F2407" s="2"/>
      <c r="G2407" s="2"/>
      <c r="I2407" s="1"/>
      <c r="J2407" s="1"/>
    </row>
    <row r="2408" spans="1:10" x14ac:dyDescent="0.2">
      <c r="A2408" s="3"/>
      <c r="B2408" s="3"/>
      <c r="C2408" s="3"/>
      <c r="D2408" s="3"/>
      <c r="E2408" s="3"/>
      <c r="F2408" s="2"/>
      <c r="G2408" s="2"/>
      <c r="I2408" s="1"/>
      <c r="J2408" s="1"/>
    </row>
    <row r="2409" spans="1:10" x14ac:dyDescent="0.2">
      <c r="A2409" s="3"/>
      <c r="B2409" s="3"/>
      <c r="C2409" s="3"/>
      <c r="D2409" s="3"/>
      <c r="E2409" s="3"/>
      <c r="F2409" s="2"/>
      <c r="G2409" s="2"/>
      <c r="I2409" s="1"/>
      <c r="J2409" s="1"/>
    </row>
    <row r="2410" spans="1:10" x14ac:dyDescent="0.2">
      <c r="A2410" s="3"/>
      <c r="B2410" s="3"/>
      <c r="C2410" s="3"/>
      <c r="D2410" s="3"/>
      <c r="E2410" s="3"/>
      <c r="F2410" s="2"/>
      <c r="G2410" s="2"/>
      <c r="I2410" s="1"/>
      <c r="J2410" s="1"/>
    </row>
    <row r="2411" spans="1:10" x14ac:dyDescent="0.2">
      <c r="A2411" s="3"/>
      <c r="B2411" s="3"/>
      <c r="C2411" s="3"/>
      <c r="D2411" s="3"/>
      <c r="E2411" s="3"/>
      <c r="F2411" s="2"/>
      <c r="G2411" s="2"/>
      <c r="I2411" s="1"/>
      <c r="J2411" s="1"/>
    </row>
    <row r="2412" spans="1:10" x14ac:dyDescent="0.2">
      <c r="A2412" s="3"/>
      <c r="B2412" s="3"/>
      <c r="C2412" s="3"/>
      <c r="D2412" s="3"/>
      <c r="E2412" s="3"/>
      <c r="F2412" s="2"/>
      <c r="G2412" s="2"/>
      <c r="I2412" s="1"/>
      <c r="J2412" s="1"/>
    </row>
    <row r="2413" spans="1:10" x14ac:dyDescent="0.2">
      <c r="A2413" s="3"/>
      <c r="B2413" s="3"/>
      <c r="C2413" s="3"/>
      <c r="D2413" s="3"/>
      <c r="E2413" s="3"/>
      <c r="F2413" s="2"/>
      <c r="G2413" s="2"/>
      <c r="I2413" s="1"/>
      <c r="J2413" s="1"/>
    </row>
    <row r="2414" spans="1:10" x14ac:dyDescent="0.2">
      <c r="A2414" s="3"/>
      <c r="B2414" s="3"/>
      <c r="C2414" s="3"/>
      <c r="D2414" s="3"/>
      <c r="E2414" s="3"/>
      <c r="F2414" s="2"/>
      <c r="G2414" s="2"/>
      <c r="I2414" s="1"/>
      <c r="J2414" s="1"/>
    </row>
    <row r="2415" spans="1:10" x14ac:dyDescent="0.2">
      <c r="A2415" s="3"/>
      <c r="B2415" s="3"/>
      <c r="C2415" s="3"/>
      <c r="D2415" s="3"/>
      <c r="E2415" s="3"/>
      <c r="F2415" s="2"/>
      <c r="G2415" s="2"/>
      <c r="I2415" s="1"/>
      <c r="J2415" s="1"/>
    </row>
    <row r="2416" spans="1:10" x14ac:dyDescent="0.2">
      <c r="A2416" s="3"/>
      <c r="B2416" s="3"/>
      <c r="C2416" s="3"/>
      <c r="D2416" s="3"/>
      <c r="E2416" s="3"/>
      <c r="F2416" s="2"/>
      <c r="G2416" s="2"/>
      <c r="I2416" s="1"/>
      <c r="J2416" s="1"/>
    </row>
    <row r="2417" spans="1:10" x14ac:dyDescent="0.2">
      <c r="A2417" s="3"/>
      <c r="B2417" s="3"/>
      <c r="C2417" s="3"/>
      <c r="D2417" s="3"/>
      <c r="E2417" s="3"/>
      <c r="F2417" s="2"/>
      <c r="G2417" s="2"/>
      <c r="I2417" s="1"/>
      <c r="J2417" s="1"/>
    </row>
    <row r="2418" spans="1:10" x14ac:dyDescent="0.2">
      <c r="A2418" s="3"/>
      <c r="B2418" s="3"/>
      <c r="C2418" s="3"/>
      <c r="D2418" s="3"/>
      <c r="E2418" s="3"/>
      <c r="F2418" s="2"/>
      <c r="G2418" s="2"/>
      <c r="I2418" s="1"/>
      <c r="J2418" s="1"/>
    </row>
    <row r="2419" spans="1:10" x14ac:dyDescent="0.2">
      <c r="A2419" s="3"/>
      <c r="B2419" s="3"/>
      <c r="C2419" s="3"/>
      <c r="D2419" s="3"/>
      <c r="E2419" s="3"/>
      <c r="F2419" s="2"/>
      <c r="G2419" s="2"/>
      <c r="I2419" s="1"/>
      <c r="J2419" s="1"/>
    </row>
    <row r="2420" spans="1:10" x14ac:dyDescent="0.2">
      <c r="A2420" s="3"/>
      <c r="B2420" s="3"/>
      <c r="C2420" s="3"/>
      <c r="D2420" s="3"/>
      <c r="E2420" s="3"/>
      <c r="F2420" s="2"/>
      <c r="G2420" s="2"/>
      <c r="I2420" s="1"/>
      <c r="J2420" s="1"/>
    </row>
    <row r="2421" spans="1:10" x14ac:dyDescent="0.2">
      <c r="A2421" s="3"/>
      <c r="B2421" s="3"/>
      <c r="C2421" s="3"/>
      <c r="D2421" s="3"/>
      <c r="E2421" s="3"/>
      <c r="F2421" s="2"/>
      <c r="G2421" s="2"/>
      <c r="I2421" s="1"/>
      <c r="J2421" s="1"/>
    </row>
    <row r="2422" spans="1:10" x14ac:dyDescent="0.2">
      <c r="A2422" s="3"/>
      <c r="B2422" s="3"/>
      <c r="C2422" s="3"/>
      <c r="D2422" s="3"/>
      <c r="E2422" s="3"/>
      <c r="F2422" s="2"/>
      <c r="G2422" s="2"/>
      <c r="I2422" s="1"/>
      <c r="J2422" s="1"/>
    </row>
    <row r="2423" spans="1:10" x14ac:dyDescent="0.2">
      <c r="A2423" s="3"/>
      <c r="B2423" s="3"/>
      <c r="C2423" s="3"/>
      <c r="D2423" s="3"/>
      <c r="E2423" s="3"/>
      <c r="F2423" s="2"/>
      <c r="G2423" s="2"/>
      <c r="I2423" s="1"/>
      <c r="J2423" s="1"/>
    </row>
    <row r="2424" spans="1:10" x14ac:dyDescent="0.2">
      <c r="A2424" s="3"/>
      <c r="B2424" s="3"/>
      <c r="C2424" s="3"/>
      <c r="D2424" s="3"/>
      <c r="E2424" s="3"/>
      <c r="F2424" s="2"/>
      <c r="G2424" s="2"/>
      <c r="I2424" s="1"/>
      <c r="J2424" s="1"/>
    </row>
    <row r="2425" spans="1:10" x14ac:dyDescent="0.2">
      <c r="A2425" s="3"/>
      <c r="B2425" s="3"/>
      <c r="C2425" s="3"/>
      <c r="D2425" s="3"/>
      <c r="E2425" s="3"/>
      <c r="F2425" s="2"/>
      <c r="G2425" s="2"/>
      <c r="I2425" s="1"/>
      <c r="J2425" s="1"/>
    </row>
    <row r="2426" spans="1:10" x14ac:dyDescent="0.2">
      <c r="A2426" s="3"/>
      <c r="B2426" s="3"/>
      <c r="C2426" s="3"/>
      <c r="D2426" s="3"/>
      <c r="E2426" s="3"/>
      <c r="F2426" s="2"/>
      <c r="G2426" s="2"/>
      <c r="I2426" s="1"/>
      <c r="J2426" s="1"/>
    </row>
    <row r="2427" spans="1:10" x14ac:dyDescent="0.2">
      <c r="A2427" s="3"/>
      <c r="B2427" s="3"/>
      <c r="C2427" s="3"/>
      <c r="D2427" s="3"/>
      <c r="E2427" s="3"/>
      <c r="F2427" s="2"/>
      <c r="G2427" s="2"/>
      <c r="I2427" s="1"/>
      <c r="J2427" s="1"/>
    </row>
    <row r="2428" spans="1:10" x14ac:dyDescent="0.2">
      <c r="A2428" s="3"/>
      <c r="B2428" s="3"/>
      <c r="C2428" s="3"/>
      <c r="D2428" s="3"/>
      <c r="E2428" s="3"/>
      <c r="F2428" s="2"/>
      <c r="G2428" s="2"/>
      <c r="I2428" s="1"/>
      <c r="J2428" s="1"/>
    </row>
    <row r="2429" spans="1:10" x14ac:dyDescent="0.2">
      <c r="A2429" s="3"/>
      <c r="B2429" s="3"/>
      <c r="C2429" s="3"/>
      <c r="D2429" s="3"/>
      <c r="E2429" s="3"/>
      <c r="F2429" s="2"/>
      <c r="G2429" s="2"/>
      <c r="I2429" s="1"/>
      <c r="J2429" s="1"/>
    </row>
    <row r="2430" spans="1:10" x14ac:dyDescent="0.2">
      <c r="A2430" s="3"/>
      <c r="B2430" s="3"/>
      <c r="C2430" s="3"/>
      <c r="D2430" s="3"/>
      <c r="E2430" s="3"/>
      <c r="F2430" s="2"/>
      <c r="G2430" s="2"/>
      <c r="I2430" s="1"/>
      <c r="J2430" s="1"/>
    </row>
    <row r="2431" spans="1:10" x14ac:dyDescent="0.2">
      <c r="A2431" s="3"/>
      <c r="B2431" s="3"/>
      <c r="C2431" s="3"/>
      <c r="D2431" s="3"/>
      <c r="E2431" s="3"/>
      <c r="F2431" s="2"/>
      <c r="G2431" s="2"/>
      <c r="I2431" s="1"/>
      <c r="J2431" s="1"/>
    </row>
    <row r="2432" spans="1:10" x14ac:dyDescent="0.2">
      <c r="A2432" s="3"/>
      <c r="B2432" s="3"/>
      <c r="C2432" s="3"/>
      <c r="D2432" s="3"/>
      <c r="E2432" s="3"/>
      <c r="F2432" s="2"/>
      <c r="G2432" s="2"/>
      <c r="I2432" s="1"/>
      <c r="J2432" s="1"/>
    </row>
    <row r="2433" spans="1:10" x14ac:dyDescent="0.2">
      <c r="A2433" s="3"/>
      <c r="B2433" s="3"/>
      <c r="C2433" s="3"/>
      <c r="D2433" s="3"/>
      <c r="E2433" s="3"/>
      <c r="F2433" s="2"/>
      <c r="G2433" s="2"/>
      <c r="I2433" s="1"/>
      <c r="J2433" s="1"/>
    </row>
    <row r="2434" spans="1:10" x14ac:dyDescent="0.2">
      <c r="A2434" s="3"/>
      <c r="B2434" s="3"/>
      <c r="C2434" s="3"/>
      <c r="D2434" s="3"/>
      <c r="E2434" s="3"/>
      <c r="F2434" s="2"/>
      <c r="G2434" s="2"/>
      <c r="I2434" s="1"/>
      <c r="J2434" s="1"/>
    </row>
    <row r="2435" spans="1:10" x14ac:dyDescent="0.2">
      <c r="A2435" s="3"/>
      <c r="B2435" s="3"/>
      <c r="C2435" s="3"/>
      <c r="D2435" s="3"/>
      <c r="E2435" s="3"/>
      <c r="F2435" s="2"/>
      <c r="G2435" s="2"/>
      <c r="I2435" s="1"/>
      <c r="J2435" s="1"/>
    </row>
    <row r="2436" spans="1:10" x14ac:dyDescent="0.2">
      <c r="A2436" s="3"/>
      <c r="B2436" s="3"/>
      <c r="C2436" s="3"/>
      <c r="D2436" s="3"/>
      <c r="E2436" s="3"/>
      <c r="F2436" s="2"/>
      <c r="G2436" s="2"/>
      <c r="I2436" s="1"/>
      <c r="J2436" s="1"/>
    </row>
    <row r="2437" spans="1:10" x14ac:dyDescent="0.2">
      <c r="A2437" s="3"/>
      <c r="B2437" s="3"/>
      <c r="C2437" s="3"/>
      <c r="D2437" s="3"/>
      <c r="E2437" s="3"/>
      <c r="F2437" s="2"/>
      <c r="G2437" s="2"/>
      <c r="I2437" s="1"/>
      <c r="J2437" s="1"/>
    </row>
    <row r="2438" spans="1:10" x14ac:dyDescent="0.2">
      <c r="A2438" s="3"/>
      <c r="B2438" s="3"/>
      <c r="C2438" s="3"/>
      <c r="D2438" s="3"/>
      <c r="E2438" s="3"/>
      <c r="F2438" s="2"/>
      <c r="G2438" s="2"/>
      <c r="I2438" s="1"/>
      <c r="J2438" s="1"/>
    </row>
    <row r="2439" spans="1:10" x14ac:dyDescent="0.2">
      <c r="A2439" s="3"/>
      <c r="B2439" s="3"/>
      <c r="C2439" s="3"/>
      <c r="D2439" s="3"/>
      <c r="E2439" s="3"/>
      <c r="F2439" s="2"/>
      <c r="G2439" s="2"/>
      <c r="I2439" s="1"/>
      <c r="J2439" s="1"/>
    </row>
    <row r="2440" spans="1:10" x14ac:dyDescent="0.2">
      <c r="A2440" s="3"/>
      <c r="B2440" s="3"/>
      <c r="C2440" s="3"/>
      <c r="D2440" s="3"/>
      <c r="E2440" s="3"/>
      <c r="F2440" s="2"/>
      <c r="G2440" s="2"/>
      <c r="I2440" s="1"/>
      <c r="J2440" s="1"/>
    </row>
    <row r="2441" spans="1:10" x14ac:dyDescent="0.2">
      <c r="A2441" s="3"/>
      <c r="B2441" s="3"/>
      <c r="C2441" s="3"/>
      <c r="D2441" s="3"/>
      <c r="E2441" s="3"/>
      <c r="F2441" s="2"/>
      <c r="G2441" s="2"/>
      <c r="I2441" s="1"/>
      <c r="J2441" s="1"/>
    </row>
    <row r="2442" spans="1:10" x14ac:dyDescent="0.2">
      <c r="A2442" s="3"/>
      <c r="B2442" s="3"/>
      <c r="C2442" s="3"/>
      <c r="D2442" s="3"/>
      <c r="E2442" s="3"/>
      <c r="F2442" s="2"/>
      <c r="G2442" s="2"/>
      <c r="I2442" s="1"/>
      <c r="J2442" s="1"/>
    </row>
    <row r="2443" spans="1:10" x14ac:dyDescent="0.2">
      <c r="A2443" s="3"/>
      <c r="B2443" s="3"/>
      <c r="C2443" s="3"/>
      <c r="D2443" s="3"/>
      <c r="E2443" s="3"/>
      <c r="F2443" s="2"/>
      <c r="G2443" s="2"/>
      <c r="I2443" s="1"/>
      <c r="J2443" s="1"/>
    </row>
    <row r="2444" spans="1:10" x14ac:dyDescent="0.2">
      <c r="A2444" s="3"/>
      <c r="B2444" s="3"/>
      <c r="C2444" s="3"/>
      <c r="D2444" s="3"/>
      <c r="E2444" s="3"/>
      <c r="F2444" s="2"/>
      <c r="G2444" s="2"/>
      <c r="I2444" s="1"/>
      <c r="J2444" s="1"/>
    </row>
    <row r="2445" spans="1:10" x14ac:dyDescent="0.2">
      <c r="A2445" s="3"/>
      <c r="B2445" s="3"/>
      <c r="C2445" s="3"/>
      <c r="D2445" s="3"/>
      <c r="E2445" s="3"/>
      <c r="F2445" s="2"/>
      <c r="G2445" s="2"/>
      <c r="I2445" s="1"/>
      <c r="J2445" s="1"/>
    </row>
    <row r="2446" spans="1:10" x14ac:dyDescent="0.2">
      <c r="A2446" s="3"/>
      <c r="B2446" s="3"/>
      <c r="C2446" s="3"/>
      <c r="D2446" s="3"/>
      <c r="E2446" s="3"/>
      <c r="F2446" s="2"/>
      <c r="G2446" s="2"/>
      <c r="I2446" s="1"/>
      <c r="J2446" s="1"/>
    </row>
    <row r="2447" spans="1:10" x14ac:dyDescent="0.2">
      <c r="A2447" s="3"/>
      <c r="B2447" s="3"/>
      <c r="C2447" s="3"/>
      <c r="D2447" s="3"/>
      <c r="E2447" s="3"/>
      <c r="F2447" s="2"/>
      <c r="G2447" s="2"/>
      <c r="I2447" s="1"/>
      <c r="J2447" s="1"/>
    </row>
    <row r="2448" spans="1:10" x14ac:dyDescent="0.2">
      <c r="A2448" s="3"/>
      <c r="B2448" s="3"/>
      <c r="C2448" s="3"/>
      <c r="D2448" s="3"/>
      <c r="E2448" s="3"/>
      <c r="F2448" s="2"/>
      <c r="G2448" s="2"/>
      <c r="I2448" s="1"/>
      <c r="J2448" s="1"/>
    </row>
    <row r="2449" spans="1:10" x14ac:dyDescent="0.2">
      <c r="A2449" s="3"/>
      <c r="B2449" s="3"/>
      <c r="C2449" s="3"/>
      <c r="D2449" s="3"/>
      <c r="E2449" s="3"/>
      <c r="F2449" s="2"/>
      <c r="G2449" s="2"/>
      <c r="I2449" s="1"/>
      <c r="J2449" s="1"/>
    </row>
    <row r="2450" spans="1:10" x14ac:dyDescent="0.2">
      <c r="A2450" s="3"/>
      <c r="B2450" s="3"/>
      <c r="C2450" s="3"/>
      <c r="D2450" s="3"/>
      <c r="E2450" s="3"/>
      <c r="F2450" s="2"/>
      <c r="G2450" s="2"/>
      <c r="I2450" s="1"/>
      <c r="J2450" s="1"/>
    </row>
    <row r="2451" spans="1:10" x14ac:dyDescent="0.2">
      <c r="A2451" s="3"/>
      <c r="B2451" s="3"/>
      <c r="C2451" s="3"/>
      <c r="D2451" s="3"/>
      <c r="E2451" s="3"/>
      <c r="F2451" s="2"/>
      <c r="G2451" s="2"/>
      <c r="I2451" s="1"/>
      <c r="J2451" s="1"/>
    </row>
    <row r="2452" spans="1:10" x14ac:dyDescent="0.2">
      <c r="A2452" s="3"/>
      <c r="B2452" s="3"/>
      <c r="C2452" s="3"/>
      <c r="D2452" s="3"/>
      <c r="E2452" s="3"/>
      <c r="F2452" s="2"/>
      <c r="G2452" s="2"/>
      <c r="I2452" s="1"/>
      <c r="J2452" s="1"/>
    </row>
    <row r="2453" spans="1:10" x14ac:dyDescent="0.2">
      <c r="A2453" s="3"/>
      <c r="B2453" s="3"/>
      <c r="C2453" s="3"/>
      <c r="D2453" s="3"/>
      <c r="E2453" s="3"/>
      <c r="F2453" s="2"/>
      <c r="G2453" s="2"/>
      <c r="I2453" s="1"/>
      <c r="J2453" s="1"/>
    </row>
    <row r="2454" spans="1:10" x14ac:dyDescent="0.2">
      <c r="A2454" s="3"/>
      <c r="B2454" s="3"/>
      <c r="C2454" s="3"/>
      <c r="D2454" s="3"/>
      <c r="E2454" s="3"/>
      <c r="F2454" s="2"/>
      <c r="G2454" s="2"/>
      <c r="I2454" s="1"/>
      <c r="J2454" s="1"/>
    </row>
    <row r="2455" spans="1:10" x14ac:dyDescent="0.2">
      <c r="A2455" s="3"/>
      <c r="B2455" s="3"/>
      <c r="C2455" s="3"/>
      <c r="D2455" s="3"/>
      <c r="E2455" s="3"/>
      <c r="F2455" s="2"/>
      <c r="G2455" s="2"/>
      <c r="I2455" s="1"/>
      <c r="J2455" s="1"/>
    </row>
    <row r="2456" spans="1:10" x14ac:dyDescent="0.2">
      <c r="A2456" s="3"/>
      <c r="B2456" s="3"/>
      <c r="C2456" s="3"/>
      <c r="D2456" s="3"/>
      <c r="E2456" s="3"/>
      <c r="F2456" s="2"/>
      <c r="G2456" s="2"/>
      <c r="I2456" s="1"/>
      <c r="J2456" s="1"/>
    </row>
    <row r="2457" spans="1:10" x14ac:dyDescent="0.2">
      <c r="A2457" s="3"/>
      <c r="B2457" s="3"/>
      <c r="C2457" s="3"/>
      <c r="D2457" s="3"/>
      <c r="E2457" s="3"/>
      <c r="F2457" s="2"/>
      <c r="G2457" s="2"/>
      <c r="I2457" s="1"/>
      <c r="J2457" s="1"/>
    </row>
    <row r="2458" spans="1:10" x14ac:dyDescent="0.2">
      <c r="A2458" s="3"/>
      <c r="B2458" s="3"/>
      <c r="C2458" s="3"/>
      <c r="D2458" s="3"/>
      <c r="E2458" s="3"/>
      <c r="F2458" s="2"/>
      <c r="G2458" s="2"/>
      <c r="I2458" s="1"/>
      <c r="J2458" s="1"/>
    </row>
    <row r="2459" spans="1:10" x14ac:dyDescent="0.2">
      <c r="A2459" s="3"/>
      <c r="B2459" s="3"/>
      <c r="C2459" s="3"/>
      <c r="D2459" s="3"/>
      <c r="E2459" s="3"/>
      <c r="F2459" s="2"/>
      <c r="G2459" s="2"/>
      <c r="I2459" s="1"/>
      <c r="J2459" s="1"/>
    </row>
    <row r="2460" spans="1:10" x14ac:dyDescent="0.2">
      <c r="A2460" s="3"/>
      <c r="B2460" s="3"/>
      <c r="C2460" s="3"/>
      <c r="D2460" s="3"/>
      <c r="E2460" s="3"/>
      <c r="F2460" s="2"/>
      <c r="G2460" s="2"/>
      <c r="I2460" s="1"/>
      <c r="J2460" s="1"/>
    </row>
    <row r="2461" spans="1:10" x14ac:dyDescent="0.2">
      <c r="A2461" s="3"/>
      <c r="B2461" s="3"/>
      <c r="C2461" s="3"/>
      <c r="D2461" s="3"/>
      <c r="E2461" s="3"/>
      <c r="F2461" s="2"/>
      <c r="G2461" s="2"/>
      <c r="I2461" s="1"/>
      <c r="J2461" s="1"/>
    </row>
    <row r="2462" spans="1:10" x14ac:dyDescent="0.2">
      <c r="A2462" s="3"/>
      <c r="B2462" s="3"/>
      <c r="C2462" s="3"/>
      <c r="D2462" s="3"/>
      <c r="E2462" s="3"/>
      <c r="F2462" s="2"/>
      <c r="G2462" s="2"/>
      <c r="I2462" s="1"/>
      <c r="J2462" s="1"/>
    </row>
    <row r="2463" spans="1:10" x14ac:dyDescent="0.2">
      <c r="A2463" s="3"/>
      <c r="B2463" s="3"/>
      <c r="C2463" s="3"/>
      <c r="D2463" s="3"/>
      <c r="E2463" s="3"/>
      <c r="F2463" s="2"/>
      <c r="G2463" s="2"/>
      <c r="I2463" s="1"/>
      <c r="J2463" s="1"/>
    </row>
    <row r="2464" spans="1:10" x14ac:dyDescent="0.2">
      <c r="A2464" s="3"/>
      <c r="B2464" s="3"/>
      <c r="C2464" s="3"/>
      <c r="D2464" s="3"/>
      <c r="E2464" s="3"/>
      <c r="F2464" s="2"/>
      <c r="G2464" s="2"/>
      <c r="I2464" s="1"/>
      <c r="J2464" s="1"/>
    </row>
    <row r="2465" spans="1:10" x14ac:dyDescent="0.2">
      <c r="A2465" s="3"/>
      <c r="B2465" s="3"/>
      <c r="C2465" s="3"/>
      <c r="D2465" s="3"/>
      <c r="E2465" s="3"/>
      <c r="F2465" s="2"/>
      <c r="G2465" s="2"/>
      <c r="I2465" s="1"/>
      <c r="J2465" s="1"/>
    </row>
    <row r="2466" spans="1:10" x14ac:dyDescent="0.2">
      <c r="A2466" s="3"/>
      <c r="B2466" s="3"/>
      <c r="C2466" s="3"/>
      <c r="D2466" s="3"/>
      <c r="E2466" s="3"/>
      <c r="F2466" s="2"/>
      <c r="G2466" s="2"/>
      <c r="I2466" s="1"/>
      <c r="J2466" s="1"/>
    </row>
    <row r="2467" spans="1:10" x14ac:dyDescent="0.2">
      <c r="A2467" s="3"/>
      <c r="B2467" s="3"/>
      <c r="C2467" s="3"/>
      <c r="D2467" s="3"/>
      <c r="E2467" s="3"/>
      <c r="F2467" s="2"/>
      <c r="G2467" s="2"/>
      <c r="I2467" s="1"/>
      <c r="J2467" s="1"/>
    </row>
    <row r="2468" spans="1:10" x14ac:dyDescent="0.2">
      <c r="A2468" s="3"/>
      <c r="B2468" s="3"/>
      <c r="C2468" s="3"/>
      <c r="D2468" s="3"/>
      <c r="E2468" s="3"/>
      <c r="F2468" s="2"/>
      <c r="G2468" s="2"/>
      <c r="I2468" s="1"/>
      <c r="J2468" s="1"/>
    </row>
    <row r="2469" spans="1:10" x14ac:dyDescent="0.2">
      <c r="A2469" s="3"/>
      <c r="B2469" s="3"/>
      <c r="C2469" s="3"/>
      <c r="D2469" s="3"/>
      <c r="E2469" s="3"/>
      <c r="F2469" s="2"/>
      <c r="G2469" s="2"/>
      <c r="I2469" s="1"/>
      <c r="J2469" s="1"/>
    </row>
    <row r="2470" spans="1:10" x14ac:dyDescent="0.2">
      <c r="A2470" s="3"/>
      <c r="B2470" s="3"/>
      <c r="C2470" s="3"/>
      <c r="D2470" s="3"/>
      <c r="E2470" s="3"/>
      <c r="F2470" s="2"/>
      <c r="G2470" s="2"/>
      <c r="I2470" s="1"/>
      <c r="J2470" s="1"/>
    </row>
    <row r="2471" spans="1:10" x14ac:dyDescent="0.2">
      <c r="A2471" s="3"/>
      <c r="B2471" s="3"/>
      <c r="C2471" s="3"/>
      <c r="D2471" s="3"/>
      <c r="E2471" s="3"/>
      <c r="F2471" s="2"/>
      <c r="G2471" s="2"/>
      <c r="I2471" s="1"/>
      <c r="J2471" s="1"/>
    </row>
    <row r="2472" spans="1:10" x14ac:dyDescent="0.2">
      <c r="A2472" s="3"/>
      <c r="B2472" s="3"/>
      <c r="C2472" s="3"/>
      <c r="D2472" s="3"/>
      <c r="E2472" s="3"/>
      <c r="F2472" s="2"/>
      <c r="G2472" s="2"/>
      <c r="I2472" s="1"/>
      <c r="J2472" s="1"/>
    </row>
    <row r="2473" spans="1:10" x14ac:dyDescent="0.2">
      <c r="A2473" s="3"/>
      <c r="B2473" s="3"/>
      <c r="C2473" s="3"/>
      <c r="D2473" s="3"/>
      <c r="E2473" s="3"/>
      <c r="F2473" s="2"/>
      <c r="G2473" s="2"/>
      <c r="I2473" s="1"/>
      <c r="J2473" s="1"/>
    </row>
    <row r="2474" spans="1:10" x14ac:dyDescent="0.2">
      <c r="A2474" s="3"/>
      <c r="B2474" s="3"/>
      <c r="C2474" s="3"/>
      <c r="D2474" s="3"/>
      <c r="E2474" s="3"/>
      <c r="F2474" s="2"/>
      <c r="G2474" s="2"/>
      <c r="I2474" s="1"/>
      <c r="J2474" s="1"/>
    </row>
    <row r="2475" spans="1:10" x14ac:dyDescent="0.2">
      <c r="A2475" s="3"/>
      <c r="B2475" s="3"/>
      <c r="C2475" s="3"/>
      <c r="D2475" s="3"/>
      <c r="E2475" s="3"/>
      <c r="F2475" s="2"/>
      <c r="G2475" s="2"/>
      <c r="I2475" s="1"/>
      <c r="J2475" s="1"/>
    </row>
    <row r="2476" spans="1:10" x14ac:dyDescent="0.2">
      <c r="A2476" s="3"/>
      <c r="B2476" s="3"/>
      <c r="C2476" s="3"/>
      <c r="D2476" s="3"/>
      <c r="E2476" s="3"/>
      <c r="F2476" s="2"/>
      <c r="G2476" s="2"/>
      <c r="I2476" s="1"/>
      <c r="J2476" s="1"/>
    </row>
    <row r="2477" spans="1:10" x14ac:dyDescent="0.2">
      <c r="A2477" s="3"/>
      <c r="B2477" s="3"/>
      <c r="C2477" s="3"/>
      <c r="D2477" s="3"/>
      <c r="E2477" s="3"/>
      <c r="F2477" s="2"/>
      <c r="G2477" s="2"/>
      <c r="I2477" s="1"/>
      <c r="J2477" s="1"/>
    </row>
    <row r="2478" spans="1:10" x14ac:dyDescent="0.2">
      <c r="A2478" s="3"/>
      <c r="B2478" s="3"/>
      <c r="C2478" s="3"/>
      <c r="D2478" s="3"/>
      <c r="E2478" s="3"/>
      <c r="F2478" s="2"/>
      <c r="G2478" s="2"/>
      <c r="I2478" s="1"/>
      <c r="J2478" s="1"/>
    </row>
    <row r="2479" spans="1:10" x14ac:dyDescent="0.2">
      <c r="A2479" s="3"/>
      <c r="B2479" s="3"/>
      <c r="C2479" s="3"/>
      <c r="D2479" s="3"/>
      <c r="E2479" s="3"/>
      <c r="F2479" s="2"/>
      <c r="G2479" s="2"/>
      <c r="I2479" s="1"/>
      <c r="J2479" s="1"/>
    </row>
    <row r="2480" spans="1:10" x14ac:dyDescent="0.2">
      <c r="A2480" s="3"/>
      <c r="B2480" s="3"/>
      <c r="C2480" s="3"/>
      <c r="D2480" s="3"/>
      <c r="E2480" s="3"/>
      <c r="F2480" s="2"/>
      <c r="G2480" s="2"/>
      <c r="I2480" s="1"/>
      <c r="J2480" s="1"/>
    </row>
    <row r="2481" spans="1:10" x14ac:dyDescent="0.2">
      <c r="A2481" s="3"/>
      <c r="B2481" s="3"/>
      <c r="C2481" s="3"/>
      <c r="D2481" s="3"/>
      <c r="E2481" s="3"/>
      <c r="F2481" s="2"/>
      <c r="G2481" s="2"/>
      <c r="I2481" s="1"/>
      <c r="J2481" s="1"/>
    </row>
    <row r="2482" spans="1:10" x14ac:dyDescent="0.2">
      <c r="A2482" s="3"/>
      <c r="B2482" s="3"/>
      <c r="C2482" s="3"/>
      <c r="D2482" s="3"/>
      <c r="E2482" s="3"/>
      <c r="F2482" s="2"/>
      <c r="G2482" s="2"/>
      <c r="I2482" s="1"/>
      <c r="J2482" s="1"/>
    </row>
    <row r="2483" spans="1:10" x14ac:dyDescent="0.2">
      <c r="A2483" s="3"/>
      <c r="B2483" s="3"/>
      <c r="C2483" s="3"/>
      <c r="D2483" s="3"/>
      <c r="E2483" s="3"/>
      <c r="F2483" s="2"/>
      <c r="G2483" s="2"/>
      <c r="I2483" s="1"/>
      <c r="J2483" s="1"/>
    </row>
    <row r="2484" spans="1:10" x14ac:dyDescent="0.2">
      <c r="A2484" s="3"/>
      <c r="B2484" s="3"/>
      <c r="C2484" s="3"/>
      <c r="D2484" s="3"/>
      <c r="E2484" s="3"/>
      <c r="F2484" s="2"/>
      <c r="G2484" s="2"/>
      <c r="I2484" s="1"/>
      <c r="J2484" s="1"/>
    </row>
    <row r="2485" spans="1:10" x14ac:dyDescent="0.2">
      <c r="A2485" s="3"/>
      <c r="B2485" s="3"/>
      <c r="C2485" s="3"/>
      <c r="D2485" s="3"/>
      <c r="E2485" s="3"/>
      <c r="F2485" s="2"/>
      <c r="G2485" s="2"/>
      <c r="I2485" s="1"/>
      <c r="J2485" s="1"/>
    </row>
    <row r="2486" spans="1:10" x14ac:dyDescent="0.2">
      <c r="A2486" s="3"/>
      <c r="B2486" s="3"/>
      <c r="C2486" s="3"/>
      <c r="D2486" s="3"/>
      <c r="E2486" s="3"/>
      <c r="F2486" s="2"/>
      <c r="G2486" s="2"/>
      <c r="I2486" s="1"/>
      <c r="J2486" s="1"/>
    </row>
    <row r="2487" spans="1:10" x14ac:dyDescent="0.2">
      <c r="A2487" s="3"/>
      <c r="B2487" s="3"/>
      <c r="C2487" s="3"/>
      <c r="D2487" s="3"/>
      <c r="E2487" s="3"/>
      <c r="F2487" s="2"/>
      <c r="G2487" s="2"/>
      <c r="I2487" s="1"/>
      <c r="J2487" s="1"/>
    </row>
    <row r="2488" spans="1:10" x14ac:dyDescent="0.2">
      <c r="A2488" s="3"/>
      <c r="B2488" s="3"/>
      <c r="C2488" s="3"/>
      <c r="D2488" s="3"/>
      <c r="E2488" s="3"/>
      <c r="F2488" s="2"/>
      <c r="G2488" s="2"/>
      <c r="I2488" s="1"/>
      <c r="J2488" s="1"/>
    </row>
    <row r="2489" spans="1:10" x14ac:dyDescent="0.2">
      <c r="A2489" s="3"/>
      <c r="B2489" s="3"/>
      <c r="C2489" s="3"/>
      <c r="D2489" s="3"/>
      <c r="E2489" s="3"/>
      <c r="F2489" s="2"/>
      <c r="G2489" s="2"/>
      <c r="I2489" s="1"/>
      <c r="J2489" s="1"/>
    </row>
    <row r="2490" spans="1:10" x14ac:dyDescent="0.2">
      <c r="A2490" s="3"/>
      <c r="B2490" s="3"/>
      <c r="C2490" s="3"/>
      <c r="D2490" s="3"/>
      <c r="E2490" s="3"/>
      <c r="F2490" s="2"/>
      <c r="G2490" s="2"/>
      <c r="I2490" s="1"/>
      <c r="J2490" s="1"/>
    </row>
    <row r="2491" spans="1:10" x14ac:dyDescent="0.2">
      <c r="A2491" s="3"/>
      <c r="B2491" s="3"/>
      <c r="C2491" s="3"/>
      <c r="D2491" s="3"/>
      <c r="E2491" s="3"/>
      <c r="F2491" s="2"/>
      <c r="G2491" s="2"/>
      <c r="I2491" s="1"/>
      <c r="J2491" s="1"/>
    </row>
    <row r="2492" spans="1:10" x14ac:dyDescent="0.2">
      <c r="A2492" s="3"/>
      <c r="B2492" s="3"/>
      <c r="C2492" s="3"/>
      <c r="D2492" s="3"/>
      <c r="E2492" s="3"/>
      <c r="F2492" s="2"/>
      <c r="G2492" s="2"/>
      <c r="I2492" s="1"/>
      <c r="J2492" s="1"/>
    </row>
    <row r="2493" spans="1:10" x14ac:dyDescent="0.2">
      <c r="A2493" s="3"/>
      <c r="B2493" s="3"/>
      <c r="C2493" s="3"/>
      <c r="D2493" s="3"/>
      <c r="E2493" s="3"/>
      <c r="F2493" s="2"/>
      <c r="G2493" s="2"/>
      <c r="I2493" s="1"/>
      <c r="J2493" s="1"/>
    </row>
    <row r="2494" spans="1:10" x14ac:dyDescent="0.2">
      <c r="A2494" s="3"/>
      <c r="B2494" s="3"/>
      <c r="C2494" s="3"/>
      <c r="D2494" s="3"/>
      <c r="E2494" s="3"/>
      <c r="F2494" s="2"/>
      <c r="G2494" s="2"/>
      <c r="I2494" s="1"/>
      <c r="J2494" s="1"/>
    </row>
    <row r="2495" spans="1:10" x14ac:dyDescent="0.2">
      <c r="A2495" s="3"/>
      <c r="B2495" s="3"/>
      <c r="C2495" s="3"/>
      <c r="D2495" s="3"/>
      <c r="E2495" s="3"/>
      <c r="F2495" s="2"/>
      <c r="G2495" s="2"/>
      <c r="I2495" s="1"/>
      <c r="J2495" s="1"/>
    </row>
    <row r="2496" spans="1:10" x14ac:dyDescent="0.2">
      <c r="A2496" s="3"/>
      <c r="B2496" s="3"/>
      <c r="C2496" s="3"/>
      <c r="D2496" s="3"/>
      <c r="E2496" s="3"/>
      <c r="F2496" s="2"/>
      <c r="G2496" s="2"/>
      <c r="I2496" s="1"/>
      <c r="J2496" s="1"/>
    </row>
    <row r="2497" spans="1:10" x14ac:dyDescent="0.2">
      <c r="A2497" s="3"/>
      <c r="B2497" s="3"/>
      <c r="C2497" s="3"/>
      <c r="D2497" s="3"/>
      <c r="E2497" s="3"/>
      <c r="F2497" s="2"/>
      <c r="G2497" s="2"/>
      <c r="I2497" s="1"/>
      <c r="J2497" s="1"/>
    </row>
    <row r="2498" spans="1:10" x14ac:dyDescent="0.2">
      <c r="A2498" s="3"/>
      <c r="B2498" s="3"/>
      <c r="C2498" s="3"/>
      <c r="D2498" s="3"/>
      <c r="E2498" s="3"/>
      <c r="F2498" s="2"/>
      <c r="G2498" s="2"/>
      <c r="I2498" s="1"/>
      <c r="J2498" s="1"/>
    </row>
    <row r="2499" spans="1:10" x14ac:dyDescent="0.2">
      <c r="A2499" s="3"/>
      <c r="B2499" s="3"/>
      <c r="C2499" s="3"/>
      <c r="D2499" s="3"/>
      <c r="E2499" s="3"/>
      <c r="F2499" s="2"/>
      <c r="G2499" s="2"/>
      <c r="I2499" s="1"/>
      <c r="J2499" s="1"/>
    </row>
    <row r="2500" spans="1:10" x14ac:dyDescent="0.2">
      <c r="A2500" s="3"/>
      <c r="B2500" s="3"/>
      <c r="C2500" s="3"/>
      <c r="D2500" s="3"/>
      <c r="E2500" s="3"/>
      <c r="F2500" s="2"/>
      <c r="G2500" s="2"/>
      <c r="I2500" s="1"/>
      <c r="J2500" s="1"/>
    </row>
    <row r="2501" spans="1:10" x14ac:dyDescent="0.2">
      <c r="A2501" s="3"/>
      <c r="B2501" s="3"/>
      <c r="C2501" s="3"/>
      <c r="D2501" s="3"/>
      <c r="E2501" s="3"/>
      <c r="F2501" s="2"/>
      <c r="G2501" s="2"/>
      <c r="I2501" s="1"/>
      <c r="J2501" s="1"/>
    </row>
    <row r="2502" spans="1:10" x14ac:dyDescent="0.2">
      <c r="A2502" s="3"/>
      <c r="B2502" s="3"/>
      <c r="C2502" s="3"/>
      <c r="D2502" s="3"/>
      <c r="E2502" s="3"/>
      <c r="F2502" s="2"/>
      <c r="G2502" s="2"/>
      <c r="I2502" s="1"/>
      <c r="J2502" s="1"/>
    </row>
    <row r="2503" spans="1:10" x14ac:dyDescent="0.2">
      <c r="A2503" s="3"/>
      <c r="B2503" s="3"/>
      <c r="C2503" s="3"/>
      <c r="D2503" s="3"/>
      <c r="E2503" s="3"/>
      <c r="F2503" s="2"/>
      <c r="G2503" s="2"/>
      <c r="I2503" s="1"/>
      <c r="J2503" s="1"/>
    </row>
    <row r="2504" spans="1:10" x14ac:dyDescent="0.2">
      <c r="A2504" s="3"/>
      <c r="B2504" s="3"/>
      <c r="C2504" s="3"/>
      <c r="D2504" s="3"/>
      <c r="E2504" s="3"/>
      <c r="F2504" s="2"/>
      <c r="G2504" s="2"/>
      <c r="I2504" s="1"/>
      <c r="J2504" s="1"/>
    </row>
    <row r="2505" spans="1:10" x14ac:dyDescent="0.2">
      <c r="A2505" s="3"/>
      <c r="B2505" s="3"/>
      <c r="C2505" s="3"/>
      <c r="D2505" s="3"/>
      <c r="E2505" s="3"/>
      <c r="F2505" s="2"/>
      <c r="G2505" s="2"/>
      <c r="I2505" s="1"/>
      <c r="J2505" s="1"/>
    </row>
    <row r="2506" spans="1:10" x14ac:dyDescent="0.2">
      <c r="A2506" s="3"/>
      <c r="B2506" s="3"/>
      <c r="C2506" s="3"/>
      <c r="D2506" s="3"/>
      <c r="E2506" s="3"/>
      <c r="F2506" s="2"/>
      <c r="G2506" s="2"/>
      <c r="I2506" s="1"/>
      <c r="J2506" s="1"/>
    </row>
    <row r="2507" spans="1:10" x14ac:dyDescent="0.2">
      <c r="A2507" s="3"/>
      <c r="B2507" s="3"/>
      <c r="C2507" s="3"/>
      <c r="D2507" s="3"/>
      <c r="E2507" s="3"/>
      <c r="F2507" s="2"/>
      <c r="G2507" s="2"/>
      <c r="I2507" s="1"/>
      <c r="J2507" s="1"/>
    </row>
    <row r="2508" spans="1:10" x14ac:dyDescent="0.2">
      <c r="A2508" s="3"/>
      <c r="B2508" s="3"/>
      <c r="C2508" s="3"/>
      <c r="D2508" s="3"/>
      <c r="E2508" s="3"/>
      <c r="F2508" s="2"/>
      <c r="G2508" s="2"/>
      <c r="I2508" s="1"/>
      <c r="J2508" s="1"/>
    </row>
    <row r="2509" spans="1:10" x14ac:dyDescent="0.2">
      <c r="A2509" s="3"/>
      <c r="B2509" s="3"/>
      <c r="C2509" s="3"/>
      <c r="D2509" s="3"/>
      <c r="E2509" s="3"/>
      <c r="F2509" s="2"/>
      <c r="G2509" s="2"/>
      <c r="I2509" s="1"/>
      <c r="J2509" s="1"/>
    </row>
    <row r="2510" spans="1:10" x14ac:dyDescent="0.2">
      <c r="A2510" s="3"/>
      <c r="B2510" s="3"/>
      <c r="C2510" s="3"/>
      <c r="D2510" s="3"/>
      <c r="E2510" s="3"/>
      <c r="F2510" s="2"/>
      <c r="G2510" s="2"/>
      <c r="I2510" s="1"/>
      <c r="J2510" s="1"/>
    </row>
    <row r="2511" spans="1:10" x14ac:dyDescent="0.2">
      <c r="A2511" s="3"/>
      <c r="B2511" s="3"/>
      <c r="C2511" s="3"/>
      <c r="D2511" s="3"/>
      <c r="E2511" s="3"/>
      <c r="F2511" s="2"/>
      <c r="G2511" s="2"/>
      <c r="I2511" s="1"/>
      <c r="J2511" s="1"/>
    </row>
    <row r="2512" spans="1:10" x14ac:dyDescent="0.2">
      <c r="A2512" s="3"/>
      <c r="B2512" s="3"/>
      <c r="C2512" s="3"/>
      <c r="D2512" s="3"/>
      <c r="E2512" s="3"/>
      <c r="F2512" s="2"/>
      <c r="G2512" s="2"/>
      <c r="I2512" s="1"/>
      <c r="J2512" s="1"/>
    </row>
    <row r="2513" spans="1:10" x14ac:dyDescent="0.2">
      <c r="A2513" s="3"/>
      <c r="B2513" s="3"/>
      <c r="C2513" s="3"/>
      <c r="D2513" s="3"/>
      <c r="E2513" s="3"/>
      <c r="F2513" s="2"/>
      <c r="G2513" s="2"/>
      <c r="I2513" s="1"/>
      <c r="J2513" s="1"/>
    </row>
    <row r="2514" spans="1:10" x14ac:dyDescent="0.2">
      <c r="A2514" s="3"/>
      <c r="B2514" s="3"/>
      <c r="C2514" s="3"/>
      <c r="D2514" s="3"/>
      <c r="E2514" s="3"/>
      <c r="F2514" s="2"/>
      <c r="G2514" s="2"/>
      <c r="I2514" s="1"/>
      <c r="J2514" s="1"/>
    </row>
    <row r="2515" spans="1:10" x14ac:dyDescent="0.2">
      <c r="A2515" s="3"/>
      <c r="B2515" s="3"/>
      <c r="C2515" s="3"/>
      <c r="D2515" s="3"/>
      <c r="E2515" s="3"/>
      <c r="F2515" s="2"/>
      <c r="G2515" s="2"/>
      <c r="I2515" s="1"/>
      <c r="J2515" s="1"/>
    </row>
    <row r="2516" spans="1:10" x14ac:dyDescent="0.2">
      <c r="A2516" s="3"/>
      <c r="B2516" s="3"/>
      <c r="C2516" s="3"/>
      <c r="D2516" s="3"/>
      <c r="E2516" s="3"/>
      <c r="F2516" s="2"/>
      <c r="G2516" s="2"/>
      <c r="I2516" s="1"/>
      <c r="J2516" s="1"/>
    </row>
    <row r="2517" spans="1:10" x14ac:dyDescent="0.2">
      <c r="A2517" s="3"/>
      <c r="B2517" s="3"/>
      <c r="C2517" s="3"/>
      <c r="D2517" s="3"/>
      <c r="E2517" s="3"/>
      <c r="F2517" s="2"/>
      <c r="G2517" s="2"/>
      <c r="I2517" s="1"/>
      <c r="J2517" s="1"/>
    </row>
    <row r="2518" spans="1:10" x14ac:dyDescent="0.2">
      <c r="A2518" s="3"/>
      <c r="B2518" s="3"/>
      <c r="C2518" s="3"/>
      <c r="D2518" s="3"/>
      <c r="E2518" s="3"/>
      <c r="F2518" s="2"/>
      <c r="G2518" s="2"/>
      <c r="I2518" s="1"/>
      <c r="J2518" s="1"/>
    </row>
    <row r="2519" spans="1:10" x14ac:dyDescent="0.2">
      <c r="A2519" s="3"/>
      <c r="B2519" s="3"/>
      <c r="C2519" s="3"/>
      <c r="D2519" s="3"/>
      <c r="E2519" s="3"/>
      <c r="F2519" s="2"/>
      <c r="G2519" s="2"/>
      <c r="I2519" s="1"/>
      <c r="J2519" s="1"/>
    </row>
    <row r="2520" spans="1:10" x14ac:dyDescent="0.2">
      <c r="A2520" s="3"/>
      <c r="B2520" s="3"/>
      <c r="C2520" s="3"/>
      <c r="D2520" s="3"/>
      <c r="E2520" s="3"/>
      <c r="F2520" s="2"/>
      <c r="G2520" s="2"/>
      <c r="I2520" s="1"/>
      <c r="J2520" s="1"/>
    </row>
    <row r="2521" spans="1:10" x14ac:dyDescent="0.2">
      <c r="A2521" s="3"/>
      <c r="B2521" s="3"/>
      <c r="C2521" s="3"/>
      <c r="D2521" s="3"/>
      <c r="E2521" s="3"/>
      <c r="F2521" s="2"/>
      <c r="G2521" s="2"/>
      <c r="I2521" s="1"/>
      <c r="J2521" s="1"/>
    </row>
    <row r="2522" spans="1:10" x14ac:dyDescent="0.2">
      <c r="A2522" s="3"/>
      <c r="B2522" s="3"/>
      <c r="C2522" s="3"/>
      <c r="D2522" s="3"/>
      <c r="E2522" s="3"/>
      <c r="F2522" s="2"/>
      <c r="G2522" s="2"/>
      <c r="I2522" s="1"/>
      <c r="J2522" s="1"/>
    </row>
    <row r="2523" spans="1:10" x14ac:dyDescent="0.2">
      <c r="A2523" s="3"/>
      <c r="B2523" s="3"/>
      <c r="C2523" s="3"/>
      <c r="D2523" s="3"/>
      <c r="E2523" s="3"/>
      <c r="F2523" s="2"/>
      <c r="G2523" s="2"/>
      <c r="I2523" s="1"/>
      <c r="J2523" s="1"/>
    </row>
    <row r="2524" spans="1:10" x14ac:dyDescent="0.2">
      <c r="A2524" s="3"/>
      <c r="B2524" s="3"/>
      <c r="C2524" s="3"/>
      <c r="D2524" s="3"/>
      <c r="E2524" s="3"/>
      <c r="F2524" s="2"/>
      <c r="G2524" s="2"/>
      <c r="I2524" s="1"/>
      <c r="J2524" s="1"/>
    </row>
    <row r="2525" spans="1:10" x14ac:dyDescent="0.2">
      <c r="A2525" s="3"/>
      <c r="B2525" s="3"/>
      <c r="C2525" s="3"/>
      <c r="D2525" s="3"/>
      <c r="E2525" s="3"/>
      <c r="F2525" s="2"/>
      <c r="G2525" s="2"/>
      <c r="I2525" s="1"/>
      <c r="J2525" s="1"/>
    </row>
    <row r="2526" spans="1:10" x14ac:dyDescent="0.2">
      <c r="A2526" s="3"/>
      <c r="B2526" s="3"/>
      <c r="C2526" s="3"/>
      <c r="D2526" s="3"/>
      <c r="E2526" s="3"/>
      <c r="F2526" s="2"/>
      <c r="G2526" s="2"/>
      <c r="I2526" s="1"/>
      <c r="J2526" s="1"/>
    </row>
    <row r="2527" spans="1:10" x14ac:dyDescent="0.2">
      <c r="A2527" s="3"/>
      <c r="B2527" s="3"/>
      <c r="C2527" s="3"/>
      <c r="D2527" s="3"/>
      <c r="E2527" s="3"/>
      <c r="F2527" s="2"/>
      <c r="G2527" s="2"/>
      <c r="I2527" s="1"/>
      <c r="J2527" s="1"/>
    </row>
    <row r="2528" spans="1:10" x14ac:dyDescent="0.2">
      <c r="A2528" s="3"/>
      <c r="B2528" s="3"/>
      <c r="C2528" s="3"/>
      <c r="D2528" s="3"/>
      <c r="E2528" s="3"/>
      <c r="F2528" s="2"/>
      <c r="G2528" s="2"/>
      <c r="I2528" s="1"/>
      <c r="J2528" s="1"/>
    </row>
    <row r="2529" spans="1:10" x14ac:dyDescent="0.2">
      <c r="A2529" s="3"/>
      <c r="B2529" s="3"/>
      <c r="C2529" s="3"/>
      <c r="D2529" s="3"/>
      <c r="E2529" s="3"/>
      <c r="F2529" s="2"/>
      <c r="G2529" s="2"/>
      <c r="I2529" s="1"/>
      <c r="J2529" s="1"/>
    </row>
    <row r="2530" spans="1:10" x14ac:dyDescent="0.2">
      <c r="A2530" s="3"/>
      <c r="B2530" s="3"/>
      <c r="C2530" s="3"/>
      <c r="D2530" s="3"/>
      <c r="E2530" s="3"/>
      <c r="F2530" s="2"/>
      <c r="G2530" s="2"/>
      <c r="I2530" s="1"/>
      <c r="J2530" s="1"/>
    </row>
    <row r="2531" spans="1:10" x14ac:dyDescent="0.2">
      <c r="A2531" s="3"/>
      <c r="B2531" s="3"/>
      <c r="C2531" s="3"/>
      <c r="D2531" s="3"/>
      <c r="E2531" s="3"/>
      <c r="F2531" s="2"/>
      <c r="G2531" s="2"/>
      <c r="I2531" s="1"/>
      <c r="J2531" s="1"/>
    </row>
    <row r="2532" spans="1:10" x14ac:dyDescent="0.2">
      <c r="A2532" s="3"/>
      <c r="B2532" s="3"/>
      <c r="C2532" s="3"/>
      <c r="D2532" s="3"/>
      <c r="E2532" s="3"/>
      <c r="F2532" s="2"/>
      <c r="G2532" s="2"/>
      <c r="I2532" s="1"/>
      <c r="J2532" s="1"/>
    </row>
    <row r="2533" spans="1:10" x14ac:dyDescent="0.2">
      <c r="A2533" s="3"/>
      <c r="B2533" s="3"/>
      <c r="C2533" s="3"/>
      <c r="D2533" s="3"/>
      <c r="E2533" s="3"/>
      <c r="F2533" s="2"/>
      <c r="G2533" s="2"/>
      <c r="I2533" s="1"/>
      <c r="J2533" s="1"/>
    </row>
    <row r="2534" spans="1:10" x14ac:dyDescent="0.2">
      <c r="A2534" s="3"/>
      <c r="B2534" s="3"/>
      <c r="C2534" s="3"/>
      <c r="D2534" s="3"/>
      <c r="E2534" s="3"/>
      <c r="F2534" s="2"/>
      <c r="G2534" s="2"/>
      <c r="I2534" s="1"/>
      <c r="J2534" s="1"/>
    </row>
    <row r="2535" spans="1:10" x14ac:dyDescent="0.2">
      <c r="A2535" s="3"/>
      <c r="B2535" s="3"/>
      <c r="C2535" s="3"/>
      <c r="D2535" s="3"/>
      <c r="E2535" s="3"/>
      <c r="F2535" s="2"/>
      <c r="G2535" s="2"/>
      <c r="I2535" s="1"/>
      <c r="J2535" s="1"/>
    </row>
    <row r="2536" spans="1:10" x14ac:dyDescent="0.2">
      <c r="A2536" s="3"/>
      <c r="B2536" s="3"/>
      <c r="C2536" s="3"/>
      <c r="D2536" s="3"/>
      <c r="E2536" s="3"/>
      <c r="F2536" s="2"/>
      <c r="G2536" s="2"/>
      <c r="I2536" s="1"/>
      <c r="J2536" s="1"/>
    </row>
    <row r="2537" spans="1:10" x14ac:dyDescent="0.2">
      <c r="A2537" s="3"/>
      <c r="B2537" s="3"/>
      <c r="C2537" s="3"/>
      <c r="D2537" s="3"/>
      <c r="E2537" s="3"/>
      <c r="F2537" s="2"/>
      <c r="G2537" s="2"/>
      <c r="I2537" s="1"/>
      <c r="J2537" s="1"/>
    </row>
    <row r="2538" spans="1:10" x14ac:dyDescent="0.2">
      <c r="A2538" s="3"/>
      <c r="B2538" s="3"/>
      <c r="C2538" s="3"/>
      <c r="D2538" s="3"/>
      <c r="E2538" s="3"/>
      <c r="F2538" s="2"/>
      <c r="G2538" s="2"/>
      <c r="I2538" s="1"/>
      <c r="J2538" s="1"/>
    </row>
    <row r="2539" spans="1:10" x14ac:dyDescent="0.2">
      <c r="A2539" s="3"/>
      <c r="B2539" s="3"/>
      <c r="C2539" s="3"/>
      <c r="D2539" s="3"/>
      <c r="E2539" s="3"/>
      <c r="F2539" s="2"/>
      <c r="G2539" s="2"/>
      <c r="I2539" s="1"/>
      <c r="J2539" s="1"/>
    </row>
    <row r="2540" spans="1:10" x14ac:dyDescent="0.2">
      <c r="A2540" s="3"/>
      <c r="B2540" s="3"/>
      <c r="C2540" s="3"/>
      <c r="D2540" s="3"/>
      <c r="E2540" s="3"/>
      <c r="F2540" s="2"/>
      <c r="G2540" s="2"/>
      <c r="I2540" s="1"/>
      <c r="J2540" s="1"/>
    </row>
    <row r="2541" spans="1:10" x14ac:dyDescent="0.2">
      <c r="A2541" s="3"/>
      <c r="B2541" s="3"/>
      <c r="C2541" s="3"/>
      <c r="D2541" s="3"/>
      <c r="E2541" s="3"/>
      <c r="F2541" s="2"/>
      <c r="G2541" s="2"/>
      <c r="I2541" s="1"/>
      <c r="J2541" s="1"/>
    </row>
    <row r="2542" spans="1:10" x14ac:dyDescent="0.2">
      <c r="A2542" s="3"/>
      <c r="B2542" s="3"/>
      <c r="C2542" s="3"/>
      <c r="D2542" s="3"/>
      <c r="E2542" s="3"/>
      <c r="F2542" s="2"/>
      <c r="G2542" s="2"/>
      <c r="I2542" s="1"/>
      <c r="J2542" s="1"/>
    </row>
    <row r="2543" spans="1:10" x14ac:dyDescent="0.2">
      <c r="A2543" s="3"/>
      <c r="B2543" s="3"/>
      <c r="C2543" s="3"/>
      <c r="D2543" s="3"/>
      <c r="E2543" s="3"/>
      <c r="F2543" s="2"/>
      <c r="G2543" s="2"/>
      <c r="I2543" s="1"/>
      <c r="J2543" s="1"/>
    </row>
    <row r="2544" spans="1:10" x14ac:dyDescent="0.2">
      <c r="A2544" s="3"/>
      <c r="B2544" s="3"/>
      <c r="C2544" s="3"/>
      <c r="D2544" s="3"/>
      <c r="E2544" s="3"/>
      <c r="F2544" s="2"/>
      <c r="G2544" s="2"/>
      <c r="I2544" s="1"/>
      <c r="J2544" s="1"/>
    </row>
    <row r="2545" spans="1:10" x14ac:dyDescent="0.2">
      <c r="A2545" s="3"/>
      <c r="B2545" s="3"/>
      <c r="C2545" s="3"/>
      <c r="D2545" s="3"/>
      <c r="E2545" s="3"/>
      <c r="F2545" s="2"/>
      <c r="G2545" s="2"/>
      <c r="I2545" s="1"/>
      <c r="J2545" s="1"/>
    </row>
    <row r="2546" spans="1:10" x14ac:dyDescent="0.2">
      <c r="A2546" s="3"/>
      <c r="B2546" s="3"/>
      <c r="C2546" s="3"/>
      <c r="D2546" s="3"/>
      <c r="E2546" s="3"/>
      <c r="F2546" s="2"/>
      <c r="G2546" s="2"/>
      <c r="I2546" s="1"/>
      <c r="J2546" s="1"/>
    </row>
    <row r="2547" spans="1:10" x14ac:dyDescent="0.2">
      <c r="A2547" s="3"/>
      <c r="B2547" s="3"/>
      <c r="C2547" s="3"/>
      <c r="D2547" s="3"/>
      <c r="E2547" s="3"/>
      <c r="F2547" s="2"/>
      <c r="G2547" s="2"/>
      <c r="I2547" s="1"/>
      <c r="J2547" s="1"/>
    </row>
    <row r="2548" spans="1:10" x14ac:dyDescent="0.2">
      <c r="A2548" s="3"/>
      <c r="B2548" s="3"/>
      <c r="C2548" s="3"/>
      <c r="D2548" s="3"/>
      <c r="E2548" s="3"/>
      <c r="F2548" s="2"/>
      <c r="G2548" s="2"/>
      <c r="I2548" s="1"/>
      <c r="J2548" s="1"/>
    </row>
    <row r="2549" spans="1:10" x14ac:dyDescent="0.2">
      <c r="A2549" s="3"/>
      <c r="B2549" s="3"/>
      <c r="C2549" s="3"/>
      <c r="D2549" s="3"/>
      <c r="E2549" s="3"/>
      <c r="F2549" s="2"/>
      <c r="G2549" s="2"/>
      <c r="I2549" s="1"/>
      <c r="J2549" s="1"/>
    </row>
    <row r="2550" spans="1:10" x14ac:dyDescent="0.2">
      <c r="A2550" s="3"/>
      <c r="B2550" s="3"/>
      <c r="C2550" s="3"/>
      <c r="D2550" s="3"/>
      <c r="E2550" s="3"/>
      <c r="F2550" s="2"/>
      <c r="G2550" s="2"/>
      <c r="I2550" s="1"/>
      <c r="J2550" s="1"/>
    </row>
    <row r="2551" spans="1:10" x14ac:dyDescent="0.2">
      <c r="A2551" s="3"/>
      <c r="B2551" s="3"/>
      <c r="C2551" s="3"/>
      <c r="D2551" s="3"/>
      <c r="E2551" s="3"/>
      <c r="F2551" s="2"/>
      <c r="G2551" s="2"/>
      <c r="I2551" s="1"/>
      <c r="J2551" s="1"/>
    </row>
    <row r="2552" spans="1:10" x14ac:dyDescent="0.2">
      <c r="A2552" s="3"/>
      <c r="B2552" s="3"/>
      <c r="C2552" s="3"/>
      <c r="D2552" s="3"/>
      <c r="E2552" s="3"/>
      <c r="F2552" s="2"/>
      <c r="G2552" s="2"/>
      <c r="I2552" s="1"/>
      <c r="J2552" s="1"/>
    </row>
    <row r="2553" spans="1:10" x14ac:dyDescent="0.2">
      <c r="A2553" s="3"/>
      <c r="B2553" s="3"/>
      <c r="C2553" s="3"/>
      <c r="D2553" s="3"/>
      <c r="E2553" s="3"/>
      <c r="F2553" s="2"/>
      <c r="G2553" s="2"/>
      <c r="I2553" s="1"/>
      <c r="J2553" s="1"/>
    </row>
    <row r="2554" spans="1:10" x14ac:dyDescent="0.2">
      <c r="A2554" s="3"/>
      <c r="B2554" s="3"/>
      <c r="C2554" s="3"/>
      <c r="D2554" s="3"/>
      <c r="E2554" s="3"/>
      <c r="F2554" s="2"/>
      <c r="G2554" s="2"/>
      <c r="I2554" s="1"/>
      <c r="J2554" s="1"/>
    </row>
    <row r="2555" spans="1:10" x14ac:dyDescent="0.2">
      <c r="A2555" s="3"/>
      <c r="B2555" s="3"/>
      <c r="C2555" s="3"/>
      <c r="D2555" s="3"/>
      <c r="E2555" s="3"/>
      <c r="F2555" s="2"/>
      <c r="G2555" s="2"/>
      <c r="I2555" s="1"/>
      <c r="J2555" s="1"/>
    </row>
    <row r="2556" spans="1:10" x14ac:dyDescent="0.2">
      <c r="A2556" s="3"/>
      <c r="B2556" s="3"/>
      <c r="C2556" s="3"/>
      <c r="D2556" s="3"/>
      <c r="E2556" s="3"/>
      <c r="F2556" s="2"/>
      <c r="G2556" s="2"/>
      <c r="I2556" s="1"/>
      <c r="J2556" s="1"/>
    </row>
    <row r="2557" spans="1:10" x14ac:dyDescent="0.2">
      <c r="A2557" s="3"/>
      <c r="B2557" s="3"/>
      <c r="C2557" s="3"/>
      <c r="D2557" s="3"/>
      <c r="E2557" s="3"/>
      <c r="F2557" s="2"/>
      <c r="G2557" s="2"/>
      <c r="I2557" s="1"/>
      <c r="J2557" s="1"/>
    </row>
    <row r="2558" spans="1:10" x14ac:dyDescent="0.2">
      <c r="A2558" s="3"/>
      <c r="B2558" s="3"/>
      <c r="C2558" s="3"/>
      <c r="D2558" s="3"/>
      <c r="E2558" s="3"/>
      <c r="F2558" s="2"/>
      <c r="G2558" s="2"/>
      <c r="I2558" s="1"/>
      <c r="J2558" s="1"/>
    </row>
    <row r="2559" spans="1:10" x14ac:dyDescent="0.2">
      <c r="A2559" s="3"/>
      <c r="B2559" s="3"/>
      <c r="C2559" s="3"/>
      <c r="D2559" s="3"/>
      <c r="E2559" s="3"/>
      <c r="F2559" s="2"/>
      <c r="G2559" s="2"/>
      <c r="I2559" s="1"/>
      <c r="J2559" s="1"/>
    </row>
    <row r="2560" spans="1:10" x14ac:dyDescent="0.2">
      <c r="A2560" s="3"/>
      <c r="B2560" s="3"/>
      <c r="C2560" s="3"/>
      <c r="D2560" s="3"/>
      <c r="E2560" s="3"/>
      <c r="F2560" s="2"/>
      <c r="G2560" s="2"/>
      <c r="I2560" s="1"/>
      <c r="J2560" s="1"/>
    </row>
    <row r="2561" spans="1:10" x14ac:dyDescent="0.2">
      <c r="A2561" s="3"/>
      <c r="B2561" s="3"/>
      <c r="C2561" s="3"/>
      <c r="D2561" s="3"/>
      <c r="E2561" s="3"/>
      <c r="F2561" s="2"/>
      <c r="G2561" s="2"/>
      <c r="I2561" s="1"/>
      <c r="J2561" s="1"/>
    </row>
    <row r="2562" spans="1:10" x14ac:dyDescent="0.2">
      <c r="A2562" s="3"/>
      <c r="B2562" s="3"/>
      <c r="C2562" s="3"/>
      <c r="D2562" s="3"/>
      <c r="E2562" s="3"/>
      <c r="F2562" s="2"/>
      <c r="G2562" s="2"/>
      <c r="I2562" s="1"/>
      <c r="J2562" s="1"/>
    </row>
    <row r="2563" spans="1:10" x14ac:dyDescent="0.2">
      <c r="A2563" s="3"/>
      <c r="B2563" s="3"/>
      <c r="C2563" s="3"/>
      <c r="D2563" s="3"/>
      <c r="E2563" s="3"/>
      <c r="F2563" s="2"/>
      <c r="G2563" s="2"/>
      <c r="I2563" s="1"/>
      <c r="J2563" s="1"/>
    </row>
    <row r="2564" spans="1:10" x14ac:dyDescent="0.2">
      <c r="A2564" s="3"/>
      <c r="B2564" s="3"/>
      <c r="C2564" s="3"/>
      <c r="D2564" s="3"/>
      <c r="E2564" s="3"/>
      <c r="F2564" s="2"/>
      <c r="G2564" s="2"/>
      <c r="I2564" s="1"/>
      <c r="J2564" s="1"/>
    </row>
    <row r="2565" spans="1:10" x14ac:dyDescent="0.2">
      <c r="A2565" s="3"/>
      <c r="B2565" s="3"/>
      <c r="C2565" s="3"/>
      <c r="D2565" s="3"/>
      <c r="E2565" s="3"/>
      <c r="F2565" s="2"/>
      <c r="G2565" s="2"/>
      <c r="I2565" s="1"/>
      <c r="J2565" s="1"/>
    </row>
    <row r="2566" spans="1:10" x14ac:dyDescent="0.2">
      <c r="A2566" s="3"/>
      <c r="B2566" s="3"/>
      <c r="C2566" s="3"/>
      <c r="D2566" s="3"/>
      <c r="E2566" s="3"/>
      <c r="F2566" s="2"/>
      <c r="G2566" s="2"/>
      <c r="I2566" s="1"/>
      <c r="J2566" s="1"/>
    </row>
    <row r="2567" spans="1:10" x14ac:dyDescent="0.2">
      <c r="A2567" s="3"/>
      <c r="B2567" s="3"/>
      <c r="C2567" s="3"/>
      <c r="D2567" s="3"/>
      <c r="E2567" s="3"/>
      <c r="F2567" s="2"/>
      <c r="G2567" s="2"/>
      <c r="I2567" s="1"/>
      <c r="J2567" s="1"/>
    </row>
    <row r="2568" spans="1:10" x14ac:dyDescent="0.2">
      <c r="A2568" s="3"/>
      <c r="B2568" s="3"/>
      <c r="C2568" s="3"/>
      <c r="D2568" s="3"/>
      <c r="E2568" s="3"/>
      <c r="F2568" s="2"/>
      <c r="G2568" s="2"/>
      <c r="I2568" s="1"/>
      <c r="J2568" s="1"/>
    </row>
    <row r="2569" spans="1:10" x14ac:dyDescent="0.2">
      <c r="A2569" s="3"/>
      <c r="B2569" s="3"/>
      <c r="C2569" s="3"/>
      <c r="D2569" s="3"/>
      <c r="E2569" s="3"/>
      <c r="F2569" s="2"/>
      <c r="G2569" s="2"/>
      <c r="I2569" s="1"/>
      <c r="J2569" s="1"/>
    </row>
    <row r="2570" spans="1:10" x14ac:dyDescent="0.2">
      <c r="A2570" s="3"/>
      <c r="B2570" s="3"/>
      <c r="C2570" s="3"/>
      <c r="D2570" s="3"/>
      <c r="E2570" s="3"/>
      <c r="F2570" s="2"/>
      <c r="G2570" s="2"/>
      <c r="I2570" s="1"/>
      <c r="J2570" s="1"/>
    </row>
    <row r="2571" spans="1:10" x14ac:dyDescent="0.2">
      <c r="A2571" s="3"/>
      <c r="B2571" s="3"/>
      <c r="C2571" s="3"/>
      <c r="D2571" s="3"/>
      <c r="E2571" s="3"/>
      <c r="F2571" s="2"/>
      <c r="G2571" s="2"/>
      <c r="I2571" s="1"/>
      <c r="J2571" s="1"/>
    </row>
    <row r="2572" spans="1:10" x14ac:dyDescent="0.2">
      <c r="A2572" s="3"/>
      <c r="B2572" s="3"/>
      <c r="C2572" s="3"/>
      <c r="D2572" s="3"/>
      <c r="E2572" s="3"/>
      <c r="F2572" s="2"/>
      <c r="G2572" s="2"/>
      <c r="I2572" s="1"/>
      <c r="J2572" s="1"/>
    </row>
    <row r="2573" spans="1:10" x14ac:dyDescent="0.2">
      <c r="A2573" s="3"/>
      <c r="B2573" s="3"/>
      <c r="C2573" s="3"/>
      <c r="D2573" s="3"/>
      <c r="E2573" s="3"/>
      <c r="F2573" s="2"/>
      <c r="G2573" s="2"/>
      <c r="I2573" s="1"/>
      <c r="J2573" s="1"/>
    </row>
    <row r="2574" spans="1:10" x14ac:dyDescent="0.2">
      <c r="A2574" s="3"/>
      <c r="B2574" s="3"/>
      <c r="C2574" s="3"/>
      <c r="D2574" s="3"/>
      <c r="E2574" s="3"/>
      <c r="F2574" s="2"/>
      <c r="G2574" s="2"/>
      <c r="I2574" s="1"/>
      <c r="J2574" s="1"/>
    </row>
    <row r="2575" spans="1:10" x14ac:dyDescent="0.2">
      <c r="A2575" s="3"/>
      <c r="B2575" s="3"/>
      <c r="C2575" s="3"/>
      <c r="D2575" s="3"/>
      <c r="E2575" s="3"/>
      <c r="F2575" s="2"/>
      <c r="G2575" s="2"/>
      <c r="I2575" s="1"/>
      <c r="J2575" s="1"/>
    </row>
    <row r="2576" spans="1:10" x14ac:dyDescent="0.2">
      <c r="A2576" s="3"/>
      <c r="B2576" s="3"/>
      <c r="C2576" s="3"/>
      <c r="D2576" s="3"/>
      <c r="E2576" s="3"/>
      <c r="F2576" s="2"/>
      <c r="G2576" s="2"/>
      <c r="I2576" s="1"/>
      <c r="J2576" s="1"/>
    </row>
    <row r="2577" spans="1:10" x14ac:dyDescent="0.2">
      <c r="A2577" s="3"/>
      <c r="B2577" s="3"/>
      <c r="C2577" s="3"/>
      <c r="D2577" s="3"/>
      <c r="E2577" s="3"/>
      <c r="F2577" s="2"/>
      <c r="G2577" s="2"/>
      <c r="I2577" s="1"/>
      <c r="J2577" s="1"/>
    </row>
    <row r="2578" spans="1:10" x14ac:dyDescent="0.2">
      <c r="A2578" s="3"/>
      <c r="B2578" s="3"/>
      <c r="C2578" s="3"/>
      <c r="D2578" s="3"/>
      <c r="E2578" s="3"/>
      <c r="F2578" s="2"/>
      <c r="G2578" s="2"/>
      <c r="I2578" s="1"/>
      <c r="J2578" s="1"/>
    </row>
    <row r="2579" spans="1:10" x14ac:dyDescent="0.2">
      <c r="A2579" s="3"/>
      <c r="B2579" s="3"/>
      <c r="C2579" s="3"/>
      <c r="D2579" s="3"/>
      <c r="E2579" s="3"/>
      <c r="F2579" s="2"/>
      <c r="G2579" s="2"/>
      <c r="I2579" s="1"/>
      <c r="J2579" s="1"/>
    </row>
    <row r="2580" spans="1:10" x14ac:dyDescent="0.2">
      <c r="A2580" s="3"/>
      <c r="B2580" s="3"/>
      <c r="C2580" s="3"/>
      <c r="D2580" s="3"/>
      <c r="E2580" s="3"/>
      <c r="F2580" s="2"/>
      <c r="G2580" s="2"/>
      <c r="I2580" s="1"/>
      <c r="J2580" s="1"/>
    </row>
    <row r="2581" spans="1:10" x14ac:dyDescent="0.2">
      <c r="A2581" s="3"/>
      <c r="B2581" s="3"/>
      <c r="C2581" s="3"/>
      <c r="D2581" s="3"/>
      <c r="E2581" s="3"/>
      <c r="F2581" s="2"/>
      <c r="G2581" s="2"/>
      <c r="I2581" s="1"/>
      <c r="J2581" s="1"/>
    </row>
    <row r="2582" spans="1:10" x14ac:dyDescent="0.2">
      <c r="A2582" s="3"/>
      <c r="B2582" s="3"/>
      <c r="C2582" s="3"/>
      <c r="D2582" s="3"/>
      <c r="E2582" s="3"/>
      <c r="F2582" s="2"/>
      <c r="G2582" s="2"/>
      <c r="I2582" s="1"/>
      <c r="J2582" s="1"/>
    </row>
    <row r="2583" spans="1:10" x14ac:dyDescent="0.2">
      <c r="A2583" s="3"/>
      <c r="B2583" s="3"/>
      <c r="C2583" s="3"/>
      <c r="D2583" s="3"/>
      <c r="E2583" s="3"/>
      <c r="F2583" s="2"/>
      <c r="G2583" s="2"/>
      <c r="I2583" s="1"/>
      <c r="J2583" s="1"/>
    </row>
    <row r="2584" spans="1:10" x14ac:dyDescent="0.2">
      <c r="A2584" s="3"/>
      <c r="B2584" s="3"/>
      <c r="C2584" s="3"/>
      <c r="D2584" s="3"/>
      <c r="E2584" s="3"/>
      <c r="F2584" s="2"/>
      <c r="G2584" s="2"/>
      <c r="I2584" s="1"/>
      <c r="J2584" s="1"/>
    </row>
    <row r="2585" spans="1:10" x14ac:dyDescent="0.2">
      <c r="A2585" s="3"/>
      <c r="B2585" s="3"/>
      <c r="C2585" s="3"/>
      <c r="D2585" s="3"/>
      <c r="E2585" s="3"/>
      <c r="F2585" s="2"/>
      <c r="G2585" s="2"/>
      <c r="I2585" s="1"/>
      <c r="J2585" s="1"/>
    </row>
    <row r="2586" spans="1:10" x14ac:dyDescent="0.2">
      <c r="A2586" s="3"/>
      <c r="B2586" s="3"/>
      <c r="C2586" s="3"/>
      <c r="D2586" s="3"/>
      <c r="E2586" s="3"/>
      <c r="F2586" s="2"/>
      <c r="G2586" s="2"/>
      <c r="I2586" s="1"/>
      <c r="J2586" s="1"/>
    </row>
    <row r="2587" spans="1:10" x14ac:dyDescent="0.2">
      <c r="A2587" s="3"/>
      <c r="B2587" s="3"/>
      <c r="C2587" s="3"/>
      <c r="D2587" s="3"/>
      <c r="E2587" s="3"/>
      <c r="F2587" s="2"/>
      <c r="G2587" s="2"/>
      <c r="I2587" s="1"/>
      <c r="J2587" s="1"/>
    </row>
    <row r="2588" spans="1:10" x14ac:dyDescent="0.2">
      <c r="A2588" s="3"/>
      <c r="B2588" s="3"/>
      <c r="C2588" s="3"/>
      <c r="D2588" s="3"/>
      <c r="E2588" s="3"/>
      <c r="F2588" s="2"/>
      <c r="G2588" s="2"/>
      <c r="I2588" s="1"/>
      <c r="J2588" s="1"/>
    </row>
    <row r="2589" spans="1:10" x14ac:dyDescent="0.2">
      <c r="A2589" s="3"/>
      <c r="B2589" s="3"/>
      <c r="C2589" s="3"/>
      <c r="D2589" s="3"/>
      <c r="E2589" s="3"/>
      <c r="F2589" s="2"/>
      <c r="G2589" s="2"/>
      <c r="I2589" s="1"/>
      <c r="J2589" s="1"/>
    </row>
    <row r="2590" spans="1:10" x14ac:dyDescent="0.2">
      <c r="A2590" s="3"/>
      <c r="B2590" s="3"/>
      <c r="C2590" s="3"/>
      <c r="D2590" s="3"/>
      <c r="E2590" s="3"/>
      <c r="F2590" s="2"/>
      <c r="G2590" s="2"/>
      <c r="I2590" s="1"/>
      <c r="J2590" s="1"/>
    </row>
    <row r="2591" spans="1:10" x14ac:dyDescent="0.2">
      <c r="A2591" s="3"/>
      <c r="B2591" s="3"/>
      <c r="C2591" s="3"/>
      <c r="D2591" s="3"/>
      <c r="E2591" s="3"/>
      <c r="F2591" s="2"/>
      <c r="G2591" s="2"/>
      <c r="I2591" s="1"/>
      <c r="J2591" s="1"/>
    </row>
    <row r="2592" spans="1:10" x14ac:dyDescent="0.2">
      <c r="A2592" s="3"/>
      <c r="B2592" s="3"/>
      <c r="C2592" s="3"/>
      <c r="D2592" s="3"/>
      <c r="E2592" s="3"/>
      <c r="F2592" s="2"/>
      <c r="G2592" s="2"/>
      <c r="I2592" s="1"/>
      <c r="J2592" s="1"/>
    </row>
    <row r="2593" spans="1:10" x14ac:dyDescent="0.2">
      <c r="A2593" s="3"/>
      <c r="B2593" s="3"/>
      <c r="C2593" s="3"/>
      <c r="D2593" s="3"/>
      <c r="E2593" s="3"/>
      <c r="F2593" s="2"/>
      <c r="G2593" s="2"/>
      <c r="I2593" s="1"/>
      <c r="J2593" s="1"/>
    </row>
    <row r="2594" spans="1:10" x14ac:dyDescent="0.2">
      <c r="A2594" s="3"/>
      <c r="B2594" s="3"/>
      <c r="C2594" s="3"/>
      <c r="D2594" s="3"/>
      <c r="E2594" s="3"/>
      <c r="F2594" s="2"/>
      <c r="G2594" s="2"/>
      <c r="I2594" s="1"/>
      <c r="J2594" s="1"/>
    </row>
    <row r="2595" spans="1:10" x14ac:dyDescent="0.2">
      <c r="A2595" s="3"/>
      <c r="B2595" s="3"/>
      <c r="C2595" s="3"/>
      <c r="D2595" s="3"/>
      <c r="E2595" s="3"/>
      <c r="F2595" s="2"/>
      <c r="G2595" s="2"/>
      <c r="I2595" s="1"/>
      <c r="J2595" s="1"/>
    </row>
    <row r="2596" spans="1:10" x14ac:dyDescent="0.2">
      <c r="A2596" s="3"/>
      <c r="B2596" s="3"/>
      <c r="C2596" s="3"/>
      <c r="D2596" s="3"/>
      <c r="E2596" s="3"/>
      <c r="F2596" s="2"/>
      <c r="G2596" s="2"/>
      <c r="I2596" s="1"/>
      <c r="J2596" s="1"/>
    </row>
    <row r="2597" spans="1:10" x14ac:dyDescent="0.2">
      <c r="A2597" s="3"/>
      <c r="B2597" s="3"/>
      <c r="C2597" s="3"/>
      <c r="D2597" s="3"/>
      <c r="E2597" s="3"/>
      <c r="F2597" s="2"/>
      <c r="G2597" s="2"/>
      <c r="I2597" s="1"/>
      <c r="J2597" s="1"/>
    </row>
    <row r="2598" spans="1:10" x14ac:dyDescent="0.2">
      <c r="A2598" s="3"/>
      <c r="B2598" s="3"/>
      <c r="C2598" s="3"/>
      <c r="D2598" s="3"/>
      <c r="E2598" s="3"/>
      <c r="F2598" s="2"/>
      <c r="G2598" s="2"/>
      <c r="I2598" s="1"/>
      <c r="J2598" s="1"/>
    </row>
    <row r="2599" spans="1:10" x14ac:dyDescent="0.2">
      <c r="A2599" s="3"/>
      <c r="B2599" s="3"/>
      <c r="C2599" s="3"/>
      <c r="D2599" s="3"/>
      <c r="E2599" s="3"/>
      <c r="F2599" s="2"/>
      <c r="G2599" s="2"/>
      <c r="I2599" s="1"/>
      <c r="J2599" s="1"/>
    </row>
    <row r="2600" spans="1:10" x14ac:dyDescent="0.2">
      <c r="A2600" s="3"/>
      <c r="B2600" s="3"/>
      <c r="C2600" s="3"/>
      <c r="D2600" s="3"/>
      <c r="E2600" s="3"/>
      <c r="F2600" s="2"/>
      <c r="G2600" s="2"/>
      <c r="I2600" s="1"/>
      <c r="J2600" s="1"/>
    </row>
    <row r="2601" spans="1:10" x14ac:dyDescent="0.2">
      <c r="A2601" s="3"/>
      <c r="B2601" s="3"/>
      <c r="C2601" s="3"/>
      <c r="D2601" s="3"/>
      <c r="E2601" s="3"/>
      <c r="F2601" s="2"/>
      <c r="G2601" s="2"/>
      <c r="I2601" s="1"/>
      <c r="J2601" s="1"/>
    </row>
    <row r="2602" spans="1:10" x14ac:dyDescent="0.2">
      <c r="A2602" s="3"/>
      <c r="B2602" s="3"/>
      <c r="C2602" s="3"/>
      <c r="D2602" s="3"/>
      <c r="E2602" s="3"/>
      <c r="F2602" s="2"/>
      <c r="G2602" s="2"/>
      <c r="I2602" s="1"/>
      <c r="J2602" s="1"/>
    </row>
    <row r="2603" spans="1:10" x14ac:dyDescent="0.2">
      <c r="A2603" s="3"/>
      <c r="B2603" s="3"/>
      <c r="C2603" s="3"/>
      <c r="D2603" s="3"/>
      <c r="E2603" s="3"/>
      <c r="F2603" s="2"/>
      <c r="G2603" s="2"/>
      <c r="I2603" s="1"/>
      <c r="J2603" s="1"/>
    </row>
    <row r="2604" spans="1:10" x14ac:dyDescent="0.2">
      <c r="A2604" s="3"/>
      <c r="B2604" s="3"/>
      <c r="C2604" s="3"/>
      <c r="D2604" s="3"/>
      <c r="E2604" s="3"/>
      <c r="F2604" s="2"/>
      <c r="G2604" s="2"/>
      <c r="I2604" s="1"/>
      <c r="J2604" s="1"/>
    </row>
    <row r="2605" spans="1:10" x14ac:dyDescent="0.2">
      <c r="A2605" s="3"/>
      <c r="B2605" s="3"/>
      <c r="C2605" s="3"/>
      <c r="D2605" s="3"/>
      <c r="E2605" s="3"/>
      <c r="F2605" s="2"/>
      <c r="G2605" s="2"/>
      <c r="I2605" s="1"/>
      <c r="J2605" s="1"/>
    </row>
    <row r="2606" spans="1:10" x14ac:dyDescent="0.2">
      <c r="A2606" s="3"/>
      <c r="B2606" s="3"/>
      <c r="C2606" s="3"/>
      <c r="D2606" s="3"/>
      <c r="E2606" s="3"/>
      <c r="F2606" s="2"/>
      <c r="G2606" s="2"/>
      <c r="I2606" s="1"/>
      <c r="J2606" s="1"/>
    </row>
    <row r="2607" spans="1:10" x14ac:dyDescent="0.2">
      <c r="A2607" s="3"/>
      <c r="B2607" s="3"/>
      <c r="C2607" s="3"/>
      <c r="D2607" s="3"/>
      <c r="E2607" s="3"/>
      <c r="F2607" s="2"/>
      <c r="G2607" s="2"/>
      <c r="I2607" s="1"/>
      <c r="J2607" s="1"/>
    </row>
    <row r="2608" spans="1:10" x14ac:dyDescent="0.2">
      <c r="A2608" s="3"/>
      <c r="B2608" s="3"/>
      <c r="C2608" s="3"/>
      <c r="D2608" s="3"/>
      <c r="E2608" s="3"/>
      <c r="F2608" s="2"/>
      <c r="G2608" s="2"/>
      <c r="I2608" s="1"/>
      <c r="J2608" s="1"/>
    </row>
    <row r="2609" spans="1:10" x14ac:dyDescent="0.2">
      <c r="A2609" s="3"/>
      <c r="B2609" s="3"/>
      <c r="C2609" s="3"/>
      <c r="D2609" s="3"/>
      <c r="E2609" s="3"/>
      <c r="F2609" s="2"/>
      <c r="G2609" s="2"/>
      <c r="I2609" s="1"/>
      <c r="J2609" s="1"/>
    </row>
    <row r="2610" spans="1:10" x14ac:dyDescent="0.2">
      <c r="A2610" s="3"/>
      <c r="B2610" s="3"/>
      <c r="C2610" s="3"/>
      <c r="D2610" s="3"/>
      <c r="E2610" s="3"/>
      <c r="F2610" s="2"/>
      <c r="G2610" s="2"/>
      <c r="I2610" s="1"/>
      <c r="J2610" s="1"/>
    </row>
    <row r="2611" spans="1:10" x14ac:dyDescent="0.2">
      <c r="A2611" s="3"/>
      <c r="B2611" s="3"/>
      <c r="C2611" s="3"/>
      <c r="D2611" s="3"/>
      <c r="E2611" s="3"/>
      <c r="F2611" s="2"/>
      <c r="G2611" s="2"/>
      <c r="I2611" s="1"/>
      <c r="J2611" s="1"/>
    </row>
    <row r="2612" spans="1:10" x14ac:dyDescent="0.2">
      <c r="A2612" s="3"/>
      <c r="B2612" s="3"/>
      <c r="C2612" s="3"/>
      <c r="D2612" s="3"/>
      <c r="E2612" s="3"/>
      <c r="F2612" s="2"/>
      <c r="G2612" s="2"/>
      <c r="I2612" s="1"/>
      <c r="J2612" s="1"/>
    </row>
    <row r="2613" spans="1:10" x14ac:dyDescent="0.2">
      <c r="A2613" s="3"/>
      <c r="B2613" s="3"/>
      <c r="C2613" s="3"/>
      <c r="D2613" s="3"/>
      <c r="E2613" s="3"/>
      <c r="F2613" s="2"/>
      <c r="G2613" s="2"/>
      <c r="I2613" s="1"/>
      <c r="J2613" s="1"/>
    </row>
    <row r="2614" spans="1:10" x14ac:dyDescent="0.2">
      <c r="A2614" s="3"/>
      <c r="B2614" s="3"/>
      <c r="C2614" s="3"/>
      <c r="D2614" s="3"/>
      <c r="E2614" s="3"/>
      <c r="F2614" s="2"/>
      <c r="G2614" s="2"/>
      <c r="I2614" s="1"/>
      <c r="J2614" s="1"/>
    </row>
    <row r="2615" spans="1:10" x14ac:dyDescent="0.2">
      <c r="A2615" s="3"/>
      <c r="B2615" s="3"/>
      <c r="C2615" s="3"/>
      <c r="D2615" s="3"/>
      <c r="E2615" s="3"/>
      <c r="F2615" s="2"/>
      <c r="G2615" s="2"/>
      <c r="I2615" s="1"/>
      <c r="J2615" s="1"/>
    </row>
    <row r="2616" spans="1:10" x14ac:dyDescent="0.2">
      <c r="A2616" s="3"/>
      <c r="B2616" s="3"/>
      <c r="C2616" s="3"/>
      <c r="D2616" s="3"/>
      <c r="E2616" s="3"/>
      <c r="F2616" s="2"/>
      <c r="G2616" s="2"/>
      <c r="I2616" s="1"/>
      <c r="J2616" s="1"/>
    </row>
    <row r="2617" spans="1:10" x14ac:dyDescent="0.2">
      <c r="A2617" s="3"/>
      <c r="B2617" s="3"/>
      <c r="C2617" s="3"/>
      <c r="D2617" s="3"/>
      <c r="E2617" s="3"/>
      <c r="F2617" s="2"/>
      <c r="G2617" s="2"/>
      <c r="I2617" s="1"/>
      <c r="J2617" s="1"/>
    </row>
    <row r="2618" spans="1:10" x14ac:dyDescent="0.2">
      <c r="A2618" s="3"/>
      <c r="B2618" s="3"/>
      <c r="C2618" s="3"/>
      <c r="D2618" s="3"/>
      <c r="E2618" s="3"/>
      <c r="F2618" s="2"/>
      <c r="G2618" s="2"/>
      <c r="I2618" s="1"/>
      <c r="J2618" s="1"/>
    </row>
    <row r="2619" spans="1:10" x14ac:dyDescent="0.2">
      <c r="A2619" s="3"/>
      <c r="B2619" s="3"/>
      <c r="C2619" s="3"/>
      <c r="D2619" s="3"/>
      <c r="E2619" s="3"/>
      <c r="F2619" s="2"/>
      <c r="G2619" s="2"/>
      <c r="I2619" s="1"/>
      <c r="J2619" s="1"/>
    </row>
    <row r="2620" spans="1:10" x14ac:dyDescent="0.2">
      <c r="A2620" s="3"/>
      <c r="B2620" s="3"/>
      <c r="C2620" s="3"/>
      <c r="D2620" s="3"/>
      <c r="E2620" s="3"/>
      <c r="F2620" s="2"/>
      <c r="G2620" s="2"/>
      <c r="I2620" s="1"/>
      <c r="J2620" s="1"/>
    </row>
    <row r="2621" spans="1:10" x14ac:dyDescent="0.2">
      <c r="A2621" s="3"/>
      <c r="B2621" s="3"/>
      <c r="C2621" s="3"/>
      <c r="D2621" s="3"/>
      <c r="E2621" s="3"/>
      <c r="F2621" s="2"/>
      <c r="G2621" s="2"/>
      <c r="I2621" s="1"/>
      <c r="J2621" s="1"/>
    </row>
    <row r="2622" spans="1:10" x14ac:dyDescent="0.2">
      <c r="A2622" s="3"/>
      <c r="B2622" s="3"/>
      <c r="C2622" s="3"/>
      <c r="D2622" s="3"/>
      <c r="E2622" s="3"/>
      <c r="F2622" s="2"/>
      <c r="G2622" s="2"/>
      <c r="I2622" s="1"/>
      <c r="J2622" s="1"/>
    </row>
    <row r="2623" spans="1:10" x14ac:dyDescent="0.2">
      <c r="A2623" s="3"/>
      <c r="B2623" s="3"/>
      <c r="C2623" s="3"/>
      <c r="D2623" s="3"/>
      <c r="E2623" s="3"/>
      <c r="F2623" s="2"/>
      <c r="G2623" s="2"/>
      <c r="I2623" s="1"/>
      <c r="J2623" s="1"/>
    </row>
    <row r="2624" spans="1:10" x14ac:dyDescent="0.2">
      <c r="A2624" s="3"/>
      <c r="B2624" s="3"/>
      <c r="C2624" s="3"/>
      <c r="D2624" s="3"/>
      <c r="E2624" s="3"/>
      <c r="F2624" s="2"/>
      <c r="G2624" s="2"/>
      <c r="I2624" s="1"/>
      <c r="J2624" s="1"/>
    </row>
    <row r="2625" spans="1:10" x14ac:dyDescent="0.2">
      <c r="A2625" s="3"/>
      <c r="B2625" s="3"/>
      <c r="C2625" s="3"/>
      <c r="D2625" s="3"/>
      <c r="E2625" s="3"/>
      <c r="F2625" s="2"/>
      <c r="G2625" s="2"/>
      <c r="I2625" s="1"/>
      <c r="J2625" s="1"/>
    </row>
    <row r="2626" spans="1:10" x14ac:dyDescent="0.2">
      <c r="A2626" s="3"/>
      <c r="B2626" s="3"/>
      <c r="C2626" s="3"/>
      <c r="D2626" s="3"/>
      <c r="E2626" s="3"/>
      <c r="F2626" s="2"/>
      <c r="G2626" s="2"/>
      <c r="I2626" s="1"/>
      <c r="J2626" s="1"/>
    </row>
    <row r="2627" spans="1:10" x14ac:dyDescent="0.2">
      <c r="A2627" s="3"/>
      <c r="B2627" s="3"/>
      <c r="C2627" s="3"/>
      <c r="D2627" s="3"/>
      <c r="E2627" s="3"/>
      <c r="F2627" s="2"/>
      <c r="G2627" s="2"/>
      <c r="I2627" s="1"/>
      <c r="J2627" s="1"/>
    </row>
    <row r="2628" spans="1:10" x14ac:dyDescent="0.2">
      <c r="A2628" s="3"/>
      <c r="B2628" s="3"/>
      <c r="C2628" s="3"/>
      <c r="D2628" s="3"/>
      <c r="E2628" s="3"/>
      <c r="F2628" s="2"/>
      <c r="G2628" s="2"/>
      <c r="I2628" s="1"/>
      <c r="J2628" s="1"/>
    </row>
    <row r="2629" spans="1:10" x14ac:dyDescent="0.2">
      <c r="A2629" s="3"/>
      <c r="B2629" s="3"/>
      <c r="C2629" s="3"/>
      <c r="D2629" s="3"/>
      <c r="E2629" s="3"/>
      <c r="F2629" s="2"/>
      <c r="G2629" s="2"/>
      <c r="I2629" s="1"/>
      <c r="J2629" s="1"/>
    </row>
    <row r="2630" spans="1:10" x14ac:dyDescent="0.2">
      <c r="A2630" s="3"/>
      <c r="B2630" s="3"/>
      <c r="C2630" s="3"/>
      <c r="D2630" s="3"/>
      <c r="E2630" s="3"/>
      <c r="F2630" s="2"/>
      <c r="G2630" s="2"/>
      <c r="I2630" s="1"/>
      <c r="J2630" s="1"/>
    </row>
    <row r="2631" spans="1:10" x14ac:dyDescent="0.2">
      <c r="A2631" s="3"/>
      <c r="B2631" s="3"/>
      <c r="C2631" s="3"/>
      <c r="D2631" s="3"/>
      <c r="E2631" s="3"/>
      <c r="F2631" s="2"/>
      <c r="G2631" s="2"/>
      <c r="I2631" s="1"/>
      <c r="J2631" s="1"/>
    </row>
    <row r="2632" spans="1:10" x14ac:dyDescent="0.2">
      <c r="A2632" s="3"/>
      <c r="B2632" s="3"/>
      <c r="C2632" s="3"/>
      <c r="D2632" s="3"/>
      <c r="E2632" s="3"/>
      <c r="F2632" s="2"/>
      <c r="G2632" s="2"/>
      <c r="I2632" s="1"/>
      <c r="J2632" s="1"/>
    </row>
    <row r="2633" spans="1:10" x14ac:dyDescent="0.2">
      <c r="A2633" s="3"/>
      <c r="B2633" s="3"/>
      <c r="C2633" s="3"/>
      <c r="D2633" s="3"/>
      <c r="E2633" s="3"/>
      <c r="F2633" s="2"/>
      <c r="G2633" s="2"/>
      <c r="I2633" s="1"/>
      <c r="J2633" s="1"/>
    </row>
    <row r="2634" spans="1:10" x14ac:dyDescent="0.2">
      <c r="A2634" s="3"/>
      <c r="B2634" s="3"/>
      <c r="C2634" s="3"/>
      <c r="D2634" s="3"/>
      <c r="E2634" s="3"/>
      <c r="F2634" s="2"/>
      <c r="G2634" s="2"/>
      <c r="I2634" s="1"/>
      <c r="J2634" s="1"/>
    </row>
    <row r="2635" spans="1:10" x14ac:dyDescent="0.2">
      <c r="A2635" s="3"/>
      <c r="B2635" s="3"/>
      <c r="C2635" s="3"/>
      <c r="D2635" s="3"/>
      <c r="E2635" s="3"/>
      <c r="F2635" s="2"/>
      <c r="G2635" s="2"/>
      <c r="I2635" s="1"/>
      <c r="J2635" s="1"/>
    </row>
    <row r="2636" spans="1:10" x14ac:dyDescent="0.2">
      <c r="A2636" s="3"/>
      <c r="B2636" s="3"/>
      <c r="C2636" s="3"/>
      <c r="D2636" s="3"/>
      <c r="E2636" s="3"/>
      <c r="F2636" s="2"/>
      <c r="G2636" s="2"/>
      <c r="I2636" s="1"/>
      <c r="J2636" s="1"/>
    </row>
    <row r="2637" spans="1:10" x14ac:dyDescent="0.2">
      <c r="A2637" s="3"/>
      <c r="B2637" s="3"/>
      <c r="C2637" s="3"/>
      <c r="D2637" s="3"/>
      <c r="E2637" s="3"/>
      <c r="F2637" s="2"/>
      <c r="G2637" s="2"/>
      <c r="I2637" s="1"/>
      <c r="J2637" s="1"/>
    </row>
    <row r="2638" spans="1:10" x14ac:dyDescent="0.2">
      <c r="A2638" s="3"/>
      <c r="B2638" s="3"/>
      <c r="C2638" s="3"/>
      <c r="D2638" s="3"/>
      <c r="E2638" s="3"/>
      <c r="F2638" s="2"/>
      <c r="G2638" s="2"/>
      <c r="I2638" s="1"/>
      <c r="J2638" s="1"/>
    </row>
    <row r="2639" spans="1:10" x14ac:dyDescent="0.2">
      <c r="A2639" s="3"/>
      <c r="B2639" s="3"/>
      <c r="C2639" s="3"/>
      <c r="D2639" s="3"/>
      <c r="E2639" s="3"/>
      <c r="F2639" s="2"/>
      <c r="G2639" s="2"/>
      <c r="I2639" s="1"/>
      <c r="J2639" s="1"/>
    </row>
    <row r="2640" spans="1:10" x14ac:dyDescent="0.2">
      <c r="A2640" s="3"/>
      <c r="B2640" s="3"/>
      <c r="C2640" s="3"/>
      <c r="D2640" s="3"/>
      <c r="E2640" s="3"/>
      <c r="F2640" s="2"/>
      <c r="G2640" s="2"/>
      <c r="I2640" s="1"/>
      <c r="J2640" s="1"/>
    </row>
    <row r="2641" spans="1:10" x14ac:dyDescent="0.2">
      <c r="A2641" s="3"/>
      <c r="B2641" s="3"/>
      <c r="C2641" s="3"/>
      <c r="D2641" s="3"/>
      <c r="E2641" s="3"/>
      <c r="F2641" s="2"/>
      <c r="G2641" s="2"/>
      <c r="I2641" s="1"/>
      <c r="J2641" s="1"/>
    </row>
    <row r="2642" spans="1:10" x14ac:dyDescent="0.2">
      <c r="A2642" s="3"/>
      <c r="B2642" s="3"/>
      <c r="C2642" s="3"/>
      <c r="D2642" s="3"/>
      <c r="E2642" s="3"/>
      <c r="F2642" s="2"/>
      <c r="G2642" s="2"/>
      <c r="I2642" s="1"/>
      <c r="J2642" s="1"/>
    </row>
    <row r="2643" spans="1:10" x14ac:dyDescent="0.2">
      <c r="A2643" s="3"/>
      <c r="B2643" s="3"/>
      <c r="C2643" s="3"/>
      <c r="D2643" s="3"/>
      <c r="E2643" s="3"/>
      <c r="F2643" s="2"/>
      <c r="G2643" s="2"/>
      <c r="I2643" s="1"/>
      <c r="J2643" s="1"/>
    </row>
    <row r="2644" spans="1:10" x14ac:dyDescent="0.2">
      <c r="A2644" s="3"/>
      <c r="B2644" s="3"/>
      <c r="C2644" s="3"/>
      <c r="D2644" s="3"/>
      <c r="E2644" s="3"/>
      <c r="F2644" s="2"/>
      <c r="G2644" s="2"/>
      <c r="I2644" s="1"/>
      <c r="J2644" s="1"/>
    </row>
    <row r="2645" spans="1:10" x14ac:dyDescent="0.2">
      <c r="A2645" s="3"/>
      <c r="B2645" s="3"/>
      <c r="C2645" s="3"/>
      <c r="D2645" s="3"/>
      <c r="E2645" s="3"/>
      <c r="F2645" s="2"/>
      <c r="G2645" s="2"/>
      <c r="I2645" s="1"/>
      <c r="J2645" s="1"/>
    </row>
    <row r="2646" spans="1:10" x14ac:dyDescent="0.2">
      <c r="A2646" s="3"/>
      <c r="B2646" s="3"/>
      <c r="C2646" s="3"/>
      <c r="D2646" s="3"/>
      <c r="E2646" s="3"/>
      <c r="F2646" s="2"/>
      <c r="G2646" s="2"/>
      <c r="I2646" s="1"/>
      <c r="J2646" s="1"/>
    </row>
    <row r="2647" spans="1:10" x14ac:dyDescent="0.2">
      <c r="A2647" s="3"/>
      <c r="B2647" s="3"/>
      <c r="C2647" s="3"/>
      <c r="D2647" s="3"/>
      <c r="E2647" s="3"/>
      <c r="F2647" s="2"/>
      <c r="G2647" s="2"/>
      <c r="I2647" s="1"/>
      <c r="J2647" s="1"/>
    </row>
    <row r="2648" spans="1:10" x14ac:dyDescent="0.2">
      <c r="A2648" s="3"/>
      <c r="B2648" s="3"/>
      <c r="C2648" s="3"/>
      <c r="D2648" s="3"/>
      <c r="E2648" s="3"/>
      <c r="F2648" s="2"/>
      <c r="G2648" s="2"/>
      <c r="I2648" s="1"/>
      <c r="J2648" s="1"/>
    </row>
    <row r="2649" spans="1:10" x14ac:dyDescent="0.2">
      <c r="A2649" s="3"/>
      <c r="B2649" s="3"/>
      <c r="C2649" s="3"/>
      <c r="D2649" s="3"/>
      <c r="E2649" s="3"/>
      <c r="F2649" s="2"/>
      <c r="G2649" s="2"/>
      <c r="I2649" s="1"/>
      <c r="J2649" s="1"/>
    </row>
    <row r="2650" spans="1:10" x14ac:dyDescent="0.2">
      <c r="A2650" s="3"/>
      <c r="B2650" s="3"/>
      <c r="C2650" s="3"/>
      <c r="D2650" s="3"/>
      <c r="E2650" s="3"/>
      <c r="F2650" s="2"/>
      <c r="G2650" s="2"/>
      <c r="I2650" s="1"/>
      <c r="J2650" s="1"/>
    </row>
    <row r="2651" spans="1:10" x14ac:dyDescent="0.2">
      <c r="A2651" s="3"/>
      <c r="B2651" s="3"/>
      <c r="C2651" s="3"/>
      <c r="D2651" s="3"/>
      <c r="E2651" s="3"/>
      <c r="F2651" s="2"/>
      <c r="G2651" s="2"/>
      <c r="I2651" s="1"/>
      <c r="J2651" s="1"/>
    </row>
    <row r="2652" spans="1:10" x14ac:dyDescent="0.2">
      <c r="A2652" s="3"/>
      <c r="B2652" s="3"/>
      <c r="C2652" s="3"/>
      <c r="D2652" s="3"/>
      <c r="E2652" s="3"/>
      <c r="F2652" s="2"/>
      <c r="G2652" s="2"/>
      <c r="I2652" s="1"/>
      <c r="J2652" s="1"/>
    </row>
    <row r="2653" spans="1:10" x14ac:dyDescent="0.2">
      <c r="A2653" s="3"/>
      <c r="B2653" s="3"/>
      <c r="C2653" s="3"/>
      <c r="D2653" s="3"/>
      <c r="E2653" s="3"/>
      <c r="F2653" s="2"/>
      <c r="G2653" s="2"/>
      <c r="I2653" s="1"/>
      <c r="J2653" s="1"/>
    </row>
    <row r="2654" spans="1:10" x14ac:dyDescent="0.2">
      <c r="A2654" s="3"/>
      <c r="B2654" s="3"/>
      <c r="C2654" s="3"/>
      <c r="D2654" s="3"/>
      <c r="E2654" s="3"/>
      <c r="F2654" s="2"/>
      <c r="G2654" s="2"/>
      <c r="I2654" s="1"/>
      <c r="J2654" s="1"/>
    </row>
    <row r="2655" spans="1:10" x14ac:dyDescent="0.2">
      <c r="A2655" s="3"/>
      <c r="B2655" s="3"/>
      <c r="C2655" s="3"/>
      <c r="D2655" s="3"/>
      <c r="E2655" s="3"/>
      <c r="F2655" s="2"/>
      <c r="G2655" s="2"/>
      <c r="I2655" s="1"/>
      <c r="J2655" s="1"/>
    </row>
    <row r="2656" spans="1:10" x14ac:dyDescent="0.2">
      <c r="A2656" s="3"/>
      <c r="B2656" s="3"/>
      <c r="C2656" s="3"/>
      <c r="D2656" s="3"/>
      <c r="E2656" s="3"/>
      <c r="F2656" s="2"/>
      <c r="G2656" s="2"/>
      <c r="I2656" s="1"/>
      <c r="J2656" s="1"/>
    </row>
    <row r="2657" spans="1:10" x14ac:dyDescent="0.2">
      <c r="A2657" s="3"/>
      <c r="B2657" s="3"/>
      <c r="C2657" s="3"/>
      <c r="D2657" s="3"/>
      <c r="E2657" s="3"/>
      <c r="F2657" s="2"/>
      <c r="G2657" s="2"/>
      <c r="I2657" s="1"/>
      <c r="J2657" s="1"/>
    </row>
    <row r="2658" spans="1:10" x14ac:dyDescent="0.2">
      <c r="A2658" s="3"/>
      <c r="B2658" s="3"/>
      <c r="C2658" s="3"/>
      <c r="D2658" s="3"/>
      <c r="E2658" s="3"/>
      <c r="F2658" s="2"/>
      <c r="G2658" s="2"/>
      <c r="I2658" s="1"/>
      <c r="J2658" s="1"/>
    </row>
    <row r="2659" spans="1:10" x14ac:dyDescent="0.2">
      <c r="A2659" s="3"/>
      <c r="B2659" s="3"/>
      <c r="C2659" s="3"/>
      <c r="D2659" s="3"/>
      <c r="E2659" s="3"/>
      <c r="F2659" s="2"/>
      <c r="G2659" s="2"/>
      <c r="I2659" s="1"/>
      <c r="J2659" s="1"/>
    </row>
    <row r="2660" spans="1:10" x14ac:dyDescent="0.2">
      <c r="A2660" s="3"/>
      <c r="B2660" s="3"/>
      <c r="C2660" s="3"/>
      <c r="D2660" s="3"/>
      <c r="E2660" s="3"/>
      <c r="F2660" s="2"/>
      <c r="G2660" s="2"/>
      <c r="I2660" s="1"/>
      <c r="J2660" s="1"/>
    </row>
    <row r="2661" spans="1:10" x14ac:dyDescent="0.2">
      <c r="A2661" s="3"/>
      <c r="B2661" s="3"/>
      <c r="C2661" s="3"/>
      <c r="D2661" s="3"/>
      <c r="E2661" s="3"/>
      <c r="F2661" s="2"/>
      <c r="G2661" s="2"/>
      <c r="I2661" s="1"/>
      <c r="J2661" s="1"/>
    </row>
    <row r="2662" spans="1:10" x14ac:dyDescent="0.2">
      <c r="A2662" s="3"/>
      <c r="B2662" s="3"/>
      <c r="C2662" s="3"/>
      <c r="D2662" s="3"/>
      <c r="E2662" s="3"/>
      <c r="F2662" s="2"/>
      <c r="G2662" s="2"/>
      <c r="I2662" s="1"/>
      <c r="J2662" s="1"/>
    </row>
    <row r="2663" spans="1:10" x14ac:dyDescent="0.2">
      <c r="A2663" s="3"/>
      <c r="B2663" s="3"/>
      <c r="C2663" s="3"/>
      <c r="D2663" s="3"/>
      <c r="E2663" s="3"/>
      <c r="F2663" s="2"/>
      <c r="G2663" s="2"/>
      <c r="I2663" s="1"/>
      <c r="J2663" s="1"/>
    </row>
    <row r="2664" spans="1:10" x14ac:dyDescent="0.2">
      <c r="A2664" s="3"/>
      <c r="B2664" s="3"/>
      <c r="C2664" s="3"/>
      <c r="D2664" s="3"/>
      <c r="E2664" s="3"/>
      <c r="F2664" s="2"/>
      <c r="G2664" s="2"/>
      <c r="I2664" s="1"/>
      <c r="J2664" s="1"/>
    </row>
    <row r="2665" spans="1:10" x14ac:dyDescent="0.2">
      <c r="A2665" s="3"/>
      <c r="B2665" s="3"/>
      <c r="C2665" s="3"/>
      <c r="D2665" s="3"/>
      <c r="E2665" s="3"/>
      <c r="F2665" s="2"/>
      <c r="G2665" s="2"/>
      <c r="I2665" s="1"/>
      <c r="J2665" s="1"/>
    </row>
    <row r="2666" spans="1:10" x14ac:dyDescent="0.2">
      <c r="A2666" s="3"/>
      <c r="B2666" s="3"/>
      <c r="C2666" s="3"/>
      <c r="D2666" s="3"/>
      <c r="E2666" s="3"/>
      <c r="F2666" s="2"/>
      <c r="G2666" s="2"/>
      <c r="I2666" s="1"/>
      <c r="J2666" s="1"/>
    </row>
    <row r="2667" spans="1:10" x14ac:dyDescent="0.2">
      <c r="A2667" s="3"/>
      <c r="B2667" s="3"/>
      <c r="C2667" s="3"/>
      <c r="D2667" s="3"/>
      <c r="E2667" s="3"/>
      <c r="F2667" s="2"/>
      <c r="G2667" s="2"/>
      <c r="I2667" s="1"/>
      <c r="J2667" s="1"/>
    </row>
    <row r="2668" spans="1:10" x14ac:dyDescent="0.2">
      <c r="A2668" s="3"/>
      <c r="B2668" s="3"/>
      <c r="C2668" s="3"/>
      <c r="D2668" s="3"/>
      <c r="E2668" s="3"/>
      <c r="F2668" s="2"/>
      <c r="G2668" s="2"/>
      <c r="I2668" s="1"/>
      <c r="J2668" s="1"/>
    </row>
    <row r="2669" spans="1:10" x14ac:dyDescent="0.2">
      <c r="A2669" s="3"/>
      <c r="B2669" s="3"/>
      <c r="C2669" s="3"/>
      <c r="D2669" s="3"/>
      <c r="E2669" s="3"/>
      <c r="F2669" s="2"/>
      <c r="G2669" s="2"/>
      <c r="I2669" s="1"/>
      <c r="J2669" s="1"/>
    </row>
    <row r="2670" spans="1:10" x14ac:dyDescent="0.2">
      <c r="A2670" s="3"/>
      <c r="B2670" s="3"/>
      <c r="C2670" s="3"/>
      <c r="D2670" s="3"/>
      <c r="E2670" s="3"/>
      <c r="F2670" s="2"/>
      <c r="G2670" s="2"/>
      <c r="I2670" s="1"/>
      <c r="J2670" s="1"/>
    </row>
    <row r="2671" spans="1:10" x14ac:dyDescent="0.2">
      <c r="A2671" s="3"/>
      <c r="B2671" s="3"/>
      <c r="C2671" s="3"/>
      <c r="D2671" s="3"/>
      <c r="E2671" s="3"/>
      <c r="F2671" s="2"/>
      <c r="G2671" s="2"/>
      <c r="I2671" s="1"/>
      <c r="J2671" s="1"/>
    </row>
    <row r="2672" spans="1:10" x14ac:dyDescent="0.2">
      <c r="A2672" s="3"/>
      <c r="B2672" s="3"/>
      <c r="C2672" s="3"/>
      <c r="D2672" s="3"/>
      <c r="E2672" s="3"/>
      <c r="F2672" s="2"/>
      <c r="G2672" s="2"/>
      <c r="I2672" s="1"/>
      <c r="J2672" s="1"/>
    </row>
    <row r="2673" spans="1:10" x14ac:dyDescent="0.2">
      <c r="A2673" s="3"/>
      <c r="B2673" s="3"/>
      <c r="C2673" s="3"/>
      <c r="D2673" s="3"/>
      <c r="E2673" s="3"/>
      <c r="F2673" s="2"/>
      <c r="G2673" s="2"/>
      <c r="I2673" s="1"/>
      <c r="J2673" s="1"/>
    </row>
    <row r="2674" spans="1:10" x14ac:dyDescent="0.2">
      <c r="A2674" s="3"/>
      <c r="B2674" s="3"/>
      <c r="C2674" s="3"/>
      <c r="D2674" s="3"/>
      <c r="E2674" s="3"/>
      <c r="F2674" s="2"/>
      <c r="G2674" s="2"/>
      <c r="I2674" s="1"/>
      <c r="J2674" s="1"/>
    </row>
    <row r="2675" spans="1:10" x14ac:dyDescent="0.2">
      <c r="A2675" s="3"/>
      <c r="B2675" s="3"/>
      <c r="C2675" s="3"/>
      <c r="D2675" s="3"/>
      <c r="E2675" s="3"/>
      <c r="F2675" s="2"/>
      <c r="G2675" s="2"/>
      <c r="I2675" s="1"/>
      <c r="J2675" s="1"/>
    </row>
    <row r="2676" spans="1:10" x14ac:dyDescent="0.2">
      <c r="A2676" s="3"/>
      <c r="B2676" s="3"/>
      <c r="C2676" s="3"/>
      <c r="D2676" s="3"/>
      <c r="E2676" s="3"/>
      <c r="F2676" s="2"/>
      <c r="G2676" s="2"/>
      <c r="I2676" s="1"/>
      <c r="J2676" s="1"/>
    </row>
    <row r="2677" spans="1:10" x14ac:dyDescent="0.2">
      <c r="A2677" s="3"/>
      <c r="B2677" s="3"/>
      <c r="C2677" s="3"/>
      <c r="D2677" s="3"/>
      <c r="E2677" s="3"/>
      <c r="F2677" s="2"/>
      <c r="G2677" s="2"/>
      <c r="I2677" s="1"/>
      <c r="J2677" s="1"/>
    </row>
    <row r="2678" spans="1:10" x14ac:dyDescent="0.2">
      <c r="A2678" s="3"/>
      <c r="B2678" s="3"/>
      <c r="C2678" s="3"/>
      <c r="D2678" s="3"/>
      <c r="E2678" s="3"/>
      <c r="F2678" s="2"/>
      <c r="G2678" s="2"/>
      <c r="I2678" s="1"/>
      <c r="J2678" s="1"/>
    </row>
    <row r="2679" spans="1:10" x14ac:dyDescent="0.2">
      <c r="A2679" s="3"/>
      <c r="B2679" s="3"/>
      <c r="C2679" s="3"/>
      <c r="D2679" s="3"/>
      <c r="E2679" s="3"/>
      <c r="F2679" s="2"/>
      <c r="G2679" s="2"/>
      <c r="I2679" s="1"/>
      <c r="J2679" s="1"/>
    </row>
    <row r="2680" spans="1:10" x14ac:dyDescent="0.2">
      <c r="A2680" s="3"/>
      <c r="B2680" s="3"/>
      <c r="C2680" s="3"/>
      <c r="D2680" s="3"/>
      <c r="E2680" s="3"/>
      <c r="F2680" s="2"/>
      <c r="G2680" s="2"/>
      <c r="I2680" s="1"/>
      <c r="J2680" s="1"/>
    </row>
    <row r="2681" spans="1:10" x14ac:dyDescent="0.2">
      <c r="A2681" s="3"/>
      <c r="B2681" s="3"/>
      <c r="C2681" s="3"/>
      <c r="D2681" s="3"/>
      <c r="E2681" s="3"/>
      <c r="F2681" s="2"/>
      <c r="G2681" s="2"/>
      <c r="I2681" s="1"/>
      <c r="J2681" s="1"/>
    </row>
    <row r="2682" spans="1:10" x14ac:dyDescent="0.2">
      <c r="A2682" s="3"/>
      <c r="B2682" s="3"/>
      <c r="C2682" s="3"/>
      <c r="D2682" s="3"/>
      <c r="E2682" s="3"/>
      <c r="F2682" s="2"/>
      <c r="G2682" s="2"/>
      <c r="I2682" s="1"/>
      <c r="J2682" s="1"/>
    </row>
    <row r="2683" spans="1:10" x14ac:dyDescent="0.2">
      <c r="A2683" s="3"/>
      <c r="B2683" s="3"/>
      <c r="C2683" s="3"/>
      <c r="D2683" s="3"/>
      <c r="E2683" s="3"/>
      <c r="F2683" s="2"/>
      <c r="G2683" s="2"/>
      <c r="I2683" s="1"/>
      <c r="J2683" s="1"/>
    </row>
    <row r="2684" spans="1:10" x14ac:dyDescent="0.2">
      <c r="A2684" s="3"/>
      <c r="B2684" s="3"/>
      <c r="C2684" s="3"/>
      <c r="D2684" s="3"/>
      <c r="E2684" s="3"/>
      <c r="F2684" s="2"/>
      <c r="G2684" s="2"/>
      <c r="I2684" s="1"/>
      <c r="J2684" s="1"/>
    </row>
    <row r="2685" spans="1:10" x14ac:dyDescent="0.2">
      <c r="A2685" s="3"/>
      <c r="B2685" s="3"/>
      <c r="C2685" s="3"/>
      <c r="D2685" s="3"/>
      <c r="E2685" s="3"/>
      <c r="F2685" s="2"/>
      <c r="G2685" s="2"/>
      <c r="I2685" s="1"/>
      <c r="J2685" s="1"/>
    </row>
    <row r="2686" spans="1:10" x14ac:dyDescent="0.2">
      <c r="A2686" s="3"/>
      <c r="B2686" s="3"/>
      <c r="C2686" s="3"/>
      <c r="D2686" s="3"/>
      <c r="E2686" s="3"/>
      <c r="F2686" s="2"/>
      <c r="G2686" s="2"/>
      <c r="I2686" s="1"/>
      <c r="J2686" s="1"/>
    </row>
    <row r="2687" spans="1:10" x14ac:dyDescent="0.2">
      <c r="A2687" s="3"/>
      <c r="B2687" s="3"/>
      <c r="C2687" s="3"/>
      <c r="D2687" s="3"/>
      <c r="E2687" s="3"/>
      <c r="F2687" s="2"/>
      <c r="G2687" s="2"/>
      <c r="I2687" s="1"/>
      <c r="J2687" s="1"/>
    </row>
    <row r="2688" spans="1:10" x14ac:dyDescent="0.2">
      <c r="A2688" s="3"/>
      <c r="B2688" s="3"/>
      <c r="C2688" s="3"/>
      <c r="D2688" s="3"/>
      <c r="E2688" s="3"/>
      <c r="F2688" s="2"/>
      <c r="G2688" s="2"/>
      <c r="I2688" s="1"/>
      <c r="J2688" s="1"/>
    </row>
    <row r="2689" spans="1:10" x14ac:dyDescent="0.2">
      <c r="A2689" s="3"/>
      <c r="B2689" s="3"/>
      <c r="C2689" s="3"/>
      <c r="D2689" s="3"/>
      <c r="E2689" s="3"/>
      <c r="F2689" s="2"/>
      <c r="G2689" s="2"/>
      <c r="I2689" s="1"/>
      <c r="J2689" s="1"/>
    </row>
    <row r="2690" spans="1:10" x14ac:dyDescent="0.2">
      <c r="A2690" s="3"/>
      <c r="B2690" s="3"/>
      <c r="C2690" s="3"/>
      <c r="D2690" s="3"/>
      <c r="E2690" s="3"/>
      <c r="F2690" s="2"/>
      <c r="G2690" s="2"/>
      <c r="I2690" s="1"/>
      <c r="J2690" s="1"/>
    </row>
    <row r="2691" spans="1:10" x14ac:dyDescent="0.2">
      <c r="A2691" s="3"/>
      <c r="B2691" s="3"/>
      <c r="C2691" s="3"/>
      <c r="D2691" s="3"/>
      <c r="E2691" s="3"/>
      <c r="F2691" s="2"/>
      <c r="G2691" s="2"/>
      <c r="I2691" s="1"/>
      <c r="J2691" s="1"/>
    </row>
    <row r="2692" spans="1:10" x14ac:dyDescent="0.2">
      <c r="A2692" s="3"/>
      <c r="B2692" s="3"/>
      <c r="C2692" s="3"/>
      <c r="D2692" s="3"/>
      <c r="E2692" s="3"/>
      <c r="F2692" s="2"/>
      <c r="G2692" s="2"/>
      <c r="I2692" s="1"/>
      <c r="J2692" s="1"/>
    </row>
    <row r="2693" spans="1:10" x14ac:dyDescent="0.2">
      <c r="A2693" s="3"/>
      <c r="B2693" s="3"/>
      <c r="C2693" s="3"/>
      <c r="D2693" s="3"/>
      <c r="E2693" s="3"/>
      <c r="F2693" s="2"/>
      <c r="G2693" s="2"/>
      <c r="I2693" s="1"/>
      <c r="J2693" s="1"/>
    </row>
    <row r="2694" spans="1:10" x14ac:dyDescent="0.2">
      <c r="A2694" s="3"/>
      <c r="B2694" s="3"/>
      <c r="C2694" s="3"/>
      <c r="D2694" s="3"/>
      <c r="E2694" s="3"/>
      <c r="F2694" s="2"/>
      <c r="G2694" s="2"/>
      <c r="I2694" s="1"/>
      <c r="J2694" s="1"/>
    </row>
    <row r="2695" spans="1:10" x14ac:dyDescent="0.2">
      <c r="A2695" s="3"/>
      <c r="B2695" s="3"/>
      <c r="C2695" s="3"/>
      <c r="D2695" s="3"/>
      <c r="E2695" s="3"/>
      <c r="F2695" s="2"/>
      <c r="G2695" s="2"/>
      <c r="I2695" s="1"/>
      <c r="J2695" s="1"/>
    </row>
    <row r="2696" spans="1:10" x14ac:dyDescent="0.2">
      <c r="A2696" s="3"/>
      <c r="B2696" s="3"/>
      <c r="C2696" s="3"/>
      <c r="D2696" s="3"/>
      <c r="E2696" s="3"/>
      <c r="F2696" s="2"/>
      <c r="G2696" s="2"/>
      <c r="I2696" s="1"/>
      <c r="J2696" s="1"/>
    </row>
    <row r="2697" spans="1:10" x14ac:dyDescent="0.2">
      <c r="A2697" s="3"/>
      <c r="B2697" s="3"/>
      <c r="C2697" s="3"/>
      <c r="D2697" s="3"/>
      <c r="E2697" s="3"/>
      <c r="F2697" s="2"/>
      <c r="G2697" s="2"/>
      <c r="I2697" s="1"/>
      <c r="J2697" s="1"/>
    </row>
    <row r="2698" spans="1:10" x14ac:dyDescent="0.2">
      <c r="A2698" s="3"/>
      <c r="B2698" s="3"/>
      <c r="C2698" s="3"/>
      <c r="D2698" s="3"/>
      <c r="E2698" s="3"/>
      <c r="F2698" s="2"/>
      <c r="G2698" s="2"/>
      <c r="I2698" s="1"/>
      <c r="J2698" s="1"/>
    </row>
    <row r="2699" spans="1:10" x14ac:dyDescent="0.2">
      <c r="A2699" s="3"/>
      <c r="B2699" s="3"/>
      <c r="C2699" s="3"/>
      <c r="D2699" s="3"/>
      <c r="E2699" s="3"/>
      <c r="F2699" s="2"/>
      <c r="G2699" s="2"/>
      <c r="I2699" s="1"/>
      <c r="J2699" s="1"/>
    </row>
    <row r="2700" spans="1:10" x14ac:dyDescent="0.2">
      <c r="A2700" s="3"/>
      <c r="B2700" s="3"/>
      <c r="C2700" s="3"/>
      <c r="D2700" s="3"/>
      <c r="E2700" s="3"/>
      <c r="F2700" s="2"/>
      <c r="G2700" s="2"/>
      <c r="I2700" s="1"/>
      <c r="J2700" s="1"/>
    </row>
    <row r="2701" spans="1:10" x14ac:dyDescent="0.2">
      <c r="A2701" s="3"/>
      <c r="B2701" s="3"/>
      <c r="C2701" s="3"/>
      <c r="D2701" s="3"/>
      <c r="E2701" s="3"/>
      <c r="F2701" s="2"/>
      <c r="G2701" s="2"/>
      <c r="I2701" s="1"/>
      <c r="J2701" s="1"/>
    </row>
    <row r="2702" spans="1:10" x14ac:dyDescent="0.2">
      <c r="A2702" s="3"/>
      <c r="B2702" s="3"/>
      <c r="C2702" s="3"/>
      <c r="D2702" s="3"/>
      <c r="E2702" s="3"/>
      <c r="F2702" s="2"/>
      <c r="G2702" s="2"/>
      <c r="I2702" s="1"/>
      <c r="J2702" s="1"/>
    </row>
    <row r="2703" spans="1:10" x14ac:dyDescent="0.2">
      <c r="A2703" s="3"/>
      <c r="B2703" s="3"/>
      <c r="C2703" s="3"/>
      <c r="D2703" s="3"/>
      <c r="E2703" s="3"/>
      <c r="F2703" s="2"/>
      <c r="G2703" s="2"/>
      <c r="I2703" s="1"/>
      <c r="J2703" s="1"/>
    </row>
    <row r="2704" spans="1:10" x14ac:dyDescent="0.2">
      <c r="A2704" s="3"/>
      <c r="B2704" s="3"/>
      <c r="C2704" s="3"/>
      <c r="D2704" s="3"/>
      <c r="E2704" s="3"/>
      <c r="F2704" s="2"/>
      <c r="G2704" s="2"/>
      <c r="I2704" s="1"/>
      <c r="J2704" s="1"/>
    </row>
    <row r="2705" spans="1:10" x14ac:dyDescent="0.2">
      <c r="A2705" s="3"/>
      <c r="B2705" s="3"/>
      <c r="C2705" s="3"/>
      <c r="D2705" s="3"/>
      <c r="E2705" s="3"/>
      <c r="F2705" s="2"/>
      <c r="G2705" s="2"/>
      <c r="I2705" s="1"/>
      <c r="J2705" s="1"/>
    </row>
    <row r="2706" spans="1:10" x14ac:dyDescent="0.2">
      <c r="A2706" s="3"/>
      <c r="B2706" s="3"/>
      <c r="C2706" s="3"/>
      <c r="D2706" s="3"/>
      <c r="E2706" s="3"/>
      <c r="F2706" s="2"/>
      <c r="G2706" s="2"/>
      <c r="I2706" s="1"/>
      <c r="J2706" s="1"/>
    </row>
    <row r="2707" spans="1:10" x14ac:dyDescent="0.2">
      <c r="A2707" s="3"/>
      <c r="B2707" s="3"/>
      <c r="C2707" s="3"/>
      <c r="D2707" s="3"/>
      <c r="E2707" s="3"/>
      <c r="F2707" s="2"/>
      <c r="G2707" s="2"/>
      <c r="I2707" s="1"/>
      <c r="J2707" s="1"/>
    </row>
    <row r="2708" spans="1:10" x14ac:dyDescent="0.2">
      <c r="A2708" s="3"/>
      <c r="B2708" s="3"/>
      <c r="C2708" s="3"/>
      <c r="D2708" s="3"/>
      <c r="E2708" s="3"/>
      <c r="F2708" s="2"/>
      <c r="G2708" s="2"/>
      <c r="I2708" s="1"/>
      <c r="J2708" s="1"/>
    </row>
    <row r="2709" spans="1:10" x14ac:dyDescent="0.2">
      <c r="A2709" s="3"/>
      <c r="B2709" s="3"/>
      <c r="C2709" s="3"/>
      <c r="D2709" s="3"/>
      <c r="E2709" s="3"/>
      <c r="F2709" s="2"/>
      <c r="G2709" s="2"/>
      <c r="I2709" s="1"/>
      <c r="J2709" s="1"/>
    </row>
    <row r="2710" spans="1:10" x14ac:dyDescent="0.2">
      <c r="A2710" s="3"/>
      <c r="B2710" s="3"/>
      <c r="C2710" s="3"/>
      <c r="D2710" s="3"/>
      <c r="E2710" s="3"/>
      <c r="F2710" s="2"/>
      <c r="G2710" s="2"/>
      <c r="I2710" s="1"/>
      <c r="J2710" s="1"/>
    </row>
    <row r="2711" spans="1:10" x14ac:dyDescent="0.2">
      <c r="A2711" s="3"/>
      <c r="B2711" s="3"/>
      <c r="C2711" s="3"/>
      <c r="D2711" s="3"/>
      <c r="E2711" s="3"/>
      <c r="F2711" s="2"/>
      <c r="G2711" s="2"/>
      <c r="I2711" s="1"/>
      <c r="J2711" s="1"/>
    </row>
    <row r="2712" spans="1:10" x14ac:dyDescent="0.2">
      <c r="A2712" s="3"/>
      <c r="B2712" s="3"/>
      <c r="C2712" s="3"/>
      <c r="D2712" s="3"/>
      <c r="E2712" s="3"/>
      <c r="F2712" s="2"/>
      <c r="G2712" s="2"/>
      <c r="I2712" s="1"/>
      <c r="J2712" s="1"/>
    </row>
    <row r="2713" spans="1:10" x14ac:dyDescent="0.2">
      <c r="A2713" s="3"/>
      <c r="B2713" s="3"/>
      <c r="C2713" s="3"/>
      <c r="D2713" s="3"/>
      <c r="E2713" s="3"/>
      <c r="F2713" s="2"/>
      <c r="G2713" s="2"/>
      <c r="I2713" s="1"/>
      <c r="J2713" s="1"/>
    </row>
    <row r="2714" spans="1:10" x14ac:dyDescent="0.2">
      <c r="A2714" s="3"/>
      <c r="B2714" s="3"/>
      <c r="C2714" s="3"/>
      <c r="D2714" s="3"/>
      <c r="E2714" s="3"/>
      <c r="F2714" s="2"/>
      <c r="G2714" s="2"/>
      <c r="I2714" s="1"/>
      <c r="J2714" s="1"/>
    </row>
    <row r="2715" spans="1:10" x14ac:dyDescent="0.2">
      <c r="A2715" s="3"/>
      <c r="B2715" s="3"/>
      <c r="C2715" s="3"/>
      <c r="D2715" s="3"/>
      <c r="E2715" s="3"/>
      <c r="F2715" s="2"/>
      <c r="G2715" s="2"/>
      <c r="I2715" s="1"/>
      <c r="J2715" s="1"/>
    </row>
    <row r="2716" spans="1:10" x14ac:dyDescent="0.2">
      <c r="A2716" s="3"/>
      <c r="B2716" s="3"/>
      <c r="C2716" s="3"/>
      <c r="D2716" s="3"/>
      <c r="E2716" s="3"/>
      <c r="F2716" s="2"/>
      <c r="G2716" s="2"/>
      <c r="I2716" s="1"/>
      <c r="J2716" s="1"/>
    </row>
    <row r="2717" spans="1:10" x14ac:dyDescent="0.2">
      <c r="A2717" s="3"/>
      <c r="B2717" s="3"/>
      <c r="C2717" s="3"/>
      <c r="D2717" s="3"/>
      <c r="E2717" s="3"/>
      <c r="F2717" s="2"/>
      <c r="G2717" s="2"/>
      <c r="I2717" s="1"/>
      <c r="J2717" s="1"/>
    </row>
    <row r="2718" spans="1:10" x14ac:dyDescent="0.2">
      <c r="A2718" s="3"/>
      <c r="B2718" s="3"/>
      <c r="C2718" s="3"/>
      <c r="D2718" s="3"/>
      <c r="E2718" s="3"/>
      <c r="F2718" s="2"/>
      <c r="G2718" s="2"/>
      <c r="I2718" s="1"/>
      <c r="J2718" s="1"/>
    </row>
    <row r="2719" spans="1:10" x14ac:dyDescent="0.2">
      <c r="A2719" s="3"/>
      <c r="B2719" s="3"/>
      <c r="C2719" s="3"/>
      <c r="D2719" s="3"/>
      <c r="E2719" s="3"/>
      <c r="F2719" s="2"/>
      <c r="G2719" s="2"/>
      <c r="I2719" s="1"/>
      <c r="J2719" s="1"/>
    </row>
    <row r="2720" spans="1:10" x14ac:dyDescent="0.2">
      <c r="A2720" s="3"/>
      <c r="B2720" s="3"/>
      <c r="C2720" s="3"/>
      <c r="D2720" s="3"/>
      <c r="E2720" s="3"/>
      <c r="F2720" s="2"/>
      <c r="G2720" s="2"/>
      <c r="I2720" s="1"/>
      <c r="J2720" s="1"/>
    </row>
    <row r="2721" spans="1:10" x14ac:dyDescent="0.2">
      <c r="A2721" s="3"/>
      <c r="B2721" s="3"/>
      <c r="C2721" s="3"/>
      <c r="D2721" s="3"/>
      <c r="E2721" s="3"/>
      <c r="F2721" s="2"/>
      <c r="G2721" s="2"/>
      <c r="I2721" s="1"/>
      <c r="J2721" s="1"/>
    </row>
    <row r="2722" spans="1:10" x14ac:dyDescent="0.2">
      <c r="A2722" s="3"/>
      <c r="B2722" s="3"/>
      <c r="C2722" s="3"/>
      <c r="D2722" s="3"/>
      <c r="E2722" s="3"/>
      <c r="F2722" s="2"/>
      <c r="G2722" s="2"/>
      <c r="I2722" s="1"/>
      <c r="J2722" s="1"/>
    </row>
    <row r="2723" spans="1:10" x14ac:dyDescent="0.2">
      <c r="A2723" s="3"/>
      <c r="B2723" s="3"/>
      <c r="C2723" s="3"/>
      <c r="D2723" s="3"/>
      <c r="E2723" s="3"/>
      <c r="F2723" s="2"/>
      <c r="G2723" s="2"/>
      <c r="I2723" s="1"/>
      <c r="J2723" s="1"/>
    </row>
    <row r="2724" spans="1:10" x14ac:dyDescent="0.2">
      <c r="A2724" s="3"/>
      <c r="B2724" s="3"/>
      <c r="C2724" s="3"/>
      <c r="D2724" s="3"/>
      <c r="E2724" s="3"/>
      <c r="F2724" s="2"/>
      <c r="G2724" s="2"/>
      <c r="I2724" s="1"/>
      <c r="J2724" s="1"/>
    </row>
    <row r="2725" spans="1:10" x14ac:dyDescent="0.2">
      <c r="A2725" s="3"/>
      <c r="B2725" s="3"/>
      <c r="C2725" s="3"/>
      <c r="D2725" s="3"/>
      <c r="E2725" s="3"/>
      <c r="F2725" s="2"/>
      <c r="G2725" s="2"/>
      <c r="I2725" s="1"/>
      <c r="J2725" s="1"/>
    </row>
    <row r="2726" spans="1:10" x14ac:dyDescent="0.2">
      <c r="A2726" s="3"/>
      <c r="B2726" s="3"/>
      <c r="C2726" s="3"/>
      <c r="D2726" s="3"/>
      <c r="E2726" s="3"/>
      <c r="F2726" s="2"/>
      <c r="G2726" s="2"/>
      <c r="I2726" s="1"/>
      <c r="J2726" s="1"/>
    </row>
    <row r="2727" spans="1:10" x14ac:dyDescent="0.2">
      <c r="A2727" s="3"/>
      <c r="B2727" s="3"/>
      <c r="C2727" s="3"/>
      <c r="D2727" s="3"/>
      <c r="E2727" s="3"/>
      <c r="F2727" s="2"/>
      <c r="G2727" s="2"/>
      <c r="I2727" s="1"/>
      <c r="J2727" s="1"/>
    </row>
    <row r="2728" spans="1:10" x14ac:dyDescent="0.2">
      <c r="A2728" s="3"/>
      <c r="B2728" s="3"/>
      <c r="C2728" s="3"/>
      <c r="D2728" s="3"/>
      <c r="E2728" s="3"/>
      <c r="F2728" s="2"/>
      <c r="G2728" s="2"/>
      <c r="I2728" s="1"/>
      <c r="J2728" s="1"/>
    </row>
    <row r="2729" spans="1:10" x14ac:dyDescent="0.2">
      <c r="A2729" s="3"/>
      <c r="B2729" s="3"/>
      <c r="C2729" s="3"/>
      <c r="D2729" s="3"/>
      <c r="E2729" s="3"/>
      <c r="F2729" s="2"/>
      <c r="G2729" s="2"/>
      <c r="I2729" s="1"/>
      <c r="J2729" s="1"/>
    </row>
    <row r="2730" spans="1:10" x14ac:dyDescent="0.2">
      <c r="A2730" s="3"/>
      <c r="B2730" s="3"/>
      <c r="C2730" s="3"/>
      <c r="D2730" s="3"/>
      <c r="E2730" s="3"/>
      <c r="F2730" s="2"/>
      <c r="G2730" s="2"/>
      <c r="I2730" s="1"/>
      <c r="J2730" s="1"/>
    </row>
    <row r="2731" spans="1:10" x14ac:dyDescent="0.2">
      <c r="A2731" s="3"/>
      <c r="B2731" s="3"/>
      <c r="C2731" s="3"/>
      <c r="D2731" s="3"/>
      <c r="E2731" s="3"/>
      <c r="F2731" s="2"/>
      <c r="G2731" s="2"/>
      <c r="I2731" s="1"/>
      <c r="J2731" s="1"/>
    </row>
    <row r="2732" spans="1:10" x14ac:dyDescent="0.2">
      <c r="A2732" s="3"/>
      <c r="B2732" s="3"/>
      <c r="C2732" s="3"/>
      <c r="D2732" s="3"/>
      <c r="E2732" s="3"/>
      <c r="F2732" s="2"/>
      <c r="G2732" s="2"/>
      <c r="I2732" s="1"/>
      <c r="J2732" s="1"/>
    </row>
    <row r="2733" spans="1:10" x14ac:dyDescent="0.2">
      <c r="A2733" s="3"/>
      <c r="B2733" s="3"/>
      <c r="C2733" s="3"/>
      <c r="D2733" s="3"/>
      <c r="E2733" s="3"/>
      <c r="F2733" s="2"/>
      <c r="G2733" s="2"/>
      <c r="I2733" s="1"/>
      <c r="J2733" s="1"/>
    </row>
    <row r="2734" spans="1:10" x14ac:dyDescent="0.2">
      <c r="A2734" s="3"/>
      <c r="B2734" s="3"/>
      <c r="C2734" s="3"/>
      <c r="D2734" s="3"/>
      <c r="E2734" s="3"/>
      <c r="F2734" s="2"/>
      <c r="G2734" s="2"/>
      <c r="I2734" s="1"/>
      <c r="J2734" s="1"/>
    </row>
    <row r="2735" spans="1:10" x14ac:dyDescent="0.2">
      <c r="A2735" s="3"/>
      <c r="B2735" s="3"/>
      <c r="C2735" s="3"/>
      <c r="D2735" s="3"/>
      <c r="E2735" s="3"/>
      <c r="F2735" s="2"/>
      <c r="G2735" s="2"/>
      <c r="I2735" s="1"/>
      <c r="J2735" s="1"/>
    </row>
    <row r="2736" spans="1:10" x14ac:dyDescent="0.2">
      <c r="A2736" s="3"/>
      <c r="B2736" s="3"/>
      <c r="C2736" s="3"/>
      <c r="D2736" s="3"/>
      <c r="E2736" s="3"/>
      <c r="F2736" s="2"/>
      <c r="G2736" s="2"/>
      <c r="I2736" s="1"/>
      <c r="J2736" s="1"/>
    </row>
    <row r="2737" spans="1:10" x14ac:dyDescent="0.2">
      <c r="A2737" s="3"/>
      <c r="B2737" s="3"/>
      <c r="C2737" s="3"/>
      <c r="D2737" s="3"/>
      <c r="E2737" s="3"/>
      <c r="F2737" s="2"/>
      <c r="G2737" s="2"/>
      <c r="I2737" s="1"/>
      <c r="J2737" s="1"/>
    </row>
    <row r="2738" spans="1:10" x14ac:dyDescent="0.2">
      <c r="A2738" s="3"/>
      <c r="B2738" s="3"/>
      <c r="C2738" s="3"/>
      <c r="D2738" s="3"/>
      <c r="E2738" s="3"/>
      <c r="F2738" s="2"/>
      <c r="G2738" s="2"/>
      <c r="I2738" s="1"/>
      <c r="J2738" s="1"/>
    </row>
    <row r="2739" spans="1:10" x14ac:dyDescent="0.2">
      <c r="A2739" s="3"/>
      <c r="B2739" s="3"/>
      <c r="C2739" s="3"/>
      <c r="D2739" s="3"/>
      <c r="E2739" s="3"/>
      <c r="F2739" s="2"/>
      <c r="G2739" s="2"/>
      <c r="I2739" s="1"/>
      <c r="J2739" s="1"/>
    </row>
    <row r="2740" spans="1:10" x14ac:dyDescent="0.2">
      <c r="A2740" s="3"/>
      <c r="B2740" s="3"/>
      <c r="C2740" s="3"/>
      <c r="D2740" s="3"/>
      <c r="E2740" s="3"/>
      <c r="F2740" s="2"/>
      <c r="G2740" s="2"/>
      <c r="I2740" s="1"/>
      <c r="J2740" s="1"/>
    </row>
    <row r="2741" spans="1:10" x14ac:dyDescent="0.2">
      <c r="A2741" s="3"/>
      <c r="B2741" s="3"/>
      <c r="C2741" s="3"/>
      <c r="D2741" s="3"/>
      <c r="E2741" s="3"/>
      <c r="F2741" s="2"/>
      <c r="G2741" s="2"/>
      <c r="I2741" s="1"/>
      <c r="J2741" s="1"/>
    </row>
    <row r="2742" spans="1:10" x14ac:dyDescent="0.2">
      <c r="A2742" s="3"/>
      <c r="B2742" s="3"/>
      <c r="C2742" s="3"/>
      <c r="D2742" s="3"/>
      <c r="E2742" s="3"/>
      <c r="F2742" s="2"/>
      <c r="G2742" s="2"/>
      <c r="I2742" s="1"/>
      <c r="J2742" s="1"/>
    </row>
    <row r="2743" spans="1:10" x14ac:dyDescent="0.2">
      <c r="A2743" s="3"/>
      <c r="B2743" s="3"/>
      <c r="C2743" s="3"/>
      <c r="D2743" s="3"/>
      <c r="E2743" s="3"/>
      <c r="F2743" s="2"/>
      <c r="G2743" s="2"/>
      <c r="I2743" s="1"/>
      <c r="J2743" s="1"/>
    </row>
    <row r="2744" spans="1:10" x14ac:dyDescent="0.2">
      <c r="A2744" s="3"/>
      <c r="B2744" s="3"/>
      <c r="C2744" s="3"/>
      <c r="D2744" s="3"/>
      <c r="E2744" s="3"/>
      <c r="F2744" s="2"/>
      <c r="G2744" s="2"/>
      <c r="I2744" s="1"/>
      <c r="J2744" s="1"/>
    </row>
    <row r="2745" spans="1:10" x14ac:dyDescent="0.2">
      <c r="A2745" s="3"/>
      <c r="B2745" s="3"/>
      <c r="C2745" s="3"/>
      <c r="D2745" s="3"/>
      <c r="E2745" s="3"/>
      <c r="F2745" s="2"/>
      <c r="G2745" s="2"/>
      <c r="I2745" s="1"/>
      <c r="J2745" s="1"/>
    </row>
    <row r="2746" spans="1:10" x14ac:dyDescent="0.2">
      <c r="A2746" s="3"/>
      <c r="B2746" s="3"/>
      <c r="C2746" s="3"/>
      <c r="D2746" s="3"/>
      <c r="E2746" s="3"/>
      <c r="F2746" s="2"/>
      <c r="G2746" s="2"/>
      <c r="I2746" s="1"/>
      <c r="J2746" s="1"/>
    </row>
    <row r="2747" spans="1:10" x14ac:dyDescent="0.2">
      <c r="A2747" s="3"/>
      <c r="B2747" s="3"/>
      <c r="C2747" s="3"/>
      <c r="D2747" s="3"/>
      <c r="E2747" s="3"/>
      <c r="F2747" s="2"/>
      <c r="G2747" s="2"/>
      <c r="I2747" s="1"/>
      <c r="J2747" s="1"/>
    </row>
    <row r="2748" spans="1:10" x14ac:dyDescent="0.2">
      <c r="A2748" s="3"/>
      <c r="B2748" s="3"/>
      <c r="C2748" s="3"/>
      <c r="D2748" s="3"/>
      <c r="E2748" s="3"/>
      <c r="F2748" s="2"/>
      <c r="G2748" s="2"/>
      <c r="I2748" s="1"/>
      <c r="J2748" s="1"/>
    </row>
    <row r="2749" spans="1:10" x14ac:dyDescent="0.2">
      <c r="A2749" s="3"/>
      <c r="B2749" s="3"/>
      <c r="C2749" s="3"/>
      <c r="D2749" s="3"/>
      <c r="E2749" s="3"/>
      <c r="F2749" s="2"/>
      <c r="G2749" s="2"/>
      <c r="I2749" s="1"/>
      <c r="J2749" s="1"/>
    </row>
    <row r="2750" spans="1:10" x14ac:dyDescent="0.2">
      <c r="A2750" s="3"/>
      <c r="B2750" s="3"/>
      <c r="C2750" s="3"/>
      <c r="D2750" s="3"/>
      <c r="E2750" s="3"/>
      <c r="F2750" s="2"/>
      <c r="G2750" s="2"/>
      <c r="I2750" s="1"/>
      <c r="J2750" s="1"/>
    </row>
    <row r="2751" spans="1:10" x14ac:dyDescent="0.2">
      <c r="A2751" s="3"/>
      <c r="B2751" s="3"/>
      <c r="C2751" s="3"/>
      <c r="D2751" s="3"/>
      <c r="E2751" s="3"/>
      <c r="F2751" s="2"/>
      <c r="G2751" s="2"/>
      <c r="I2751" s="1"/>
      <c r="J2751" s="1"/>
    </row>
    <row r="2752" spans="1:10" x14ac:dyDescent="0.2">
      <c r="A2752" s="3"/>
      <c r="B2752" s="3"/>
      <c r="C2752" s="3"/>
      <c r="D2752" s="3"/>
      <c r="E2752" s="3"/>
      <c r="F2752" s="2"/>
      <c r="G2752" s="2"/>
      <c r="I2752" s="1"/>
      <c r="J2752" s="1"/>
    </row>
    <row r="2753" spans="1:10" x14ac:dyDescent="0.2">
      <c r="A2753" s="3"/>
      <c r="B2753" s="3"/>
      <c r="C2753" s="3"/>
      <c r="D2753" s="3"/>
      <c r="E2753" s="3"/>
      <c r="F2753" s="2"/>
      <c r="G2753" s="2"/>
      <c r="I2753" s="1"/>
      <c r="J2753" s="1"/>
    </row>
    <row r="2754" spans="1:10" x14ac:dyDescent="0.2">
      <c r="A2754" s="3"/>
      <c r="B2754" s="3"/>
      <c r="C2754" s="3"/>
      <c r="D2754" s="3"/>
      <c r="E2754" s="3"/>
      <c r="F2754" s="2"/>
      <c r="G2754" s="2"/>
      <c r="I2754" s="1"/>
      <c r="J2754" s="1"/>
    </row>
    <row r="2755" spans="1:10" x14ac:dyDescent="0.2">
      <c r="A2755" s="3"/>
      <c r="B2755" s="3"/>
      <c r="C2755" s="3"/>
      <c r="D2755" s="3"/>
      <c r="E2755" s="3"/>
      <c r="F2755" s="2"/>
      <c r="G2755" s="2"/>
      <c r="I2755" s="1"/>
      <c r="J2755" s="1"/>
    </row>
    <row r="2756" spans="1:10" x14ac:dyDescent="0.2">
      <c r="A2756" s="3"/>
      <c r="B2756" s="3"/>
      <c r="C2756" s="3"/>
      <c r="D2756" s="3"/>
      <c r="E2756" s="3"/>
      <c r="F2756" s="2"/>
      <c r="G2756" s="2"/>
      <c r="I2756" s="1"/>
      <c r="J2756" s="1"/>
    </row>
    <row r="2757" spans="1:10" x14ac:dyDescent="0.2">
      <c r="A2757" s="3"/>
      <c r="B2757" s="3"/>
      <c r="C2757" s="3"/>
      <c r="D2757" s="3"/>
      <c r="E2757" s="3"/>
      <c r="F2757" s="2"/>
      <c r="G2757" s="2"/>
      <c r="I2757" s="1"/>
      <c r="J2757" s="1"/>
    </row>
    <row r="2758" spans="1:10" x14ac:dyDescent="0.2">
      <c r="A2758" s="3"/>
      <c r="B2758" s="3"/>
      <c r="C2758" s="3"/>
      <c r="D2758" s="3"/>
      <c r="E2758" s="3"/>
      <c r="F2758" s="2"/>
      <c r="G2758" s="2"/>
      <c r="I2758" s="1"/>
      <c r="J2758" s="1"/>
    </row>
    <row r="2759" spans="1:10" x14ac:dyDescent="0.2">
      <c r="A2759" s="3"/>
      <c r="B2759" s="3"/>
      <c r="C2759" s="3"/>
      <c r="D2759" s="3"/>
      <c r="E2759" s="3"/>
      <c r="F2759" s="2"/>
      <c r="G2759" s="2"/>
      <c r="I2759" s="1"/>
      <c r="J2759" s="1"/>
    </row>
    <row r="2760" spans="1:10" x14ac:dyDescent="0.2">
      <c r="A2760" s="3"/>
      <c r="B2760" s="3"/>
      <c r="C2760" s="3"/>
      <c r="D2760" s="3"/>
      <c r="E2760" s="3"/>
      <c r="F2760" s="2"/>
      <c r="G2760" s="2"/>
      <c r="I2760" s="1"/>
      <c r="J2760" s="1"/>
    </row>
    <row r="2761" spans="1:10" x14ac:dyDescent="0.2">
      <c r="A2761" s="3"/>
      <c r="B2761" s="3"/>
      <c r="C2761" s="3"/>
      <c r="D2761" s="3"/>
      <c r="E2761" s="3"/>
      <c r="F2761" s="2"/>
      <c r="G2761" s="2"/>
      <c r="I2761" s="1"/>
      <c r="J2761" s="1"/>
    </row>
    <row r="2762" spans="1:10" x14ac:dyDescent="0.2">
      <c r="A2762" s="3"/>
      <c r="B2762" s="3"/>
      <c r="C2762" s="3"/>
      <c r="D2762" s="3"/>
      <c r="E2762" s="3"/>
      <c r="F2762" s="2"/>
      <c r="G2762" s="2"/>
      <c r="I2762" s="1"/>
      <c r="J2762" s="1"/>
    </row>
    <row r="2763" spans="1:10" x14ac:dyDescent="0.2">
      <c r="A2763" s="3"/>
      <c r="B2763" s="3"/>
      <c r="C2763" s="3"/>
      <c r="D2763" s="3"/>
      <c r="E2763" s="3"/>
      <c r="F2763" s="2"/>
      <c r="G2763" s="2"/>
      <c r="I2763" s="1"/>
      <c r="J2763" s="1"/>
    </row>
    <row r="2764" spans="1:10" x14ac:dyDescent="0.2">
      <c r="A2764" s="3"/>
      <c r="B2764" s="3"/>
      <c r="C2764" s="3"/>
      <c r="D2764" s="3"/>
      <c r="E2764" s="3"/>
      <c r="F2764" s="2"/>
      <c r="G2764" s="2"/>
      <c r="I2764" s="1"/>
      <c r="J2764" s="1"/>
    </row>
    <row r="2765" spans="1:10" x14ac:dyDescent="0.2">
      <c r="A2765" s="3"/>
      <c r="B2765" s="3"/>
      <c r="C2765" s="3"/>
      <c r="D2765" s="3"/>
      <c r="E2765" s="3"/>
      <c r="F2765" s="2"/>
      <c r="G2765" s="2"/>
      <c r="I2765" s="1"/>
      <c r="J2765" s="1"/>
    </row>
    <row r="2766" spans="1:10" x14ac:dyDescent="0.2">
      <c r="A2766" s="3"/>
      <c r="B2766" s="3"/>
      <c r="C2766" s="3"/>
      <c r="D2766" s="3"/>
      <c r="E2766" s="3"/>
      <c r="F2766" s="2"/>
      <c r="G2766" s="2"/>
      <c r="I2766" s="1"/>
      <c r="J2766" s="1"/>
    </row>
    <row r="2767" spans="1:10" x14ac:dyDescent="0.2">
      <c r="A2767" s="3"/>
      <c r="B2767" s="3"/>
      <c r="C2767" s="3"/>
      <c r="D2767" s="3"/>
      <c r="E2767" s="3"/>
      <c r="F2767" s="2"/>
      <c r="G2767" s="2"/>
      <c r="I2767" s="1"/>
      <c r="J2767" s="1"/>
    </row>
    <row r="2768" spans="1:10" x14ac:dyDescent="0.2">
      <c r="A2768" s="3"/>
      <c r="B2768" s="3"/>
      <c r="C2768" s="3"/>
      <c r="D2768" s="3"/>
      <c r="E2768" s="3"/>
      <c r="F2768" s="2"/>
      <c r="G2768" s="2"/>
      <c r="I2768" s="1"/>
      <c r="J2768" s="1"/>
    </row>
    <row r="2769" spans="1:10" x14ac:dyDescent="0.2">
      <c r="A2769" s="3"/>
      <c r="B2769" s="3"/>
      <c r="C2769" s="3"/>
      <c r="D2769" s="3"/>
      <c r="E2769" s="3"/>
      <c r="F2769" s="2"/>
      <c r="G2769" s="2"/>
      <c r="I2769" s="1"/>
      <c r="J2769" s="1"/>
    </row>
    <row r="2770" spans="1:10" x14ac:dyDescent="0.2">
      <c r="A2770" s="3"/>
      <c r="B2770" s="3"/>
      <c r="C2770" s="3"/>
      <c r="D2770" s="3"/>
      <c r="E2770" s="3"/>
      <c r="F2770" s="2"/>
      <c r="G2770" s="2"/>
      <c r="I2770" s="1"/>
      <c r="J2770" s="1"/>
    </row>
    <row r="2771" spans="1:10" x14ac:dyDescent="0.2">
      <c r="A2771" s="3"/>
      <c r="B2771" s="3"/>
      <c r="C2771" s="3"/>
      <c r="D2771" s="3"/>
      <c r="E2771" s="3"/>
      <c r="F2771" s="2"/>
      <c r="G2771" s="2"/>
      <c r="I2771" s="1"/>
      <c r="J2771" s="1"/>
    </row>
    <row r="2772" spans="1:10" x14ac:dyDescent="0.2">
      <c r="A2772" s="3"/>
      <c r="B2772" s="3"/>
      <c r="C2772" s="3"/>
      <c r="D2772" s="3"/>
      <c r="E2772" s="3"/>
      <c r="F2772" s="2"/>
      <c r="G2772" s="2"/>
      <c r="I2772" s="1"/>
      <c r="J2772" s="1"/>
    </row>
    <row r="2773" spans="1:10" x14ac:dyDescent="0.2">
      <c r="A2773" s="3"/>
      <c r="B2773" s="3"/>
      <c r="C2773" s="3"/>
      <c r="D2773" s="3"/>
      <c r="E2773" s="3"/>
      <c r="F2773" s="2"/>
      <c r="G2773" s="2"/>
      <c r="I2773" s="1"/>
      <c r="J2773" s="1"/>
    </row>
    <row r="2774" spans="1:10" x14ac:dyDescent="0.2">
      <c r="A2774" s="3"/>
      <c r="B2774" s="3"/>
      <c r="C2774" s="3"/>
      <c r="D2774" s="3"/>
      <c r="E2774" s="3"/>
      <c r="F2774" s="2"/>
      <c r="G2774" s="2"/>
      <c r="I2774" s="1"/>
      <c r="J2774" s="1"/>
    </row>
    <row r="2775" spans="1:10" x14ac:dyDescent="0.2">
      <c r="A2775" s="3"/>
      <c r="B2775" s="3"/>
      <c r="C2775" s="3"/>
      <c r="D2775" s="3"/>
      <c r="E2775" s="3"/>
      <c r="F2775" s="2"/>
      <c r="G2775" s="2"/>
      <c r="I2775" s="1"/>
      <c r="J2775" s="1"/>
    </row>
    <row r="2776" spans="1:10" x14ac:dyDescent="0.2">
      <c r="A2776" s="3"/>
      <c r="B2776" s="3"/>
      <c r="C2776" s="3"/>
      <c r="D2776" s="3"/>
      <c r="E2776" s="3"/>
      <c r="F2776" s="2"/>
      <c r="G2776" s="2"/>
      <c r="I2776" s="1"/>
      <c r="J2776" s="1"/>
    </row>
    <row r="2777" spans="1:10" x14ac:dyDescent="0.2">
      <c r="A2777" s="3"/>
      <c r="B2777" s="3"/>
      <c r="C2777" s="3"/>
      <c r="D2777" s="3"/>
      <c r="E2777" s="3"/>
      <c r="F2777" s="2"/>
      <c r="G2777" s="2"/>
      <c r="I2777" s="1"/>
      <c r="J2777" s="1"/>
    </row>
    <row r="2778" spans="1:10" x14ac:dyDescent="0.2">
      <c r="A2778" s="3"/>
      <c r="B2778" s="3"/>
      <c r="C2778" s="3"/>
      <c r="D2778" s="3"/>
      <c r="E2778" s="3"/>
      <c r="F2778" s="2"/>
      <c r="G2778" s="2"/>
      <c r="I2778" s="1"/>
      <c r="J2778" s="1"/>
    </row>
    <row r="2779" spans="1:10" x14ac:dyDescent="0.2">
      <c r="A2779" s="3"/>
      <c r="B2779" s="3"/>
      <c r="C2779" s="3"/>
      <c r="D2779" s="3"/>
      <c r="E2779" s="3"/>
      <c r="F2779" s="2"/>
      <c r="G2779" s="2"/>
      <c r="I2779" s="1"/>
      <c r="J2779" s="1"/>
    </row>
    <row r="2780" spans="1:10" x14ac:dyDescent="0.2">
      <c r="A2780" s="3"/>
      <c r="B2780" s="3"/>
      <c r="C2780" s="3"/>
      <c r="D2780" s="3"/>
      <c r="E2780" s="3"/>
      <c r="F2780" s="2"/>
      <c r="G2780" s="2"/>
      <c r="I2780" s="1"/>
      <c r="J2780" s="1"/>
    </row>
    <row r="2781" spans="1:10" x14ac:dyDescent="0.2">
      <c r="A2781" s="3"/>
      <c r="B2781" s="3"/>
      <c r="C2781" s="3"/>
      <c r="D2781" s="3"/>
      <c r="E2781" s="3"/>
      <c r="F2781" s="2"/>
      <c r="G2781" s="2"/>
      <c r="I2781" s="1"/>
      <c r="J2781" s="1"/>
    </row>
    <row r="2782" spans="1:10" x14ac:dyDescent="0.2">
      <c r="A2782" s="3"/>
      <c r="B2782" s="3"/>
      <c r="C2782" s="3"/>
      <c r="D2782" s="3"/>
      <c r="E2782" s="3"/>
      <c r="F2782" s="2"/>
      <c r="G2782" s="2"/>
      <c r="I2782" s="1"/>
      <c r="J2782" s="1"/>
    </row>
    <row r="2783" spans="1:10" x14ac:dyDescent="0.2">
      <c r="A2783" s="3"/>
      <c r="B2783" s="3"/>
      <c r="C2783" s="3"/>
      <c r="D2783" s="3"/>
      <c r="E2783" s="3"/>
      <c r="F2783" s="2"/>
      <c r="G2783" s="2"/>
      <c r="I2783" s="1"/>
      <c r="J2783" s="1"/>
    </row>
    <row r="2784" spans="1:10" x14ac:dyDescent="0.2">
      <c r="A2784" s="3"/>
      <c r="B2784" s="3"/>
      <c r="C2784" s="3"/>
      <c r="D2784" s="3"/>
      <c r="E2784" s="3"/>
      <c r="F2784" s="2"/>
      <c r="G2784" s="2"/>
      <c r="I2784" s="1"/>
      <c r="J2784" s="1"/>
    </row>
    <row r="2785" spans="1:10" x14ac:dyDescent="0.2">
      <c r="A2785" s="3"/>
      <c r="B2785" s="3"/>
      <c r="C2785" s="3"/>
      <c r="D2785" s="3"/>
      <c r="E2785" s="3"/>
      <c r="F2785" s="2"/>
      <c r="G2785" s="2"/>
      <c r="I2785" s="1"/>
      <c r="J2785" s="1"/>
    </row>
    <row r="2786" spans="1:10" x14ac:dyDescent="0.2">
      <c r="A2786" s="3"/>
      <c r="B2786" s="3"/>
      <c r="C2786" s="3"/>
      <c r="D2786" s="3"/>
      <c r="E2786" s="3"/>
      <c r="F2786" s="2"/>
      <c r="G2786" s="2"/>
      <c r="I2786" s="1"/>
      <c r="J2786" s="1"/>
    </row>
    <row r="2787" spans="1:10" x14ac:dyDescent="0.2">
      <c r="A2787" s="3"/>
      <c r="B2787" s="3"/>
      <c r="C2787" s="3"/>
      <c r="D2787" s="3"/>
      <c r="E2787" s="3"/>
      <c r="F2787" s="2"/>
      <c r="G2787" s="2"/>
      <c r="I2787" s="1"/>
      <c r="J2787" s="1"/>
    </row>
    <row r="2788" spans="1:10" x14ac:dyDescent="0.2">
      <c r="A2788" s="3"/>
      <c r="B2788" s="3"/>
      <c r="C2788" s="3"/>
      <c r="D2788" s="3"/>
      <c r="E2788" s="3"/>
      <c r="F2788" s="2"/>
      <c r="G2788" s="2"/>
      <c r="I2788" s="1"/>
      <c r="J2788" s="1"/>
    </row>
    <row r="2789" spans="1:10" x14ac:dyDescent="0.2">
      <c r="A2789" s="3"/>
      <c r="B2789" s="3"/>
      <c r="C2789" s="3"/>
      <c r="D2789" s="3"/>
      <c r="E2789" s="3"/>
      <c r="F2789" s="2"/>
      <c r="G2789" s="2"/>
      <c r="I2789" s="1"/>
      <c r="J2789" s="1"/>
    </row>
    <row r="2790" spans="1:10" x14ac:dyDescent="0.2">
      <c r="A2790" s="3"/>
      <c r="B2790" s="3"/>
      <c r="C2790" s="3"/>
      <c r="D2790" s="3"/>
      <c r="E2790" s="3"/>
      <c r="F2790" s="2"/>
      <c r="G2790" s="2"/>
      <c r="I2790" s="1"/>
      <c r="J2790" s="1"/>
    </row>
    <row r="2791" spans="1:10" x14ac:dyDescent="0.2">
      <c r="A2791" s="3"/>
      <c r="B2791" s="3"/>
      <c r="C2791" s="3"/>
      <c r="D2791" s="3"/>
      <c r="E2791" s="3"/>
      <c r="F2791" s="2"/>
      <c r="G2791" s="2"/>
      <c r="I2791" s="1"/>
      <c r="J2791" s="1"/>
    </row>
    <row r="2792" spans="1:10" x14ac:dyDescent="0.2">
      <c r="A2792" s="3"/>
      <c r="B2792" s="3"/>
      <c r="C2792" s="3"/>
      <c r="D2792" s="3"/>
      <c r="E2792" s="3"/>
      <c r="F2792" s="2"/>
      <c r="G2792" s="2"/>
      <c r="I2792" s="1"/>
      <c r="J2792" s="1"/>
    </row>
    <row r="2793" spans="1:10" x14ac:dyDescent="0.2">
      <c r="A2793" s="3"/>
      <c r="B2793" s="3"/>
      <c r="C2793" s="3"/>
      <c r="D2793" s="3"/>
      <c r="E2793" s="3"/>
      <c r="F2793" s="2"/>
      <c r="G2793" s="2"/>
      <c r="I2793" s="1"/>
      <c r="J2793" s="1"/>
    </row>
    <row r="2794" spans="1:10" x14ac:dyDescent="0.2">
      <c r="A2794" s="3"/>
      <c r="B2794" s="3"/>
      <c r="C2794" s="3"/>
      <c r="D2794" s="3"/>
      <c r="E2794" s="3"/>
      <c r="F2794" s="2"/>
      <c r="G2794" s="2"/>
      <c r="I2794" s="1"/>
      <c r="J2794" s="1"/>
    </row>
    <row r="2795" spans="1:10" x14ac:dyDescent="0.2">
      <c r="A2795" s="3"/>
      <c r="B2795" s="3"/>
      <c r="C2795" s="3"/>
      <c r="D2795" s="3"/>
      <c r="E2795" s="3"/>
      <c r="F2795" s="2"/>
      <c r="G2795" s="2"/>
      <c r="I2795" s="1"/>
      <c r="J2795" s="1"/>
    </row>
    <row r="2796" spans="1:10" x14ac:dyDescent="0.2">
      <c r="A2796" s="3"/>
      <c r="B2796" s="3"/>
      <c r="C2796" s="3"/>
      <c r="D2796" s="3"/>
      <c r="E2796" s="3"/>
      <c r="F2796" s="2"/>
      <c r="G2796" s="2"/>
      <c r="I2796" s="1"/>
      <c r="J2796" s="1"/>
    </row>
    <row r="2797" spans="1:10" x14ac:dyDescent="0.2">
      <c r="A2797" s="3"/>
      <c r="B2797" s="3"/>
      <c r="C2797" s="3"/>
      <c r="D2797" s="3"/>
      <c r="E2797" s="3"/>
      <c r="F2797" s="2"/>
      <c r="G2797" s="2"/>
      <c r="I2797" s="1"/>
      <c r="J2797" s="1"/>
    </row>
    <row r="2798" spans="1:10" x14ac:dyDescent="0.2">
      <c r="A2798" s="3"/>
      <c r="B2798" s="3"/>
      <c r="C2798" s="3"/>
      <c r="D2798" s="3"/>
      <c r="E2798" s="3"/>
      <c r="F2798" s="2"/>
      <c r="G2798" s="2"/>
      <c r="I2798" s="1"/>
      <c r="J2798" s="1"/>
    </row>
    <row r="2799" spans="1:10" x14ac:dyDescent="0.2">
      <c r="A2799" s="3"/>
      <c r="B2799" s="3"/>
      <c r="C2799" s="3"/>
      <c r="D2799" s="3"/>
      <c r="E2799" s="3"/>
      <c r="F2799" s="2"/>
      <c r="G2799" s="2"/>
      <c r="I2799" s="1"/>
      <c r="J2799" s="1"/>
    </row>
    <row r="2800" spans="1:10" x14ac:dyDescent="0.2">
      <c r="A2800" s="3"/>
      <c r="B2800" s="3"/>
      <c r="C2800" s="3"/>
      <c r="D2800" s="3"/>
      <c r="E2800" s="3"/>
      <c r="F2800" s="2"/>
      <c r="G2800" s="2"/>
      <c r="I2800" s="1"/>
      <c r="J2800" s="1"/>
    </row>
    <row r="2801" spans="1:10" x14ac:dyDescent="0.2">
      <c r="A2801" s="3"/>
      <c r="B2801" s="3"/>
      <c r="C2801" s="3"/>
      <c r="D2801" s="3"/>
      <c r="E2801" s="3"/>
      <c r="F2801" s="2"/>
      <c r="G2801" s="2"/>
      <c r="I2801" s="1"/>
      <c r="J2801" s="1"/>
    </row>
    <row r="2802" spans="1:10" x14ac:dyDescent="0.2">
      <c r="A2802" s="3"/>
      <c r="B2802" s="3"/>
      <c r="C2802" s="3"/>
      <c r="D2802" s="3"/>
      <c r="E2802" s="3"/>
      <c r="F2802" s="2"/>
      <c r="G2802" s="2"/>
      <c r="I2802" s="1"/>
      <c r="J2802" s="1"/>
    </row>
    <row r="2803" spans="1:10" x14ac:dyDescent="0.2">
      <c r="A2803" s="3"/>
      <c r="B2803" s="3"/>
      <c r="C2803" s="3"/>
      <c r="D2803" s="3"/>
      <c r="E2803" s="3"/>
      <c r="F2803" s="2"/>
      <c r="G2803" s="2"/>
      <c r="I2803" s="1"/>
      <c r="J2803" s="1"/>
    </row>
    <row r="2804" spans="1:10" x14ac:dyDescent="0.2">
      <c r="A2804" s="3"/>
      <c r="B2804" s="3"/>
      <c r="C2804" s="3"/>
      <c r="D2804" s="3"/>
      <c r="E2804" s="3"/>
      <c r="F2804" s="2"/>
      <c r="G2804" s="2"/>
      <c r="I2804" s="1"/>
      <c r="J2804" s="1"/>
    </row>
    <row r="2805" spans="1:10" x14ac:dyDescent="0.2">
      <c r="A2805" s="3"/>
      <c r="B2805" s="3"/>
      <c r="C2805" s="3"/>
      <c r="D2805" s="3"/>
      <c r="E2805" s="3"/>
      <c r="F2805" s="2"/>
      <c r="G2805" s="2"/>
      <c r="I2805" s="1"/>
      <c r="J2805" s="1"/>
    </row>
    <row r="2806" spans="1:10" x14ac:dyDescent="0.2">
      <c r="A2806" s="3"/>
      <c r="B2806" s="3"/>
      <c r="C2806" s="3"/>
      <c r="D2806" s="3"/>
      <c r="E2806" s="3"/>
      <c r="F2806" s="2"/>
      <c r="G2806" s="2"/>
      <c r="I2806" s="1"/>
      <c r="J2806" s="1"/>
    </row>
    <row r="2807" spans="1:10" x14ac:dyDescent="0.2">
      <c r="A2807" s="3"/>
      <c r="B2807" s="3"/>
      <c r="C2807" s="3"/>
      <c r="D2807" s="3"/>
      <c r="E2807" s="3"/>
      <c r="F2807" s="2"/>
      <c r="G2807" s="2"/>
      <c r="I2807" s="1"/>
      <c r="J2807" s="1"/>
    </row>
    <row r="2808" spans="1:10" x14ac:dyDescent="0.2">
      <c r="A2808" s="3"/>
      <c r="B2808" s="3"/>
      <c r="C2808" s="3"/>
      <c r="D2808" s="3"/>
      <c r="E2808" s="3"/>
      <c r="F2808" s="2"/>
      <c r="G2808" s="2"/>
      <c r="I2808" s="1"/>
      <c r="J2808" s="1"/>
    </row>
    <row r="2809" spans="1:10" x14ac:dyDescent="0.2">
      <c r="A2809" s="3"/>
      <c r="B2809" s="3"/>
      <c r="C2809" s="3"/>
      <c r="D2809" s="3"/>
      <c r="E2809" s="3"/>
      <c r="F2809" s="2"/>
      <c r="G2809" s="2"/>
      <c r="I2809" s="1"/>
      <c r="J2809" s="1"/>
    </row>
    <row r="2810" spans="1:10" x14ac:dyDescent="0.2">
      <c r="A2810" s="3"/>
      <c r="B2810" s="3"/>
      <c r="C2810" s="3"/>
      <c r="D2810" s="3"/>
      <c r="E2810" s="3"/>
      <c r="F2810" s="2"/>
      <c r="G2810" s="2"/>
      <c r="I2810" s="1"/>
      <c r="J2810" s="1"/>
    </row>
    <row r="2811" spans="1:10" x14ac:dyDescent="0.2">
      <c r="A2811" s="3"/>
      <c r="B2811" s="3"/>
      <c r="C2811" s="3"/>
      <c r="D2811" s="3"/>
      <c r="E2811" s="3"/>
      <c r="F2811" s="2"/>
      <c r="G2811" s="2"/>
      <c r="I2811" s="1"/>
      <c r="J2811" s="1"/>
    </row>
    <row r="2812" spans="1:10" x14ac:dyDescent="0.2">
      <c r="A2812" s="3"/>
      <c r="B2812" s="3"/>
      <c r="C2812" s="3"/>
      <c r="D2812" s="3"/>
      <c r="E2812" s="3"/>
      <c r="F2812" s="2"/>
      <c r="G2812" s="2"/>
      <c r="I2812" s="1"/>
      <c r="J2812" s="1"/>
    </row>
    <row r="2813" spans="1:10" x14ac:dyDescent="0.2">
      <c r="A2813" s="3"/>
      <c r="B2813" s="3"/>
      <c r="C2813" s="3"/>
      <c r="D2813" s="3"/>
      <c r="E2813" s="3"/>
      <c r="F2813" s="2"/>
      <c r="G2813" s="2"/>
      <c r="I2813" s="1"/>
      <c r="J2813" s="1"/>
    </row>
    <row r="2814" spans="1:10" x14ac:dyDescent="0.2">
      <c r="A2814" s="3"/>
      <c r="B2814" s="3"/>
      <c r="C2814" s="3"/>
      <c r="D2814" s="3"/>
      <c r="E2814" s="3"/>
      <c r="F2814" s="2"/>
      <c r="G2814" s="2"/>
      <c r="I2814" s="1"/>
      <c r="J2814" s="1"/>
    </row>
    <row r="2815" spans="1:10" x14ac:dyDescent="0.2">
      <c r="A2815" s="3"/>
      <c r="B2815" s="3"/>
      <c r="C2815" s="3"/>
      <c r="D2815" s="3"/>
      <c r="E2815" s="3"/>
      <c r="F2815" s="2"/>
      <c r="G2815" s="2"/>
      <c r="I2815" s="1"/>
      <c r="J2815" s="1"/>
    </row>
    <row r="2816" spans="1:10" x14ac:dyDescent="0.2">
      <c r="A2816" s="3"/>
      <c r="B2816" s="3"/>
      <c r="C2816" s="3"/>
      <c r="D2816" s="3"/>
      <c r="E2816" s="3"/>
      <c r="F2816" s="2"/>
      <c r="G2816" s="2"/>
      <c r="I2816" s="1"/>
      <c r="J2816" s="1"/>
    </row>
    <row r="2817" spans="1:10" x14ac:dyDescent="0.2">
      <c r="A2817" s="3"/>
      <c r="B2817" s="3"/>
      <c r="C2817" s="3"/>
      <c r="D2817" s="3"/>
      <c r="E2817" s="3"/>
      <c r="F2817" s="2"/>
      <c r="G2817" s="2"/>
      <c r="I2817" s="1"/>
      <c r="J2817" s="1"/>
    </row>
    <row r="2818" spans="1:10" x14ac:dyDescent="0.2">
      <c r="A2818" s="3"/>
      <c r="B2818" s="3"/>
      <c r="C2818" s="3"/>
      <c r="D2818" s="3"/>
      <c r="E2818" s="3"/>
      <c r="F2818" s="2"/>
      <c r="G2818" s="2"/>
      <c r="I2818" s="1"/>
      <c r="J2818" s="1"/>
    </row>
    <row r="2819" spans="1:10" x14ac:dyDescent="0.2">
      <c r="A2819" s="3"/>
      <c r="B2819" s="3"/>
      <c r="C2819" s="3"/>
      <c r="D2819" s="3"/>
      <c r="E2819" s="3"/>
      <c r="F2819" s="2"/>
      <c r="G2819" s="2"/>
      <c r="I2819" s="1"/>
      <c r="J2819" s="1"/>
    </row>
    <row r="2820" spans="1:10" x14ac:dyDescent="0.2">
      <c r="A2820" s="3"/>
      <c r="B2820" s="3"/>
      <c r="C2820" s="3"/>
      <c r="D2820" s="3"/>
      <c r="E2820" s="3"/>
      <c r="F2820" s="2"/>
      <c r="G2820" s="2"/>
      <c r="I2820" s="1"/>
      <c r="J2820" s="1"/>
    </row>
    <row r="2821" spans="1:10" x14ac:dyDescent="0.2">
      <c r="A2821" s="3"/>
      <c r="B2821" s="3"/>
      <c r="C2821" s="3"/>
      <c r="D2821" s="3"/>
      <c r="E2821" s="3"/>
      <c r="F2821" s="2"/>
      <c r="G2821" s="2"/>
      <c r="I2821" s="1"/>
      <c r="J2821" s="1"/>
    </row>
    <row r="2822" spans="1:10" x14ac:dyDescent="0.2">
      <c r="A2822" s="3"/>
      <c r="B2822" s="3"/>
      <c r="C2822" s="3"/>
      <c r="D2822" s="3"/>
      <c r="E2822" s="3"/>
      <c r="F2822" s="2"/>
      <c r="G2822" s="2"/>
      <c r="I2822" s="1"/>
      <c r="J2822" s="1"/>
    </row>
    <row r="2823" spans="1:10" x14ac:dyDescent="0.2">
      <c r="A2823" s="3"/>
      <c r="B2823" s="3"/>
      <c r="C2823" s="3"/>
      <c r="D2823" s="3"/>
      <c r="E2823" s="3"/>
      <c r="F2823" s="2"/>
      <c r="G2823" s="2"/>
      <c r="I2823" s="1"/>
      <c r="J2823" s="1"/>
    </row>
    <row r="2824" spans="1:10" x14ac:dyDescent="0.2">
      <c r="A2824" s="3"/>
      <c r="B2824" s="3"/>
      <c r="C2824" s="3"/>
      <c r="D2824" s="3"/>
      <c r="E2824" s="3"/>
      <c r="F2824" s="2"/>
      <c r="G2824" s="2"/>
      <c r="I2824" s="1"/>
      <c r="J2824" s="1"/>
    </row>
    <row r="2825" spans="1:10" x14ac:dyDescent="0.2">
      <c r="A2825" s="3"/>
      <c r="B2825" s="3"/>
      <c r="C2825" s="3"/>
      <c r="D2825" s="3"/>
      <c r="E2825" s="3"/>
      <c r="F2825" s="2"/>
      <c r="G2825" s="2"/>
      <c r="I2825" s="1"/>
      <c r="J2825" s="1"/>
    </row>
    <row r="2826" spans="1:10" x14ac:dyDescent="0.2">
      <c r="A2826" s="3"/>
      <c r="B2826" s="3"/>
      <c r="C2826" s="3"/>
      <c r="D2826" s="3"/>
      <c r="E2826" s="3"/>
      <c r="F2826" s="2"/>
      <c r="G2826" s="2"/>
      <c r="I2826" s="1"/>
      <c r="J2826" s="1"/>
    </row>
    <row r="2827" spans="1:10" x14ac:dyDescent="0.2">
      <c r="A2827" s="3"/>
      <c r="B2827" s="3"/>
      <c r="C2827" s="3"/>
      <c r="D2827" s="3"/>
      <c r="E2827" s="3"/>
      <c r="F2827" s="2"/>
      <c r="G2827" s="2"/>
      <c r="I2827" s="1"/>
      <c r="J2827" s="1"/>
    </row>
    <row r="2828" spans="1:10" x14ac:dyDescent="0.2">
      <c r="A2828" s="3"/>
      <c r="B2828" s="3"/>
      <c r="C2828" s="3"/>
      <c r="D2828" s="3"/>
      <c r="E2828" s="3"/>
      <c r="F2828" s="2"/>
      <c r="G2828" s="2"/>
      <c r="I2828" s="1"/>
      <c r="J2828" s="1"/>
    </row>
    <row r="2829" spans="1:10" x14ac:dyDescent="0.2">
      <c r="A2829" s="3"/>
      <c r="B2829" s="3"/>
      <c r="C2829" s="3"/>
      <c r="D2829" s="3"/>
      <c r="E2829" s="3"/>
      <c r="F2829" s="2"/>
      <c r="G2829" s="2"/>
      <c r="I2829" s="1"/>
      <c r="J2829" s="1"/>
    </row>
    <row r="2830" spans="1:10" x14ac:dyDescent="0.2">
      <c r="A2830" s="3"/>
      <c r="B2830" s="3"/>
      <c r="C2830" s="3"/>
      <c r="D2830" s="3"/>
      <c r="E2830" s="3"/>
      <c r="F2830" s="2"/>
      <c r="G2830" s="2"/>
      <c r="I2830" s="1"/>
      <c r="J2830" s="1"/>
    </row>
    <row r="2831" spans="1:10" x14ac:dyDescent="0.2">
      <c r="A2831" s="3"/>
      <c r="B2831" s="3"/>
      <c r="C2831" s="3"/>
      <c r="D2831" s="3"/>
      <c r="E2831" s="3"/>
      <c r="F2831" s="2"/>
      <c r="G2831" s="2"/>
      <c r="I2831" s="1"/>
      <c r="J2831" s="1"/>
    </row>
    <row r="2832" spans="1:10" x14ac:dyDescent="0.2">
      <c r="A2832" s="3"/>
      <c r="B2832" s="3"/>
      <c r="C2832" s="3"/>
      <c r="D2832" s="3"/>
      <c r="E2832" s="3"/>
      <c r="F2832" s="2"/>
      <c r="G2832" s="2"/>
      <c r="I2832" s="1"/>
      <c r="J2832" s="1"/>
    </row>
    <row r="2833" spans="1:10" x14ac:dyDescent="0.2">
      <c r="A2833" s="3"/>
      <c r="B2833" s="3"/>
      <c r="C2833" s="3"/>
      <c r="D2833" s="3"/>
      <c r="E2833" s="3"/>
      <c r="F2833" s="2"/>
      <c r="G2833" s="2"/>
      <c r="I2833" s="1"/>
      <c r="J2833" s="1"/>
    </row>
    <row r="2834" spans="1:10" x14ac:dyDescent="0.2">
      <c r="A2834" s="3"/>
      <c r="B2834" s="3"/>
      <c r="C2834" s="3"/>
      <c r="D2834" s="3"/>
      <c r="E2834" s="3"/>
      <c r="F2834" s="2"/>
      <c r="G2834" s="2"/>
      <c r="I2834" s="1"/>
      <c r="J2834" s="1"/>
    </row>
    <row r="2835" spans="1:10" x14ac:dyDescent="0.2">
      <c r="A2835" s="3"/>
      <c r="B2835" s="3"/>
      <c r="C2835" s="3"/>
      <c r="D2835" s="3"/>
      <c r="E2835" s="3"/>
      <c r="F2835" s="2"/>
      <c r="G2835" s="2"/>
      <c r="I2835" s="1"/>
      <c r="J2835" s="1"/>
    </row>
    <row r="2836" spans="1:10" x14ac:dyDescent="0.2">
      <c r="A2836" s="3"/>
      <c r="B2836" s="3"/>
      <c r="C2836" s="3"/>
      <c r="D2836" s="3"/>
      <c r="E2836" s="3"/>
      <c r="F2836" s="2"/>
      <c r="G2836" s="2"/>
      <c r="I2836" s="1"/>
      <c r="J2836" s="1"/>
    </row>
    <row r="2837" spans="1:10" x14ac:dyDescent="0.2">
      <c r="A2837" s="3"/>
      <c r="B2837" s="3"/>
      <c r="C2837" s="3"/>
      <c r="D2837" s="3"/>
      <c r="E2837" s="3"/>
      <c r="F2837" s="2"/>
      <c r="G2837" s="2"/>
      <c r="I2837" s="1"/>
      <c r="J2837" s="1"/>
    </row>
    <row r="2838" spans="1:10" x14ac:dyDescent="0.2">
      <c r="A2838" s="3"/>
      <c r="B2838" s="3"/>
      <c r="C2838" s="3"/>
      <c r="D2838" s="3"/>
      <c r="E2838" s="3"/>
      <c r="F2838" s="2"/>
      <c r="G2838" s="2"/>
      <c r="I2838" s="1"/>
      <c r="J2838" s="1"/>
    </row>
    <row r="2839" spans="1:10" x14ac:dyDescent="0.2">
      <c r="A2839" s="3"/>
      <c r="B2839" s="3"/>
      <c r="C2839" s="3"/>
      <c r="D2839" s="3"/>
      <c r="E2839" s="3"/>
      <c r="F2839" s="2"/>
      <c r="G2839" s="2"/>
      <c r="I2839" s="1"/>
      <c r="J2839" s="1"/>
    </row>
    <row r="2840" spans="1:10" x14ac:dyDescent="0.2">
      <c r="A2840" s="3"/>
      <c r="B2840" s="3"/>
      <c r="C2840" s="3"/>
      <c r="D2840" s="3"/>
      <c r="E2840" s="3"/>
      <c r="F2840" s="2"/>
      <c r="G2840" s="2"/>
      <c r="I2840" s="1"/>
      <c r="J2840" s="1"/>
    </row>
    <row r="2841" spans="1:10" x14ac:dyDescent="0.2">
      <c r="A2841" s="3"/>
      <c r="B2841" s="3"/>
      <c r="C2841" s="3"/>
      <c r="D2841" s="3"/>
      <c r="E2841" s="3"/>
      <c r="F2841" s="2"/>
      <c r="G2841" s="2"/>
      <c r="I2841" s="1"/>
      <c r="J2841" s="1"/>
    </row>
    <row r="2842" spans="1:10" x14ac:dyDescent="0.2">
      <c r="A2842" s="3"/>
      <c r="B2842" s="3"/>
      <c r="C2842" s="3"/>
      <c r="D2842" s="3"/>
      <c r="E2842" s="3"/>
      <c r="F2842" s="2"/>
      <c r="G2842" s="2"/>
      <c r="I2842" s="1"/>
      <c r="J2842" s="1"/>
    </row>
    <row r="2843" spans="1:10" x14ac:dyDescent="0.2">
      <c r="A2843" s="3"/>
      <c r="B2843" s="3"/>
      <c r="C2843" s="3"/>
      <c r="D2843" s="3"/>
      <c r="E2843" s="3"/>
      <c r="F2843" s="2"/>
      <c r="G2843" s="2"/>
      <c r="I2843" s="1"/>
      <c r="J2843" s="1"/>
    </row>
    <row r="2844" spans="1:10" x14ac:dyDescent="0.2">
      <c r="A2844" s="3"/>
      <c r="B2844" s="3"/>
      <c r="C2844" s="3"/>
      <c r="D2844" s="3"/>
      <c r="E2844" s="3"/>
      <c r="F2844" s="2"/>
      <c r="G2844" s="2"/>
      <c r="I2844" s="1"/>
      <c r="J2844" s="1"/>
    </row>
    <row r="2845" spans="1:10" x14ac:dyDescent="0.2">
      <c r="A2845" s="3"/>
      <c r="B2845" s="3"/>
      <c r="C2845" s="3"/>
      <c r="D2845" s="3"/>
      <c r="E2845" s="3"/>
      <c r="F2845" s="2"/>
      <c r="G2845" s="2"/>
      <c r="I2845" s="1"/>
      <c r="J2845" s="1"/>
    </row>
    <row r="2846" spans="1:10" x14ac:dyDescent="0.2">
      <c r="A2846" s="3"/>
      <c r="B2846" s="3"/>
      <c r="C2846" s="3"/>
      <c r="D2846" s="3"/>
      <c r="E2846" s="3"/>
      <c r="F2846" s="2"/>
      <c r="G2846" s="2"/>
      <c r="I2846" s="1"/>
      <c r="J2846" s="1"/>
    </row>
    <row r="2847" spans="1:10" x14ac:dyDescent="0.2">
      <c r="A2847" s="3"/>
      <c r="B2847" s="3"/>
      <c r="C2847" s="3"/>
      <c r="D2847" s="3"/>
      <c r="E2847" s="3"/>
      <c r="F2847" s="2"/>
      <c r="G2847" s="2"/>
      <c r="I2847" s="1"/>
      <c r="J2847" s="1"/>
    </row>
    <row r="2848" spans="1:10" x14ac:dyDescent="0.2">
      <c r="A2848" s="3"/>
      <c r="B2848" s="3"/>
      <c r="C2848" s="3"/>
      <c r="D2848" s="3"/>
      <c r="E2848" s="3"/>
      <c r="F2848" s="2"/>
      <c r="G2848" s="2"/>
      <c r="I2848" s="1"/>
      <c r="J2848" s="1"/>
    </row>
    <row r="2849" spans="1:10" x14ac:dyDescent="0.2">
      <c r="A2849" s="3"/>
      <c r="B2849" s="3"/>
      <c r="C2849" s="3"/>
      <c r="D2849" s="3"/>
      <c r="E2849" s="3"/>
      <c r="F2849" s="2"/>
      <c r="G2849" s="2"/>
      <c r="I2849" s="1"/>
      <c r="J2849" s="1"/>
    </row>
    <row r="2850" spans="1:10" x14ac:dyDescent="0.2">
      <c r="A2850" s="3"/>
      <c r="B2850" s="3"/>
      <c r="C2850" s="3"/>
      <c r="D2850" s="3"/>
      <c r="E2850" s="3"/>
      <c r="F2850" s="2"/>
      <c r="G2850" s="2"/>
      <c r="I2850" s="1"/>
      <c r="J2850" s="1"/>
    </row>
    <row r="2851" spans="1:10" x14ac:dyDescent="0.2">
      <c r="A2851" s="3"/>
      <c r="B2851" s="3"/>
      <c r="C2851" s="3"/>
      <c r="D2851" s="3"/>
      <c r="E2851" s="3"/>
      <c r="F2851" s="2"/>
      <c r="G2851" s="2"/>
      <c r="I2851" s="1"/>
      <c r="J2851" s="1"/>
    </row>
    <row r="2852" spans="1:10" x14ac:dyDescent="0.2">
      <c r="A2852" s="3"/>
      <c r="B2852" s="3"/>
      <c r="C2852" s="3"/>
      <c r="D2852" s="3"/>
      <c r="E2852" s="3"/>
      <c r="F2852" s="2"/>
      <c r="G2852" s="2"/>
      <c r="I2852" s="1"/>
      <c r="J2852" s="1"/>
    </row>
    <row r="2853" spans="1:10" x14ac:dyDescent="0.2">
      <c r="A2853" s="3"/>
      <c r="B2853" s="3"/>
      <c r="C2853" s="3"/>
      <c r="D2853" s="3"/>
      <c r="E2853" s="3"/>
      <c r="F2853" s="2"/>
      <c r="G2853" s="2"/>
      <c r="I2853" s="1"/>
      <c r="J2853" s="1"/>
    </row>
    <row r="2854" spans="1:10" x14ac:dyDescent="0.2">
      <c r="A2854" s="3"/>
      <c r="B2854" s="3"/>
      <c r="C2854" s="3"/>
      <c r="D2854" s="3"/>
      <c r="E2854" s="3"/>
      <c r="F2854" s="2"/>
      <c r="G2854" s="2"/>
      <c r="I2854" s="1"/>
      <c r="J2854" s="1"/>
    </row>
    <row r="2855" spans="1:10" x14ac:dyDescent="0.2">
      <c r="A2855" s="3"/>
      <c r="B2855" s="3"/>
      <c r="C2855" s="3"/>
      <c r="D2855" s="3"/>
      <c r="E2855" s="3"/>
      <c r="F2855" s="2"/>
      <c r="G2855" s="2"/>
      <c r="I2855" s="1"/>
      <c r="J2855" s="1"/>
    </row>
    <row r="2856" spans="1:10" x14ac:dyDescent="0.2">
      <c r="A2856" s="3"/>
      <c r="B2856" s="3"/>
      <c r="C2856" s="3"/>
      <c r="D2856" s="3"/>
      <c r="E2856" s="3"/>
      <c r="F2856" s="2"/>
      <c r="G2856" s="2"/>
      <c r="I2856" s="1"/>
      <c r="J2856" s="1"/>
    </row>
    <row r="2857" spans="1:10" x14ac:dyDescent="0.2">
      <c r="A2857" s="3"/>
      <c r="B2857" s="3"/>
      <c r="C2857" s="3"/>
      <c r="D2857" s="3"/>
      <c r="E2857" s="3"/>
      <c r="F2857" s="2"/>
      <c r="G2857" s="2"/>
      <c r="I2857" s="1"/>
      <c r="J2857" s="1"/>
    </row>
    <row r="2858" spans="1:10" x14ac:dyDescent="0.2">
      <c r="A2858" s="3"/>
      <c r="B2858" s="3"/>
      <c r="C2858" s="3"/>
      <c r="D2858" s="3"/>
      <c r="E2858" s="3"/>
      <c r="F2858" s="2"/>
      <c r="G2858" s="2"/>
      <c r="I2858" s="1"/>
      <c r="J2858" s="1"/>
    </row>
    <row r="2859" spans="1:10" x14ac:dyDescent="0.2">
      <c r="A2859" s="3"/>
      <c r="B2859" s="3"/>
      <c r="C2859" s="3"/>
      <c r="D2859" s="3"/>
      <c r="E2859" s="3"/>
      <c r="F2859" s="2"/>
      <c r="G2859" s="2"/>
      <c r="I2859" s="1"/>
      <c r="J2859" s="1"/>
    </row>
    <row r="2860" spans="1:10" x14ac:dyDescent="0.2">
      <c r="A2860" s="3"/>
      <c r="B2860" s="3"/>
      <c r="C2860" s="3"/>
      <c r="D2860" s="3"/>
      <c r="E2860" s="3"/>
      <c r="F2860" s="2"/>
      <c r="G2860" s="2"/>
      <c r="I2860" s="1"/>
      <c r="J2860" s="1"/>
    </row>
    <row r="2861" spans="1:10" x14ac:dyDescent="0.2">
      <c r="A2861" s="3"/>
      <c r="B2861" s="3"/>
      <c r="C2861" s="3"/>
      <c r="D2861" s="3"/>
      <c r="E2861" s="3"/>
      <c r="F2861" s="2"/>
      <c r="G2861" s="2"/>
      <c r="I2861" s="1"/>
      <c r="J2861" s="1"/>
    </row>
    <row r="2862" spans="1:10" x14ac:dyDescent="0.2">
      <c r="A2862" s="3"/>
      <c r="B2862" s="3"/>
      <c r="C2862" s="3"/>
      <c r="D2862" s="3"/>
      <c r="E2862" s="3"/>
      <c r="F2862" s="2"/>
      <c r="G2862" s="2"/>
      <c r="I2862" s="1"/>
      <c r="J2862" s="1"/>
    </row>
    <row r="2863" spans="1:10" x14ac:dyDescent="0.2">
      <c r="A2863" s="3"/>
      <c r="B2863" s="3"/>
      <c r="C2863" s="3"/>
      <c r="D2863" s="3"/>
      <c r="E2863" s="3"/>
      <c r="F2863" s="2"/>
      <c r="G2863" s="2"/>
      <c r="I2863" s="1"/>
      <c r="J2863" s="1"/>
    </row>
    <row r="2864" spans="1:10" x14ac:dyDescent="0.2">
      <c r="A2864" s="3"/>
      <c r="B2864" s="3"/>
      <c r="C2864" s="3"/>
      <c r="D2864" s="3"/>
      <c r="E2864" s="3"/>
      <c r="F2864" s="2"/>
      <c r="G2864" s="2"/>
      <c r="I2864" s="1"/>
      <c r="J2864" s="1"/>
    </row>
    <row r="2865" spans="1:10" x14ac:dyDescent="0.2">
      <c r="A2865" s="3"/>
      <c r="B2865" s="3"/>
      <c r="C2865" s="3"/>
      <c r="D2865" s="3"/>
      <c r="E2865" s="3"/>
      <c r="F2865" s="2"/>
      <c r="G2865" s="2"/>
      <c r="I2865" s="1"/>
      <c r="J2865" s="1"/>
    </row>
    <row r="2866" spans="1:10" x14ac:dyDescent="0.2">
      <c r="A2866" s="3"/>
      <c r="B2866" s="3"/>
      <c r="C2866" s="3"/>
      <c r="D2866" s="3"/>
      <c r="E2866" s="3"/>
      <c r="F2866" s="2"/>
      <c r="G2866" s="2"/>
      <c r="I2866" s="1"/>
      <c r="J2866" s="1"/>
    </row>
    <row r="2867" spans="1:10" x14ac:dyDescent="0.2">
      <c r="A2867" s="3"/>
      <c r="B2867" s="3"/>
      <c r="C2867" s="3"/>
      <c r="D2867" s="3"/>
      <c r="E2867" s="3"/>
      <c r="F2867" s="2"/>
      <c r="G2867" s="2"/>
      <c r="I2867" s="1"/>
      <c r="J2867" s="1"/>
    </row>
    <row r="2868" spans="1:10" x14ac:dyDescent="0.2">
      <c r="A2868" s="3"/>
      <c r="B2868" s="3"/>
      <c r="C2868" s="3"/>
      <c r="D2868" s="3"/>
      <c r="E2868" s="3"/>
      <c r="F2868" s="2"/>
      <c r="G2868" s="2"/>
      <c r="I2868" s="1"/>
      <c r="J2868" s="1"/>
    </row>
    <row r="2869" spans="1:10" x14ac:dyDescent="0.2">
      <c r="A2869" s="3"/>
      <c r="B2869" s="3"/>
      <c r="C2869" s="3"/>
      <c r="D2869" s="3"/>
      <c r="E2869" s="3"/>
      <c r="F2869" s="2"/>
      <c r="G2869" s="2"/>
      <c r="I2869" s="1"/>
      <c r="J2869" s="1"/>
    </row>
    <row r="2870" spans="1:10" x14ac:dyDescent="0.2">
      <c r="A2870" s="3"/>
      <c r="B2870" s="3"/>
      <c r="C2870" s="3"/>
      <c r="D2870" s="3"/>
      <c r="E2870" s="3"/>
      <c r="F2870" s="2"/>
      <c r="G2870" s="2"/>
      <c r="I2870" s="1"/>
      <c r="J2870" s="1"/>
    </row>
    <row r="2871" spans="1:10" x14ac:dyDescent="0.2">
      <c r="A2871" s="3"/>
      <c r="B2871" s="3"/>
      <c r="C2871" s="3"/>
      <c r="D2871" s="3"/>
      <c r="E2871" s="3"/>
      <c r="F2871" s="2"/>
      <c r="G2871" s="2"/>
      <c r="I2871" s="1"/>
      <c r="J2871" s="1"/>
    </row>
    <row r="2872" spans="1:10" x14ac:dyDescent="0.2">
      <c r="A2872" s="3"/>
      <c r="B2872" s="3"/>
      <c r="C2872" s="3"/>
      <c r="D2872" s="3"/>
      <c r="E2872" s="3"/>
      <c r="F2872" s="2"/>
      <c r="G2872" s="2"/>
      <c r="I2872" s="1"/>
      <c r="J2872" s="1"/>
    </row>
    <row r="2873" spans="1:10" x14ac:dyDescent="0.2">
      <c r="A2873" s="3"/>
      <c r="B2873" s="3"/>
      <c r="C2873" s="3"/>
      <c r="D2873" s="3"/>
      <c r="E2873" s="3"/>
      <c r="F2873" s="2"/>
      <c r="G2873" s="2"/>
      <c r="I2873" s="1"/>
      <c r="J2873" s="1"/>
    </row>
    <row r="2874" spans="1:10" x14ac:dyDescent="0.2">
      <c r="A2874" s="3"/>
      <c r="B2874" s="3"/>
      <c r="C2874" s="3"/>
      <c r="D2874" s="3"/>
      <c r="E2874" s="3"/>
      <c r="F2874" s="2"/>
      <c r="G2874" s="2"/>
      <c r="I2874" s="1"/>
      <c r="J2874" s="1"/>
    </row>
    <row r="2875" spans="1:10" x14ac:dyDescent="0.2">
      <c r="A2875" s="3"/>
      <c r="B2875" s="3"/>
      <c r="C2875" s="3"/>
      <c r="D2875" s="3"/>
      <c r="E2875" s="3"/>
      <c r="F2875" s="2"/>
      <c r="G2875" s="2"/>
      <c r="I2875" s="1"/>
      <c r="J2875" s="1"/>
    </row>
    <row r="2876" spans="1:10" x14ac:dyDescent="0.2">
      <c r="A2876" s="3"/>
      <c r="B2876" s="3"/>
      <c r="C2876" s="3"/>
      <c r="D2876" s="3"/>
      <c r="E2876" s="3"/>
      <c r="F2876" s="2"/>
      <c r="G2876" s="2"/>
      <c r="I2876" s="1"/>
      <c r="J2876" s="1"/>
    </row>
    <row r="2877" spans="1:10" x14ac:dyDescent="0.2">
      <c r="A2877" s="3"/>
      <c r="B2877" s="3"/>
      <c r="C2877" s="3"/>
      <c r="D2877" s="3"/>
      <c r="E2877" s="3"/>
      <c r="F2877" s="2"/>
      <c r="G2877" s="2"/>
      <c r="I2877" s="1"/>
      <c r="J2877" s="1"/>
    </row>
    <row r="2878" spans="1:10" x14ac:dyDescent="0.2">
      <c r="A2878" s="3"/>
      <c r="B2878" s="3"/>
      <c r="C2878" s="3"/>
      <c r="D2878" s="3"/>
      <c r="E2878" s="3"/>
      <c r="F2878" s="2"/>
      <c r="G2878" s="2"/>
      <c r="I2878" s="1"/>
      <c r="J2878" s="1"/>
    </row>
    <row r="2879" spans="1:10" x14ac:dyDescent="0.2">
      <c r="A2879" s="3"/>
      <c r="B2879" s="3"/>
      <c r="C2879" s="3"/>
      <c r="D2879" s="3"/>
      <c r="E2879" s="3"/>
      <c r="F2879" s="2"/>
      <c r="G2879" s="2"/>
      <c r="I2879" s="1"/>
      <c r="J2879" s="1"/>
    </row>
    <row r="2880" spans="1:10" x14ac:dyDescent="0.2">
      <c r="A2880" s="3"/>
      <c r="B2880" s="3"/>
      <c r="C2880" s="3"/>
      <c r="D2880" s="3"/>
      <c r="E2880" s="3"/>
      <c r="F2880" s="2"/>
      <c r="G2880" s="2"/>
      <c r="I2880" s="1"/>
      <c r="J2880" s="1"/>
    </row>
    <row r="2881" spans="1:10" x14ac:dyDescent="0.2">
      <c r="A2881" s="3"/>
      <c r="B2881" s="3"/>
      <c r="C2881" s="3"/>
      <c r="D2881" s="3"/>
      <c r="E2881" s="3"/>
      <c r="F2881" s="2"/>
      <c r="G2881" s="2"/>
      <c r="I2881" s="1"/>
      <c r="J2881" s="1"/>
    </row>
    <row r="2882" spans="1:10" x14ac:dyDescent="0.2">
      <c r="A2882" s="3"/>
      <c r="B2882" s="3"/>
      <c r="C2882" s="3"/>
      <c r="D2882" s="3"/>
      <c r="E2882" s="3"/>
      <c r="F2882" s="2"/>
      <c r="G2882" s="2"/>
      <c r="I2882" s="1"/>
      <c r="J2882" s="1"/>
    </row>
    <row r="2883" spans="1:10" x14ac:dyDescent="0.2">
      <c r="A2883" s="3"/>
      <c r="B2883" s="3"/>
      <c r="C2883" s="3"/>
      <c r="D2883" s="3"/>
      <c r="E2883" s="3"/>
      <c r="F2883" s="2"/>
      <c r="G2883" s="2"/>
      <c r="I2883" s="1"/>
      <c r="J2883" s="1"/>
    </row>
    <row r="2884" spans="1:10" x14ac:dyDescent="0.2">
      <c r="A2884" s="3"/>
      <c r="B2884" s="3"/>
      <c r="C2884" s="3"/>
      <c r="D2884" s="3"/>
      <c r="E2884" s="3"/>
      <c r="F2884" s="2"/>
      <c r="G2884" s="2"/>
      <c r="I2884" s="1"/>
      <c r="J2884" s="1"/>
    </row>
    <row r="2885" spans="1:10" x14ac:dyDescent="0.2">
      <c r="A2885" s="3"/>
      <c r="B2885" s="3"/>
      <c r="C2885" s="3"/>
      <c r="D2885" s="3"/>
      <c r="E2885" s="3"/>
      <c r="F2885" s="2"/>
      <c r="G2885" s="2"/>
      <c r="I2885" s="1"/>
      <c r="J288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Список сводный д.сад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Eldar Nurakhmet</dc:creator>
  <cp:lastModifiedBy>Eldar Nurakhmet</cp:lastModifiedBy>
  <dcterms:created xsi:type="dcterms:W3CDTF">2026-07-08T06:16:36Z</dcterms:created>
  <dcterms:modified xsi:type="dcterms:W3CDTF">2026-07-08T06:17:41Z</dcterms:modified>
</cp:coreProperties>
</file>